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Universe'!$A$1:$J$440</definedName>
    <definedName name="_xlnm._FilterDatabase" localSheetId="3" hidden="1">'Confluence Overlap'!$A$1:$K$97</definedName>
    <definedName name="_xlnm._FilterDatabase" localSheetId="4" hidden="1">'Monit Non Financial'!$A$1:$CE$400</definedName>
    <definedName name="_xlnm._FilterDatabase" localSheetId="5" hidden="1">'Monit Banks NBFC'!$A$1:$CA$41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Financial'!$A$1:$CG$94</definedName>
    <definedName name="_xlnm._FilterDatabase" localSheetId="9" hidden="1">'Scan Match Banks NBFC'!$A$1:$CC$8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14" fillId="7" borderId="6" applyAlignment="1" pivotButton="0" quotePrefix="0" xfId="0">
      <alignment horizontal="center" vertical="center" wrapText="1"/>
    </xf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16" fillId="9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0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10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25" customWidth="1" min="3" max="3"/>
    <col width="37" customWidth="1" min="4" max="4"/>
    <col width="25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576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81</v>
      </c>
      <c r="G6" s="19" t="n">
        <v>48532.2</v>
      </c>
      <c r="H6" s="18" t="inlineStr">
        <is>
          <t>Potential Leader</t>
        </is>
      </c>
      <c r="J6" s="18" t="inlineStr">
        <is>
          <t>power &amp; utilities</t>
        </is>
      </c>
      <c r="K6" s="16" t="n">
        <v>15</v>
      </c>
      <c r="L6" s="16" t="n">
        <v>5</v>
      </c>
      <c r="M6" s="20" t="inlineStr">
        <is>
          <t>200.0%</t>
        </is>
      </c>
    </row>
    <row r="7">
      <c r="A7" s="16" t="n">
        <v>2</v>
      </c>
      <c r="B7" s="17" t="n">
        <v>468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63</v>
      </c>
      <c r="G7" s="19" t="n">
        <v>2821.55</v>
      </c>
      <c r="H7" s="18" t="inlineStr">
        <is>
          <t>Potential Leader</t>
        </is>
      </c>
      <c r="J7" s="18" t="inlineStr">
        <is>
          <t>aerospace &amp; defence</t>
        </is>
      </c>
      <c r="K7" s="16" t="n">
        <v>54</v>
      </c>
      <c r="L7" s="16" t="n">
        <v>24</v>
      </c>
      <c r="M7" s="20" t="inlineStr">
        <is>
          <t>125.0%</t>
        </is>
      </c>
    </row>
    <row r="8">
      <c r="A8" s="16" t="n">
        <v>3</v>
      </c>
      <c r="B8" s="17" t="n">
        <v>462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62</v>
      </c>
      <c r="G8" s="19" t="n">
        <v>99638.23</v>
      </c>
      <c r="H8" s="18" t="inlineStr">
        <is>
          <t>Potential Leader</t>
        </is>
      </c>
      <c r="J8" s="18" t="inlineStr">
        <is>
          <t>metals &amp; mining</t>
        </is>
      </c>
      <c r="K8" s="16" t="n">
        <v>127</v>
      </c>
      <c r="L8" s="16" t="n">
        <v>68</v>
      </c>
      <c r="M8" s="20" t="inlineStr">
        <is>
          <t>86.8%</t>
        </is>
      </c>
    </row>
    <row r="9">
      <c r="A9" s="16" t="n">
        <v>4</v>
      </c>
      <c r="B9" s="17" t="n">
        <v>396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51</v>
      </c>
      <c r="G9" s="19" t="n">
        <v>5006.95</v>
      </c>
      <c r="H9" s="18" t="inlineStr">
        <is>
          <t>Potential Leader</t>
        </is>
      </c>
      <c r="J9" s="18" t="inlineStr">
        <is>
          <t>miscellaneous</t>
        </is>
      </c>
      <c r="K9" s="16" t="n">
        <v>64</v>
      </c>
      <c r="L9" s="16" t="n">
        <v>41</v>
      </c>
      <c r="M9" s="20" t="inlineStr">
        <is>
          <t>56.1%</t>
        </is>
      </c>
    </row>
    <row r="10">
      <c r="A10" s="16" t="n">
        <v>5</v>
      </c>
      <c r="B10" s="17" t="n">
        <v>390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50</v>
      </c>
      <c r="G10" s="19" t="n">
        <v>35247.59</v>
      </c>
      <c r="H10" s="18" t="inlineStr">
        <is>
          <t>Potential Leader</t>
        </is>
      </c>
      <c r="J10" s="18" t="inlineStr">
        <is>
          <t>industrials</t>
        </is>
      </c>
      <c r="K10" s="16" t="n">
        <v>271</v>
      </c>
      <c r="L10" s="16" t="n">
        <v>182</v>
      </c>
      <c r="M10" s="20" t="inlineStr">
        <is>
          <t>48.9%</t>
        </is>
      </c>
    </row>
    <row r="11">
      <c r="A11" s="16" t="n">
        <v>6</v>
      </c>
      <c r="B11" s="17" t="n">
        <v>360</v>
      </c>
      <c r="C11" s="17" t="inlineStr">
        <is>
          <t>SPECTRUM</t>
        </is>
      </c>
      <c r="D11" s="18" t="inlineStr">
        <is>
          <t>Spectrum Electrical Industries Ltd</t>
        </is>
      </c>
      <c r="E11" s="18" t="inlineStr">
        <is>
          <t>industrials</t>
        </is>
      </c>
      <c r="F11" s="16" t="n">
        <v>45</v>
      </c>
      <c r="G11" s="19" t="n">
        <v>3835.28</v>
      </c>
      <c r="H11" s="18" t="inlineStr">
        <is>
          <t>Potential Leader</t>
        </is>
      </c>
      <c r="J11" s="18" t="inlineStr">
        <is>
          <t>energy</t>
        </is>
      </c>
      <c r="K11" s="16" t="n">
        <v>58</v>
      </c>
      <c r="L11" s="16" t="n">
        <v>39</v>
      </c>
      <c r="M11" s="20" t="inlineStr">
        <is>
          <t>48.7%</t>
        </is>
      </c>
    </row>
    <row r="12">
      <c r="A12" s="16" t="n">
        <v>7</v>
      </c>
      <c r="B12" s="17" t="n">
        <v>330</v>
      </c>
      <c r="C12" s="17" t="inlineStr">
        <is>
          <t>VADILALIND</t>
        </is>
      </c>
      <c r="D12" s="18" t="inlineStr">
        <is>
          <t>Vadilal Industries Limited</t>
        </is>
      </c>
      <c r="E12" s="18" t="inlineStr">
        <is>
          <t>fmcg</t>
        </is>
      </c>
      <c r="F12" s="16" t="n">
        <v>40</v>
      </c>
      <c r="G12" s="19" t="n">
        <v>5180.63</v>
      </c>
      <c r="H12" s="18" t="inlineStr">
        <is>
          <t>Potential Leader</t>
        </is>
      </c>
      <c r="J12" s="18" t="inlineStr">
        <is>
          <t>fmcg</t>
        </is>
      </c>
      <c r="K12" s="16" t="n">
        <v>129</v>
      </c>
      <c r="L12" s="16" t="n">
        <v>92</v>
      </c>
      <c r="M12" s="20" t="inlineStr">
        <is>
          <t>40.2%</t>
        </is>
      </c>
    </row>
    <row r="13">
      <c r="A13" s="16" t="n">
        <v>8</v>
      </c>
      <c r="B13" s="17" t="n">
        <v>324</v>
      </c>
      <c r="C13" s="17" t="inlineStr">
        <is>
          <t>FEDERALBNK</t>
        </is>
      </c>
      <c r="D13" s="18" t="inlineStr">
        <is>
          <t>The Federal Bank  Limited</t>
        </is>
      </c>
      <c r="E13" s="18" t="inlineStr">
        <is>
          <t>bank</t>
        </is>
      </c>
      <c r="F13" s="16" t="n">
        <v>39</v>
      </c>
      <c r="G13" s="19" t="n">
        <v>87923.89</v>
      </c>
      <c r="H13" s="18" t="inlineStr">
        <is>
          <t>Potential Leader</t>
        </is>
      </c>
      <c r="J13" s="18" t="inlineStr">
        <is>
          <t>realty</t>
        </is>
      </c>
      <c r="K13" s="16" t="n">
        <v>66</v>
      </c>
      <c r="L13" s="16" t="n">
        <v>48</v>
      </c>
      <c r="M13" s="20" t="inlineStr">
        <is>
          <t>37.5%</t>
        </is>
      </c>
    </row>
    <row r="14">
      <c r="A14" s="16" t="n">
        <v>9</v>
      </c>
      <c r="B14" s="17" t="n">
        <v>312</v>
      </c>
      <c r="C14" s="17" t="inlineStr">
        <is>
          <t>HITECHCORP</t>
        </is>
      </c>
      <c r="D14" s="18" t="inlineStr">
        <is>
          <t>Hitech Corporation</t>
        </is>
      </c>
      <c r="E14" s="18" t="inlineStr">
        <is>
          <t>industrials</t>
        </is>
      </c>
      <c r="F14" s="16" t="n">
        <v>37</v>
      </c>
      <c r="G14" s="19" t="n">
        <v>553.5700000000001</v>
      </c>
      <c r="H14" s="18" t="inlineStr">
        <is>
          <t>Potential Leader</t>
        </is>
      </c>
      <c r="J14" s="18" t="inlineStr">
        <is>
          <t>building materials</t>
        </is>
      </c>
      <c r="K14" s="16" t="n">
        <v>74</v>
      </c>
      <c r="L14" s="16" t="n">
        <v>54</v>
      </c>
      <c r="M14" s="20" t="inlineStr">
        <is>
          <t>37.0%</t>
        </is>
      </c>
    </row>
    <row r="15">
      <c r="A15" s="16" t="n">
        <v>10</v>
      </c>
      <c r="B15" s="17" t="n">
        <v>282</v>
      </c>
      <c r="C15" s="17" t="inlineStr">
        <is>
          <t>SSWL</t>
        </is>
      </c>
      <c r="D15" s="18" t="inlineStr">
        <is>
          <t>Steel Strips Wheels Limited</t>
        </is>
      </c>
      <c r="E15" s="18" t="inlineStr">
        <is>
          <t>auto</t>
        </is>
      </c>
      <c r="F15" s="16" t="n">
        <v>32</v>
      </c>
      <c r="G15" s="19" t="n">
        <v>4849.02</v>
      </c>
      <c r="H15" s="18" t="inlineStr">
        <is>
          <t>Potential Leader</t>
        </is>
      </c>
      <c r="J15" s="18" t="inlineStr">
        <is>
          <t>auto</t>
        </is>
      </c>
      <c r="K15" s="16" t="n">
        <v>233</v>
      </c>
      <c r="L15" s="16" t="n">
        <v>171</v>
      </c>
      <c r="M15" s="20" t="inlineStr">
        <is>
          <t>36.3%</t>
        </is>
      </c>
    </row>
    <row r="16">
      <c r="A16" s="16" t="n">
        <v>11</v>
      </c>
      <c r="B16" s="17" t="n">
        <v>261</v>
      </c>
      <c r="C16" s="17" t="inlineStr">
        <is>
          <t>ADOR</t>
        </is>
      </c>
      <c r="D16" s="18" t="inlineStr">
        <is>
          <t>Ador Welding Ltd</t>
        </is>
      </c>
      <c r="E16" s="18" t="inlineStr">
        <is>
          <t>industrials</t>
        </is>
      </c>
      <c r="F16" s="16" t="n">
        <v>29</v>
      </c>
      <c r="G16" s="19" t="n">
        <v>2581.53</v>
      </c>
      <c r="H16" s="18" t="inlineStr">
        <is>
          <t>Potential Leader</t>
        </is>
      </c>
      <c r="J16" s="18" t="inlineStr">
        <is>
          <t>chemicals</t>
        </is>
      </c>
      <c r="K16" s="16" t="n">
        <v>162</v>
      </c>
      <c r="L16" s="16" t="n">
        <v>121</v>
      </c>
      <c r="M16" s="20" t="inlineStr">
        <is>
          <t>33.9%</t>
        </is>
      </c>
    </row>
    <row r="17">
      <c r="A17" s="16" t="n">
        <v>12</v>
      </c>
      <c r="B17" s="17" t="n">
        <v>261</v>
      </c>
      <c r="C17" s="17" t="inlineStr">
        <is>
          <t>CENTENKA</t>
        </is>
      </c>
      <c r="D17" s="18" t="inlineStr">
        <is>
          <t>Century Enka Limited</t>
        </is>
      </c>
      <c r="E17" s="18" t="inlineStr">
        <is>
          <t>textiles</t>
        </is>
      </c>
      <c r="F17" s="16" t="n">
        <v>29</v>
      </c>
      <c r="G17" s="19" t="n">
        <v>1333.43</v>
      </c>
      <c r="H17" s="18" t="inlineStr">
        <is>
          <t>Potential Leader</t>
        </is>
      </c>
      <c r="J17" s="18" t="inlineStr">
        <is>
          <t>textiles</t>
        </is>
      </c>
      <c r="K17" s="16" t="n">
        <v>95</v>
      </c>
      <c r="L17" s="16" t="n">
        <v>72</v>
      </c>
      <c r="M17" s="20" t="inlineStr">
        <is>
          <t>31.9%</t>
        </is>
      </c>
    </row>
    <row r="18">
      <c r="A18" s="16" t="n">
        <v>13</v>
      </c>
      <c r="B18" s="17" t="n">
        <v>261</v>
      </c>
      <c r="C18" s="17" t="inlineStr">
        <is>
          <t>CYIENTDLM</t>
        </is>
      </c>
      <c r="D18" s="18" t="inlineStr">
        <is>
          <t>Cyient DLM Ltd</t>
        </is>
      </c>
      <c r="E18" s="18" t="inlineStr">
        <is>
          <t>consumer discretionary</t>
        </is>
      </c>
      <c r="F18" s="16" t="n">
        <v>29</v>
      </c>
      <c r="G18" s="19" t="n">
        <v>5442.13</v>
      </c>
      <c r="H18" s="18" t="inlineStr">
        <is>
          <t>Potential Leader</t>
        </is>
      </c>
      <c r="J18" s="18" t="inlineStr">
        <is>
          <t>i.t</t>
        </is>
      </c>
      <c r="K18" s="16" t="n">
        <v>122</v>
      </c>
      <c r="L18" s="16" t="n">
        <v>94</v>
      </c>
      <c r="M18" s="20" t="inlineStr">
        <is>
          <t>29.8%</t>
        </is>
      </c>
    </row>
    <row r="19">
      <c r="A19" s="16" t="n">
        <v>14</v>
      </c>
      <c r="B19" s="17" t="n">
        <v>261</v>
      </c>
      <c r="C19" s="17" t="inlineStr">
        <is>
          <t>IRISDOREME</t>
        </is>
      </c>
      <c r="D19" s="18" t="inlineStr">
        <is>
          <t>Iris Clothings Ltd</t>
        </is>
      </c>
      <c r="E19" s="18" t="inlineStr">
        <is>
          <t>consumer discretionary</t>
        </is>
      </c>
      <c r="F19" s="16" t="n">
        <v>29</v>
      </c>
      <c r="G19" s="19" t="n">
        <v>1037.69</v>
      </c>
      <c r="H19" s="18" t="inlineStr">
        <is>
          <t>Potential Leader</t>
        </is>
      </c>
      <c r="J19" s="18" t="inlineStr">
        <is>
          <t>consumer discretionary</t>
        </is>
      </c>
      <c r="K19" s="16" t="n">
        <v>154</v>
      </c>
      <c r="L19" s="16" t="n">
        <v>119</v>
      </c>
      <c r="M19" s="20" t="inlineStr">
        <is>
          <t>29.4%</t>
        </is>
      </c>
    </row>
    <row r="20">
      <c r="A20" s="16" t="n">
        <v>15</v>
      </c>
      <c r="B20" s="17" t="n">
        <v>261</v>
      </c>
      <c r="C20" s="17" t="inlineStr">
        <is>
          <t>KAMDHENU</t>
        </is>
      </c>
      <c r="D20" s="18" t="inlineStr">
        <is>
          <t>Kamdhenu Limited</t>
        </is>
      </c>
      <c r="E20" s="18" t="inlineStr">
        <is>
          <t>metals &amp; mining</t>
        </is>
      </c>
      <c r="F20" s="16" t="n">
        <v>29</v>
      </c>
      <c r="G20" s="19" t="n">
        <v>991.66</v>
      </c>
      <c r="H20" s="18" t="inlineStr">
        <is>
          <t>Potential Leader</t>
        </is>
      </c>
      <c r="J20" s="18" t="inlineStr">
        <is>
          <t>healthcare</t>
        </is>
      </c>
      <c r="K20" s="16" t="n">
        <v>222</v>
      </c>
      <c r="L20" s="16" t="n">
        <v>179</v>
      </c>
      <c r="M20" s="20" t="inlineStr">
        <is>
          <t>24.0%</t>
        </is>
      </c>
    </row>
    <row r="21">
      <c r="A21" s="16" t="n">
        <v>16</v>
      </c>
      <c r="B21" s="17" t="n">
        <v>261</v>
      </c>
      <c r="C21" s="17" t="inlineStr">
        <is>
          <t>RADICO</t>
        </is>
      </c>
      <c r="D21" s="18" t="inlineStr">
        <is>
          <t>Radico Khaitan Limited</t>
        </is>
      </c>
      <c r="E21" s="18" t="inlineStr">
        <is>
          <t>fmcg</t>
        </is>
      </c>
      <c r="F21" s="16" t="n">
        <v>29</v>
      </c>
      <c r="G21" s="19" t="n">
        <v>60255.71</v>
      </c>
      <c r="H21" s="18" t="inlineStr">
        <is>
          <t>Potential Leader</t>
        </is>
      </c>
    </row>
    <row r="22">
      <c r="A22" s="16" t="n">
        <v>17</v>
      </c>
      <c r="B22" s="17" t="n">
        <v>261</v>
      </c>
      <c r="C22" s="17" t="inlineStr">
        <is>
          <t>RPTECH</t>
        </is>
      </c>
      <c r="D22" s="18" t="inlineStr">
        <is>
          <t>Rashi Peripherals Ltd</t>
        </is>
      </c>
      <c r="E22" s="18" t="inlineStr">
        <is>
          <t>services</t>
        </is>
      </c>
      <c r="F22" s="16" t="n">
        <v>29</v>
      </c>
      <c r="G22" s="19" t="n">
        <v>5895.71</v>
      </c>
      <c r="H22" s="18" t="inlineStr">
        <is>
          <t>Potential Leader</t>
        </is>
      </c>
    </row>
    <row r="23">
      <c r="A23" s="16" t="n">
        <v>18</v>
      </c>
      <c r="B23" s="17" t="n">
        <v>261</v>
      </c>
      <c r="C23" s="17" t="inlineStr">
        <is>
          <t>TBZ</t>
        </is>
      </c>
      <c r="D23" s="18" t="inlineStr">
        <is>
          <t>Tribhovandas Bhimji Zaveri Limited</t>
        </is>
      </c>
      <c r="E23" s="18" t="inlineStr">
        <is>
          <t>consumer discretionary</t>
        </is>
      </c>
      <c r="F23" s="16" t="n">
        <v>29</v>
      </c>
      <c r="G23" s="19" t="n">
        <v>1821.75</v>
      </c>
      <c r="H23" s="18" t="inlineStr">
        <is>
          <t>Potential Leader</t>
        </is>
      </c>
    </row>
    <row r="24">
      <c r="A24" s="16" t="n">
        <v>19</v>
      </c>
      <c r="B24" s="17" t="n">
        <v>252</v>
      </c>
      <c r="C24" s="17" t="inlineStr">
        <is>
          <t>ESAFSFB</t>
        </is>
      </c>
      <c r="D24" s="18" t="inlineStr">
        <is>
          <t>ESAF Small Finance Bank Ltd</t>
        </is>
      </c>
      <c r="E24" s="18" t="inlineStr">
        <is>
          <t>bank</t>
        </is>
      </c>
      <c r="F24" s="16" t="n">
        <v>28</v>
      </c>
      <c r="G24" s="19" t="n">
        <v>2077.74</v>
      </c>
      <c r="H24" s="18" t="inlineStr">
        <is>
          <t>Potential Leader</t>
        </is>
      </c>
    </row>
    <row r="25">
      <c r="A25" s="16" t="n">
        <v>20</v>
      </c>
      <c r="B25" s="17" t="n">
        <v>252</v>
      </c>
      <c r="C25" s="17" t="inlineStr">
        <is>
          <t>GABRIEL</t>
        </is>
      </c>
      <c r="D25" s="18" t="inlineStr">
        <is>
          <t>Gabriel India Limited</t>
        </is>
      </c>
      <c r="E25" s="18" t="inlineStr">
        <is>
          <t>auto</t>
        </is>
      </c>
      <c r="F25" s="16" t="n">
        <v>28</v>
      </c>
      <c r="G25" s="19" t="n">
        <v>26580.96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M&amp;M</t>
        </is>
      </c>
      <c r="B30" s="18" t="inlineStr">
        <is>
          <t>Mahindra &amp; Mahindra Limited</t>
        </is>
      </c>
      <c r="C30" s="18" t="inlineStr">
        <is>
          <t>auto</t>
        </is>
      </c>
      <c r="D30" s="16" t="n">
        <v>10</v>
      </c>
      <c r="E30" s="16" t="n">
        <v>2</v>
      </c>
      <c r="F30" s="19" t="n">
        <v>435483.8</v>
      </c>
      <c r="J30" s="17" t="inlineStr">
        <is>
          <t>SBCL</t>
        </is>
      </c>
      <c r="K30" s="18" t="inlineStr">
        <is>
          <t>metals &amp; mining</t>
        </is>
      </c>
      <c r="L30" s="19" t="n">
        <v>247</v>
      </c>
      <c r="M30" s="19" t="n">
        <v>5304.77</v>
      </c>
      <c r="N30" s="16" t="n">
        <v>21</v>
      </c>
    </row>
    <row r="31">
      <c r="A31" s="17" t="inlineStr">
        <is>
          <t>PNB</t>
        </is>
      </c>
      <c r="B31" s="18" t="inlineStr">
        <is>
          <t>Punjab National Bank Ltd</t>
        </is>
      </c>
      <c r="C31" s="18" t="inlineStr">
        <is>
          <t>bank</t>
        </is>
      </c>
      <c r="D31" s="16" t="n">
        <v>10</v>
      </c>
      <c r="E31" s="16" t="n">
        <v>2</v>
      </c>
      <c r="F31" s="19" t="n">
        <v>131950.48</v>
      </c>
      <c r="J31" s="17" t="inlineStr">
        <is>
          <t>PIXTRANS</t>
        </is>
      </c>
      <c r="K31" s="18" t="inlineStr">
        <is>
          <t>fmcg</t>
        </is>
      </c>
      <c r="L31" s="19" t="n">
        <v>237</v>
      </c>
      <c r="M31" s="19" t="n">
        <v>2339.72</v>
      </c>
      <c r="N31" s="16" t="n">
        <v>18</v>
      </c>
    </row>
    <row r="32">
      <c r="A32" s="17" t="inlineStr">
        <is>
          <t>ETERNAL</t>
        </is>
      </c>
      <c r="B32" s="18" t="inlineStr">
        <is>
          <t>Eternal Ltd</t>
        </is>
      </c>
      <c r="C32" s="18" t="inlineStr">
        <is>
          <t>i.t</t>
        </is>
      </c>
      <c r="D32" s="16" t="n">
        <v>10</v>
      </c>
      <c r="E32" s="16" t="n">
        <v>0</v>
      </c>
      <c r="F32" s="19" t="n">
        <v>303986.05</v>
      </c>
      <c r="J32" s="17" t="inlineStr">
        <is>
          <t>ARMANFIN</t>
        </is>
      </c>
      <c r="K32" s="18" t="inlineStr">
        <is>
          <t>financials</t>
        </is>
      </c>
      <c r="L32" s="19" t="n">
        <v>235</v>
      </c>
      <c r="M32" s="19" t="n">
        <v>2136.6</v>
      </c>
      <c r="N32" s="16" t="n">
        <v>17</v>
      </c>
    </row>
    <row r="33">
      <c r="A33" s="17" t="inlineStr">
        <is>
          <t>VRLLOG</t>
        </is>
      </c>
      <c r="B33" s="18" t="inlineStr">
        <is>
          <t>Vrl Logistics Limited</t>
        </is>
      </c>
      <c r="C33" s="18" t="inlineStr">
        <is>
          <t>transportation</t>
        </is>
      </c>
      <c r="D33" s="16" t="n">
        <v>10</v>
      </c>
      <c r="E33" s="16" t="n">
        <v>1</v>
      </c>
      <c r="F33" s="19" t="n">
        <v>4921.85</v>
      </c>
      <c r="J33" s="17" t="inlineStr">
        <is>
          <t>APCOTEXIND</t>
        </is>
      </c>
      <c r="K33" s="18" t="inlineStr">
        <is>
          <t>chemicals</t>
        </is>
      </c>
      <c r="L33" s="19" t="n">
        <v>232</v>
      </c>
      <c r="M33" s="19" t="n">
        <v>3187.43</v>
      </c>
      <c r="N33" s="16" t="n">
        <v>25</v>
      </c>
    </row>
    <row r="34">
      <c r="A34" s="17" t="inlineStr">
        <is>
          <t>LODHA</t>
        </is>
      </c>
      <c r="B34" s="18" t="inlineStr">
        <is>
          <t>Lodha Developers Ltd</t>
        </is>
      </c>
      <c r="C34" s="18" t="inlineStr">
        <is>
          <t>realty</t>
        </is>
      </c>
      <c r="D34" s="16" t="n">
        <v>10</v>
      </c>
      <c r="E34" s="16" t="n">
        <v>2</v>
      </c>
      <c r="F34" s="19" t="n">
        <v>121759.64</v>
      </c>
      <c r="J34" s="17" t="inlineStr">
        <is>
          <t>IBULLSLTD</t>
        </is>
      </c>
      <c r="K34" s="18" t="inlineStr">
        <is>
          <t>Real Estate</t>
        </is>
      </c>
      <c r="L34" s="19" t="n">
        <v>230</v>
      </c>
      <c r="M34" s="19" t="n">
        <v>6447</v>
      </c>
      <c r="N34" s="16" t="n">
        <v>23</v>
      </c>
    </row>
    <row r="35">
      <c r="A35" s="17" t="inlineStr">
        <is>
          <t>GLAXO</t>
        </is>
      </c>
      <c r="B35" s="18" t="inlineStr">
        <is>
          <t>Glaxosmithkline Pharmaceuticals Limited</t>
        </is>
      </c>
      <c r="C35" s="18" t="inlineStr">
        <is>
          <t>healthcare</t>
        </is>
      </c>
      <c r="D35" s="16" t="n">
        <v>9</v>
      </c>
      <c r="E35" s="16" t="n">
        <v>0</v>
      </c>
      <c r="F35" s="19" t="n">
        <v>44040.49</v>
      </c>
      <c r="J35" s="17" t="inlineStr">
        <is>
          <t>CONFIPET</t>
        </is>
      </c>
      <c r="K35" s="18" t="inlineStr">
        <is>
          <t>miscellaneous</t>
        </is>
      </c>
      <c r="L35" s="19" t="n">
        <v>228</v>
      </c>
      <c r="M35" s="19" t="n">
        <v>2700.46</v>
      </c>
      <c r="N35" s="16" t="n">
        <v>24</v>
      </c>
    </row>
    <row r="36">
      <c r="A36" s="17" t="inlineStr">
        <is>
          <t>COFORGE</t>
        </is>
      </c>
      <c r="B36" s="18" t="inlineStr">
        <is>
          <t>Coforge (Niit Tech) Ltd</t>
        </is>
      </c>
      <c r="C36" s="18" t="inlineStr">
        <is>
          <t>i.t</t>
        </is>
      </c>
      <c r="D36" s="16" t="n">
        <v>9</v>
      </c>
      <c r="E36" s="16" t="n">
        <v>0</v>
      </c>
      <c r="F36" s="19" t="n">
        <v>78621.89</v>
      </c>
      <c r="J36" s="17" t="inlineStr">
        <is>
          <t>RPEL</t>
        </is>
      </c>
      <c r="K36" s="18" t="inlineStr">
        <is>
          <t>building materials</t>
        </is>
      </c>
      <c r="L36" s="19" t="n">
        <v>228</v>
      </c>
      <c r="M36" s="19" t="n">
        <v>5770.09</v>
      </c>
      <c r="N36" s="16" t="n">
        <v>22</v>
      </c>
    </row>
    <row r="37">
      <c r="A37" s="17" t="inlineStr">
        <is>
          <t>PERSISTENT</t>
        </is>
      </c>
      <c r="B37" s="18" t="inlineStr">
        <is>
          <t>Persistent Systems Limited</t>
        </is>
      </c>
      <c r="C37" s="18" t="inlineStr">
        <is>
          <t>i.t</t>
        </is>
      </c>
      <c r="D37" s="16" t="n">
        <v>9</v>
      </c>
      <c r="E37" s="16" t="n">
        <v>1</v>
      </c>
      <c r="F37" s="19" t="n">
        <v>86368.13</v>
      </c>
      <c r="J37" s="17" t="inlineStr">
        <is>
          <t>PRICOLLTD</t>
        </is>
      </c>
      <c r="K37" s="18" t="inlineStr">
        <is>
          <t>auto</t>
        </is>
      </c>
      <c r="L37" s="19" t="n">
        <v>227</v>
      </c>
      <c r="M37" s="19" t="n">
        <v>8993.639999999999</v>
      </c>
      <c r="N37" s="16" t="n">
        <v>20</v>
      </c>
    </row>
    <row r="38">
      <c r="A38" s="17" t="inlineStr">
        <is>
          <t>TARSONS</t>
        </is>
      </c>
      <c r="B38" s="18" t="inlineStr">
        <is>
          <t>Tarsons Products Ltd</t>
        </is>
      </c>
      <c r="C38" s="18" t="inlineStr">
        <is>
          <t>healthcare</t>
        </is>
      </c>
      <c r="D38" s="16" t="n">
        <v>9</v>
      </c>
      <c r="E38" s="16" t="n">
        <v>1</v>
      </c>
      <c r="F38" s="19" t="n">
        <v>1661.63</v>
      </c>
      <c r="J38" s="17" t="inlineStr">
        <is>
          <t>IOLCP</t>
        </is>
      </c>
      <c r="K38" s="18" t="inlineStr">
        <is>
          <t>healthcare</t>
        </is>
      </c>
      <c r="L38" s="19" t="n">
        <v>227</v>
      </c>
      <c r="M38" s="19" t="n">
        <v>4926.86</v>
      </c>
      <c r="N38" s="16" t="n">
        <v>17</v>
      </c>
    </row>
    <row r="39">
      <c r="A39" s="17" t="inlineStr">
        <is>
          <t>LANDMARK</t>
        </is>
      </c>
      <c r="B39" s="18" t="inlineStr">
        <is>
          <t>Landmark Cars Ltd</t>
        </is>
      </c>
      <c r="C39" s="18" t="inlineStr">
        <is>
          <t>consumer discretionary</t>
        </is>
      </c>
      <c r="D39" s="16" t="n">
        <v>9</v>
      </c>
      <c r="E39" s="16" t="n">
        <v>2</v>
      </c>
      <c r="F39" s="19" t="n">
        <v>2218.58</v>
      </c>
      <c r="J39" s="17" t="inlineStr">
        <is>
          <t>RPTECH</t>
        </is>
      </c>
      <c r="K39" s="18" t="inlineStr">
        <is>
          <t>services</t>
        </is>
      </c>
      <c r="L39" s="19" t="n">
        <v>225</v>
      </c>
      <c r="M39" s="19" t="n">
        <v>5895.71</v>
      </c>
      <c r="N39" s="16" t="n">
        <v>29</v>
      </c>
    </row>
    <row r="40">
      <c r="A40" s="17" t="inlineStr">
        <is>
          <t>ANTHEM</t>
        </is>
      </c>
      <c r="B40" s="18" t="inlineStr">
        <is>
          <t>Anthem Biosciences Ltd</t>
        </is>
      </c>
      <c r="C40" s="18" t="inlineStr">
        <is>
          <t>healthcare</t>
        </is>
      </c>
      <c r="D40" s="16" t="n">
        <v>8</v>
      </c>
      <c r="E40" s="16" t="n">
        <v>0</v>
      </c>
      <c r="F40" s="19" t="n">
        <v>47380.66</v>
      </c>
      <c r="J40" s="17" t="inlineStr">
        <is>
          <t>TINNARUBR</t>
        </is>
      </c>
      <c r="K40" s="18" t="inlineStr">
        <is>
          <t>fmcg</t>
        </is>
      </c>
      <c r="L40" s="19" t="n">
        <v>225</v>
      </c>
      <c r="M40" s="19" t="n">
        <v>1996.33</v>
      </c>
      <c r="N40" s="16" t="n">
        <v>28</v>
      </c>
    </row>
    <row r="41">
      <c r="A41" s="17" t="inlineStr">
        <is>
          <t>SMLMAH</t>
        </is>
      </c>
      <c r="B41" s="18" t="inlineStr">
        <is>
          <t>SML Mahindra Ltd</t>
        </is>
      </c>
      <c r="C41" s="18" t="inlineStr">
        <is>
          <t>auto</t>
        </is>
      </c>
      <c r="D41" s="16" t="n">
        <v>8</v>
      </c>
      <c r="E41" s="16" t="n">
        <v>0</v>
      </c>
      <c r="F41" s="19" t="n">
        <v>8037.55</v>
      </c>
      <c r="J41" s="17" t="inlineStr">
        <is>
          <t>KTKBANK</t>
        </is>
      </c>
      <c r="K41" s="18" t="inlineStr">
        <is>
          <t>bank</t>
        </is>
      </c>
      <c r="L41" s="19" t="n">
        <v>225</v>
      </c>
      <c r="M41" s="19" t="n">
        <v>11724.3</v>
      </c>
      <c r="N41" s="16" t="n">
        <v>23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110.03</v>
      </c>
      <c r="D47" s="27" t="n">
        <v>215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2194.45</v>
      </c>
    </row>
    <row r="48">
      <c r="A48" s="16" t="n">
        <v>2</v>
      </c>
      <c r="B48" s="26" t="n">
        <v>99</v>
      </c>
      <c r="C48" s="27" t="n">
        <v>76.51000000000001</v>
      </c>
      <c r="D48" s="27" t="n">
        <v>217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35247.59</v>
      </c>
    </row>
    <row r="49">
      <c r="A49" s="16" t="n">
        <v>3</v>
      </c>
      <c r="B49" s="26" t="n">
        <v>99</v>
      </c>
      <c r="C49" s="27" t="n">
        <v>74.59</v>
      </c>
      <c r="D49" s="27" t="n">
        <v>190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13282.73</v>
      </c>
    </row>
    <row r="50">
      <c r="A50" s="16" t="n">
        <v>4</v>
      </c>
      <c r="B50" s="26" t="n">
        <v>98</v>
      </c>
      <c r="C50" s="27" t="n">
        <v>71.67</v>
      </c>
      <c r="D50" s="27" t="n">
        <v>193</v>
      </c>
      <c r="E50" s="17" t="inlineStr">
        <is>
          <t>SWANDEF</t>
        </is>
      </c>
      <c r="F50" s="18" t="inlineStr">
        <is>
          <t>Swan Defence and Heavy Industries Ltd</t>
        </is>
      </c>
      <c r="G50" s="18" t="inlineStr">
        <is>
          <t>transportation</t>
        </is>
      </c>
      <c r="H50" s="19" t="n">
        <v>14197.31</v>
      </c>
    </row>
    <row r="51">
      <c r="A51" s="16" t="n">
        <v>5</v>
      </c>
      <c r="B51" s="26" t="n">
        <v>98</v>
      </c>
      <c r="C51" s="27" t="n">
        <v>71.36</v>
      </c>
      <c r="D51" s="27" t="n">
        <v>203</v>
      </c>
      <c r="E51" s="17" t="inlineStr">
        <is>
          <t>STLTECH</t>
        </is>
      </c>
      <c r="F51" s="18" t="inlineStr">
        <is>
          <t>Sterlite Technologies Limited</t>
        </is>
      </c>
      <c r="G51" s="18" t="inlineStr">
        <is>
          <t>industrials</t>
        </is>
      </c>
      <c r="H51" s="19" t="n">
        <v>32832.82</v>
      </c>
    </row>
    <row r="52">
      <c r="A52" s="16" t="n">
        <v>6</v>
      </c>
      <c r="B52" s="26" t="n">
        <v>98</v>
      </c>
      <c r="C52" s="27" t="n">
        <v>64.93000000000001</v>
      </c>
      <c r="D52" s="27" t="n">
        <v>190</v>
      </c>
      <c r="E52" s="17" t="inlineStr">
        <is>
          <t>YASHO</t>
        </is>
      </c>
      <c r="F52" s="18" t="inlineStr">
        <is>
          <t>Yasho Industries Ltd</t>
        </is>
      </c>
      <c r="G52" s="18" t="inlineStr">
        <is>
          <t>chemicals</t>
        </is>
      </c>
      <c r="H52" s="19" t="n">
        <v>5006.95</v>
      </c>
    </row>
    <row r="53">
      <c r="A53" s="16" t="n">
        <v>7</v>
      </c>
      <c r="B53" s="26" t="n">
        <v>98</v>
      </c>
      <c r="C53" s="27" t="n">
        <v>55.72</v>
      </c>
      <c r="D53" s="27" t="n">
        <v>200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3156.62</v>
      </c>
    </row>
    <row r="54">
      <c r="A54" s="16" t="n">
        <v>8</v>
      </c>
      <c r="B54" s="26" t="n">
        <v>98</v>
      </c>
      <c r="C54" s="27" t="n">
        <v>53.93</v>
      </c>
      <c r="D54" s="27" t="n">
        <v>215</v>
      </c>
      <c r="E54" s="17" t="inlineStr">
        <is>
          <t>HFCL</t>
        </is>
      </c>
      <c r="F54" s="18" t="inlineStr">
        <is>
          <t>HFCL Ltd</t>
        </is>
      </c>
      <c r="G54" s="18" t="inlineStr">
        <is>
          <t>telecom</t>
        </is>
      </c>
      <c r="H54" s="19" t="n">
        <v>31833.47</v>
      </c>
    </row>
    <row r="55">
      <c r="A55" s="16" t="n">
        <v>9</v>
      </c>
      <c r="B55" s="26" t="n">
        <v>97</v>
      </c>
      <c r="C55" s="27" t="n">
        <v>47.28</v>
      </c>
      <c r="D55" s="27" t="n">
        <v>203</v>
      </c>
      <c r="E55" s="17" t="inlineStr">
        <is>
          <t>HITECHCORP</t>
        </is>
      </c>
      <c r="F55" s="18" t="inlineStr">
        <is>
          <t>Hitech Corporation</t>
        </is>
      </c>
      <c r="G55" s="18" t="inlineStr">
        <is>
          <t>industrials</t>
        </is>
      </c>
      <c r="H55" s="19" t="n">
        <v>553.5700000000001</v>
      </c>
    </row>
    <row r="56">
      <c r="A56" s="16" t="n">
        <v>10</v>
      </c>
      <c r="B56" s="26" t="n">
        <v>97</v>
      </c>
      <c r="C56" s="27" t="n">
        <v>46.25</v>
      </c>
      <c r="D56" s="27" t="n">
        <v>215</v>
      </c>
      <c r="E56" s="17" t="inlineStr">
        <is>
          <t>ATHERENERG</t>
        </is>
      </c>
      <c r="F56" s="18" t="inlineStr">
        <is>
          <t>Ather Energy Ltd</t>
        </is>
      </c>
      <c r="G56" s="18" t="inlineStr">
        <is>
          <t>auto</t>
        </is>
      </c>
      <c r="H56" s="19" t="n">
        <v>58389.66</v>
      </c>
    </row>
    <row r="57">
      <c r="A57" s="16" t="n">
        <v>11</v>
      </c>
      <c r="B57" s="26" t="n">
        <v>97</v>
      </c>
      <c r="C57" s="27" t="n">
        <v>42.09</v>
      </c>
      <c r="D57" s="27" t="n">
        <v>225</v>
      </c>
      <c r="E57" s="17" t="inlineStr">
        <is>
          <t>RPTECH</t>
        </is>
      </c>
      <c r="F57" s="18" t="inlineStr">
        <is>
          <t>Rashi Peripherals Ltd</t>
        </is>
      </c>
      <c r="G57" s="18" t="inlineStr">
        <is>
          <t>services</t>
        </is>
      </c>
      <c r="H57" s="19" t="n">
        <v>5895.71</v>
      </c>
    </row>
    <row r="58">
      <c r="A58" s="16" t="n">
        <v>12</v>
      </c>
      <c r="B58" s="26" t="n">
        <v>97</v>
      </c>
      <c r="C58" s="27" t="n">
        <v>41.12</v>
      </c>
      <c r="D58" s="27" t="n">
        <v>210</v>
      </c>
      <c r="E58" s="17" t="inlineStr">
        <is>
          <t>E2E</t>
        </is>
      </c>
      <c r="F58" s="18" t="inlineStr">
        <is>
          <t>E2E Networks Ltd</t>
        </is>
      </c>
      <c r="G58" s="18" t="inlineStr">
        <is>
          <t>i.t</t>
        </is>
      </c>
      <c r="H58" s="19" t="n">
        <v>11829.23</v>
      </c>
    </row>
    <row r="59">
      <c r="A59" s="16" t="n">
        <v>13</v>
      </c>
      <c r="B59" s="26" t="n">
        <v>97</v>
      </c>
      <c r="C59" s="27" t="n">
        <v>38.89</v>
      </c>
      <c r="D59" s="27" t="n">
        <v>217</v>
      </c>
      <c r="E59" s="17" t="inlineStr">
        <is>
          <t>SAKAR</t>
        </is>
      </c>
      <c r="F59" s="18" t="inlineStr">
        <is>
          <t>Sakar Healthcare Ltd</t>
        </is>
      </c>
      <c r="G59" s="18" t="inlineStr">
        <is>
          <t>healthcare</t>
        </is>
      </c>
      <c r="H59" s="19" t="n">
        <v>2057.34</v>
      </c>
    </row>
    <row r="60">
      <c r="A60" s="16" t="n">
        <v>14</v>
      </c>
      <c r="B60" s="26" t="n">
        <v>96</v>
      </c>
      <c r="C60" s="27" t="n">
        <v>38.33</v>
      </c>
      <c r="D60" s="27" t="n">
        <v>203</v>
      </c>
      <c r="E60" s="17" t="inlineStr">
        <is>
          <t>SETL</t>
        </is>
      </c>
      <c r="F60" s="18" t="inlineStr">
        <is>
          <t>Standard Enginnering Technology Ltd</t>
        </is>
      </c>
      <c r="G60" s="18" t="inlineStr">
        <is>
          <t>industrials</t>
        </is>
      </c>
      <c r="H60" s="19" t="n">
        <v>5605.72</v>
      </c>
    </row>
    <row r="61">
      <c r="A61" s="16" t="n">
        <v>15</v>
      </c>
      <c r="B61" s="26" t="n">
        <v>96</v>
      </c>
      <c r="C61" s="27" t="n">
        <v>35.84</v>
      </c>
      <c r="D61" s="27" t="n">
        <v>180</v>
      </c>
      <c r="E61" s="17" t="inlineStr">
        <is>
          <t>AEGISLOG</t>
        </is>
      </c>
      <c r="F61" s="18" t="inlineStr">
        <is>
          <t>AEGISLOG</t>
        </is>
      </c>
      <c r="G61" s="18" t="inlineStr">
        <is>
          <t>Energy</t>
        </is>
      </c>
      <c r="H61" s="19" t="n">
        <v>46812.87</v>
      </c>
    </row>
    <row r="62">
      <c r="A62" s="16" t="n">
        <v>16</v>
      </c>
      <c r="B62" s="26" t="n">
        <v>96</v>
      </c>
      <c r="C62" s="27" t="n">
        <v>35.04</v>
      </c>
      <c r="D62" s="27" t="n">
        <v>228</v>
      </c>
      <c r="E62" s="17" t="inlineStr">
        <is>
          <t>RPEL</t>
        </is>
      </c>
      <c r="F62" s="18" t="inlineStr">
        <is>
          <t>Raghav Productivity Enhancers Ltd</t>
        </is>
      </c>
      <c r="G62" s="18" t="inlineStr">
        <is>
          <t>building materials</t>
        </is>
      </c>
      <c r="H62" s="19" t="n">
        <v>5770.09</v>
      </c>
    </row>
    <row r="63">
      <c r="A63" s="16" t="n">
        <v>17</v>
      </c>
      <c r="B63" s="26" t="n">
        <v>96</v>
      </c>
      <c r="C63" s="27" t="n">
        <v>33.73</v>
      </c>
      <c r="D63" s="27" t="n">
        <v>200</v>
      </c>
      <c r="E63" s="17" t="inlineStr">
        <is>
          <t>NGLFINE</t>
        </is>
      </c>
      <c r="F63" s="18" t="inlineStr">
        <is>
          <t>NGL Fine Chem Ltd</t>
        </is>
      </c>
      <c r="G63" s="18" t="inlineStr">
        <is>
          <t>healthcare</t>
        </is>
      </c>
      <c r="H63" s="19" t="n">
        <v>2102.75</v>
      </c>
    </row>
    <row r="64">
      <c r="A64" s="16" t="n">
        <v>18</v>
      </c>
      <c r="B64" s="26" t="n">
        <v>95</v>
      </c>
      <c r="C64" s="27" t="n">
        <v>33.61</v>
      </c>
      <c r="D64" s="27" t="n">
        <v>185</v>
      </c>
      <c r="E64" s="17" t="inlineStr">
        <is>
          <t>INDSWFTLAB</t>
        </is>
      </c>
      <c r="F64" s="18" t="inlineStr">
        <is>
          <t>Ind-swift Laboratories Limited</t>
        </is>
      </c>
      <c r="G64" s="18" t="inlineStr">
        <is>
          <t>healthcare</t>
        </is>
      </c>
      <c r="H64" s="19" t="n">
        <v>1986.29</v>
      </c>
    </row>
    <row r="65">
      <c r="A65" s="16" t="n">
        <v>19</v>
      </c>
      <c r="B65" s="26" t="n">
        <v>95</v>
      </c>
      <c r="C65" s="27" t="n">
        <v>33.49</v>
      </c>
      <c r="D65" s="27" t="n">
        <v>205</v>
      </c>
      <c r="E65" s="17" t="inlineStr">
        <is>
          <t>KABRAEXTRU</t>
        </is>
      </c>
      <c r="F65" s="18" t="inlineStr">
        <is>
          <t>Kabra Extrusion Technik Limited</t>
        </is>
      </c>
      <c r="G65" s="18" t="inlineStr">
        <is>
          <t>industrials</t>
        </is>
      </c>
      <c r="H65" s="19" t="n">
        <v>1568.88</v>
      </c>
    </row>
    <row r="66">
      <c r="A66" s="16" t="n">
        <v>20</v>
      </c>
      <c r="B66" s="26" t="n">
        <v>95</v>
      </c>
      <c r="C66" s="27" t="n">
        <v>32.96</v>
      </c>
      <c r="D66" s="27" t="n">
        <v>188</v>
      </c>
      <c r="E66" s="17" t="inlineStr">
        <is>
          <t>INDOTECH</t>
        </is>
      </c>
      <c r="F66" s="18" t="inlineStr">
        <is>
          <t>Indo Tech Transformers Limited</t>
        </is>
      </c>
      <c r="G66" s="18" t="inlineStr">
        <is>
          <t>industrials</t>
        </is>
      </c>
      <c r="H66" s="19" t="n">
        <v>4027.74</v>
      </c>
    </row>
    <row r="67">
      <c r="A67" s="16" t="n">
        <v>21</v>
      </c>
      <c r="B67" s="26" t="n">
        <v>95</v>
      </c>
      <c r="C67" s="27" t="n">
        <v>32.16</v>
      </c>
      <c r="D67" s="27" t="n">
        <v>208</v>
      </c>
      <c r="E67" s="17" t="inlineStr">
        <is>
          <t>FILATEX</t>
        </is>
      </c>
      <c r="F67" s="18" t="inlineStr">
        <is>
          <t>Filatex India Limited</t>
        </is>
      </c>
      <c r="G67" s="18" t="inlineStr">
        <is>
          <t>textiles</t>
        </is>
      </c>
      <c r="H67" s="19" t="n">
        <v>3700.34</v>
      </c>
    </row>
    <row r="68">
      <c r="A68" s="16" t="n">
        <v>22</v>
      </c>
      <c r="B68" s="26" t="n">
        <v>95</v>
      </c>
      <c r="C68" s="27" t="n">
        <v>32.09</v>
      </c>
      <c r="D68" s="27" t="n">
        <v>185</v>
      </c>
      <c r="E68" s="17" t="inlineStr">
        <is>
          <t>UEL</t>
        </is>
      </c>
      <c r="F68" s="18" t="inlineStr">
        <is>
          <t>Ujaas Energy Ltd</t>
        </is>
      </c>
      <c r="G68" s="18" t="inlineStr">
        <is>
          <t>power &amp; utilities</t>
        </is>
      </c>
      <c r="H68" s="19" t="n">
        <v>3438.86</v>
      </c>
    </row>
    <row r="69">
      <c r="A69" s="16" t="n">
        <v>23</v>
      </c>
      <c r="B69" s="26" t="n">
        <v>95</v>
      </c>
      <c r="C69" s="27" t="n">
        <v>32.09</v>
      </c>
      <c r="D69" s="27" t="n">
        <v>207</v>
      </c>
      <c r="E69" s="17" t="inlineStr">
        <is>
          <t>SHILPAMED</t>
        </is>
      </c>
      <c r="F69" s="18" t="inlineStr">
        <is>
          <t>Shilpa Medicare Limited</t>
        </is>
      </c>
      <c r="G69" s="18" t="inlineStr">
        <is>
          <t>healthcare</t>
        </is>
      </c>
      <c r="H69" s="19" t="n">
        <v>14859.33</v>
      </c>
    </row>
    <row r="70">
      <c r="A70" s="16" t="n">
        <v>24</v>
      </c>
      <c r="B70" s="28" t="n">
        <v>94</v>
      </c>
      <c r="C70" s="27" t="n">
        <v>31.97</v>
      </c>
      <c r="D70" s="27" t="n">
        <v>212</v>
      </c>
      <c r="E70" s="17" t="inlineStr">
        <is>
          <t>KPL</t>
        </is>
      </c>
      <c r="F70" s="18" t="inlineStr">
        <is>
          <t>Kwality Pharmaceuticals Limited</t>
        </is>
      </c>
      <c r="G70" s="18" t="inlineStr">
        <is>
          <t>Healthcare</t>
        </is>
      </c>
      <c r="H70" s="19" t="n">
        <v>3248.63</v>
      </c>
    </row>
    <row r="71">
      <c r="A71" s="16" t="n">
        <v>25</v>
      </c>
      <c r="B71" s="28" t="n">
        <v>94</v>
      </c>
      <c r="C71" s="27" t="n">
        <v>31.72</v>
      </c>
      <c r="D71" s="27" t="n">
        <v>215</v>
      </c>
      <c r="E71" s="17" t="inlineStr">
        <is>
          <t>UNIPARTS</t>
        </is>
      </c>
      <c r="F71" s="18" t="inlineStr">
        <is>
          <t>Uniparts India Ltd</t>
        </is>
      </c>
      <c r="G71" s="18" t="inlineStr">
        <is>
          <t>industrials</t>
        </is>
      </c>
      <c r="H71" s="19" t="n">
        <v>3677.36</v>
      </c>
    </row>
    <row r="72">
      <c r="A72" s="16" t="n">
        <v>26</v>
      </c>
      <c r="B72" s="28" t="n">
        <v>94</v>
      </c>
      <c r="C72" s="27" t="n">
        <v>31.52</v>
      </c>
      <c r="D72" s="27" t="n">
        <v>227</v>
      </c>
      <c r="E72" s="17" t="inlineStr">
        <is>
          <t>IOLCP</t>
        </is>
      </c>
      <c r="F72" s="18" t="inlineStr">
        <is>
          <t>Iol Chemicals And Pharmaceuticals Limited</t>
        </is>
      </c>
      <c r="G72" s="18" t="inlineStr">
        <is>
          <t>healthcare</t>
        </is>
      </c>
      <c r="H72" s="19" t="n">
        <v>4926.86</v>
      </c>
    </row>
    <row r="73">
      <c r="A73" s="16" t="n">
        <v>27</v>
      </c>
      <c r="B73" s="28" t="n">
        <v>94</v>
      </c>
      <c r="C73" s="27" t="n">
        <v>31.4</v>
      </c>
      <c r="D73" s="27" t="n">
        <v>290</v>
      </c>
      <c r="E73" s="17" t="inlineStr">
        <is>
          <t>AIMTRON</t>
        </is>
      </c>
      <c r="F73" s="18" t="inlineStr">
        <is>
          <t>AIMTRON</t>
        </is>
      </c>
      <c r="G73" s="18" t="inlineStr">
        <is>
          <t>unknown</t>
        </is>
      </c>
      <c r="H73" s="19" t="n">
        <v>1113.17</v>
      </c>
    </row>
    <row r="74">
      <c r="A74" s="16" t="n">
        <v>28</v>
      </c>
      <c r="B74" s="28" t="n">
        <v>93</v>
      </c>
      <c r="C74" s="27" t="n">
        <v>30.85</v>
      </c>
      <c r="D74" s="27" t="n">
        <v>192</v>
      </c>
      <c r="E74" s="17" t="inlineStr">
        <is>
          <t>MOREPENLAB</t>
        </is>
      </c>
      <c r="F74" s="18" t="inlineStr">
        <is>
          <t>Morepen Laboratories Limited</t>
        </is>
      </c>
      <c r="G74" s="18" t="inlineStr">
        <is>
          <t>healthcare</t>
        </is>
      </c>
      <c r="H74" s="19" t="n">
        <v>4397.33</v>
      </c>
    </row>
    <row r="75">
      <c r="A75" s="16" t="n">
        <v>29</v>
      </c>
      <c r="B75" s="28" t="n">
        <v>93</v>
      </c>
      <c r="C75" s="27" t="n">
        <v>30.85</v>
      </c>
      <c r="D75" s="27" t="n">
        <v>195</v>
      </c>
      <c r="E75" s="17" t="inlineStr">
        <is>
          <t>KMEW</t>
        </is>
      </c>
      <c r="F75" s="18" t="inlineStr">
        <is>
          <t>Knowledge Marine &amp; Engineering Works Ltd</t>
        </is>
      </c>
      <c r="G75" s="18" t="inlineStr">
        <is>
          <t>transportation</t>
        </is>
      </c>
      <c r="H75" s="19" t="n">
        <v>6180.45</v>
      </c>
    </row>
    <row r="76">
      <c r="A76" s="16" t="n">
        <v>30</v>
      </c>
      <c r="B76" s="28" t="n">
        <v>93</v>
      </c>
      <c r="C76" s="27" t="n">
        <v>30.7</v>
      </c>
      <c r="D76" s="27" t="n">
        <v>175</v>
      </c>
      <c r="E76" s="17" t="inlineStr">
        <is>
          <t>SKYGOLD</t>
        </is>
      </c>
      <c r="F76" s="18" t="inlineStr">
        <is>
          <t>Sky Gold Ltd</t>
        </is>
      </c>
      <c r="G76" s="18" t="inlineStr">
        <is>
          <t>consumer discretionary</t>
        </is>
      </c>
      <c r="H76" s="19" t="n">
        <v>11141.63</v>
      </c>
    </row>
    <row r="77">
      <c r="A77" s="16" t="n">
        <v>31</v>
      </c>
      <c r="B77" s="28" t="n">
        <v>93</v>
      </c>
      <c r="C77" s="27" t="n">
        <v>30.45</v>
      </c>
      <c r="D77" s="27" t="n">
        <v>230</v>
      </c>
      <c r="E77" s="17" t="inlineStr">
        <is>
          <t>IBULLSLTD</t>
        </is>
      </c>
      <c r="F77" s="18" t="inlineStr">
        <is>
          <t>IBULLSLTD</t>
        </is>
      </c>
      <c r="G77" s="18" t="inlineStr">
        <is>
          <t>Real Estate</t>
        </is>
      </c>
      <c r="H77" s="19" t="n">
        <v>6447</v>
      </c>
    </row>
    <row r="78">
      <c r="A78" s="16" t="n">
        <v>32</v>
      </c>
      <c r="B78" s="28" t="n">
        <v>93</v>
      </c>
      <c r="C78" s="27" t="n">
        <v>29.73</v>
      </c>
      <c r="D78" s="27" t="n">
        <v>213</v>
      </c>
      <c r="E78" s="17" t="inlineStr">
        <is>
          <t>MODISONLTD</t>
        </is>
      </c>
      <c r="F78" s="18" t="inlineStr">
        <is>
          <t>Modison Ltd</t>
        </is>
      </c>
      <c r="G78" s="18" t="inlineStr">
        <is>
          <t>industrials</t>
        </is>
      </c>
      <c r="H78" s="19" t="n">
        <v>905.1900000000001</v>
      </c>
    </row>
    <row r="79">
      <c r="A79" s="16" t="n">
        <v>33</v>
      </c>
      <c r="B79" s="28" t="n">
        <v>92</v>
      </c>
      <c r="C79" s="27" t="n">
        <v>29.39</v>
      </c>
      <c r="D79" s="27" t="n">
        <v>158</v>
      </c>
      <c r="E79" s="17" t="inlineStr">
        <is>
          <t>KAPSTON</t>
        </is>
      </c>
      <c r="F79" s="18" t="inlineStr">
        <is>
          <t>Kapston Services Ltd</t>
        </is>
      </c>
      <c r="G79" s="18" t="inlineStr">
        <is>
          <t>miscellaneous</t>
        </is>
      </c>
      <c r="H79" s="19" t="n">
        <v>1600.43</v>
      </c>
    </row>
    <row r="80">
      <c r="A80" s="16" t="n">
        <v>34</v>
      </c>
      <c r="B80" s="28" t="n">
        <v>92</v>
      </c>
      <c r="C80" s="27" t="n">
        <v>29.21</v>
      </c>
      <c r="D80" s="27" t="n">
        <v>202</v>
      </c>
      <c r="E80" s="17" t="inlineStr">
        <is>
          <t>LAURUSLABS</t>
        </is>
      </c>
      <c r="F80" s="18" t="inlineStr">
        <is>
          <t>Laurus Labs Limited</t>
        </is>
      </c>
      <c r="G80" s="18" t="inlineStr">
        <is>
          <t>healthcare</t>
        </is>
      </c>
      <c r="H80" s="19" t="n">
        <v>99638.23</v>
      </c>
    </row>
    <row r="81">
      <c r="A81" s="16" t="n">
        <v>35</v>
      </c>
      <c r="B81" s="28" t="n">
        <v>92</v>
      </c>
      <c r="C81" s="27" t="n">
        <v>28.42</v>
      </c>
      <c r="D81" s="27" t="n">
        <v>198</v>
      </c>
      <c r="E81" s="17" t="inlineStr">
        <is>
          <t>IDEAFORGE</t>
        </is>
      </c>
      <c r="F81" s="18" t="inlineStr">
        <is>
          <t>Ideaforge Technology Ltd</t>
        </is>
      </c>
      <c r="G81" s="18" t="inlineStr">
        <is>
          <t>aerospace &amp; defence</t>
        </is>
      </c>
      <c r="H81" s="19" t="n">
        <v>4529.59</v>
      </c>
    </row>
    <row r="82">
      <c r="A82" s="16" t="n">
        <v>36</v>
      </c>
      <c r="B82" s="28" t="n">
        <v>92</v>
      </c>
      <c r="C82" s="27" t="n">
        <v>27.39</v>
      </c>
      <c r="D82" s="27" t="n">
        <v>193</v>
      </c>
      <c r="E82" s="17" t="inlineStr">
        <is>
          <t>TBZ</t>
        </is>
      </c>
      <c r="F82" s="18" t="inlineStr">
        <is>
          <t>Tribhovandas Bhimji Zaveri Limited</t>
        </is>
      </c>
      <c r="G82" s="18" t="inlineStr">
        <is>
          <t>consumer discretionary</t>
        </is>
      </c>
      <c r="H82" s="19" t="n">
        <v>1821.75</v>
      </c>
    </row>
    <row r="83">
      <c r="A83" s="16" t="n">
        <v>37</v>
      </c>
      <c r="B83" s="28" t="n">
        <v>92</v>
      </c>
      <c r="C83" s="27" t="n">
        <v>27.29</v>
      </c>
      <c r="D83" s="27" t="n">
        <v>217</v>
      </c>
      <c r="E83" s="17" t="inlineStr">
        <is>
          <t>RATEGAIN</t>
        </is>
      </c>
      <c r="F83" s="18" t="inlineStr">
        <is>
          <t>RateGain Travel Technologies Limited</t>
        </is>
      </c>
      <c r="G83" s="18" t="inlineStr">
        <is>
          <t>Technology</t>
        </is>
      </c>
      <c r="H83" s="19" t="n">
        <v>11040.96</v>
      </c>
    </row>
    <row r="84">
      <c r="A84" s="16" t="n">
        <v>38</v>
      </c>
      <c r="B84" s="28" t="n">
        <v>91</v>
      </c>
      <c r="C84" s="27" t="n">
        <v>27.1</v>
      </c>
      <c r="D84" s="27" t="n">
        <v>203</v>
      </c>
      <c r="E84" s="17" t="inlineStr">
        <is>
          <t>BHARATSE</t>
        </is>
      </c>
      <c r="F84" s="18" t="inlineStr">
        <is>
          <t>Bharat Seats Ltd</t>
        </is>
      </c>
      <c r="G84" s="18" t="inlineStr">
        <is>
          <t>auto</t>
        </is>
      </c>
      <c r="H84" s="19" t="n">
        <v>1512.79</v>
      </c>
    </row>
    <row r="85">
      <c r="A85" s="16" t="n">
        <v>39</v>
      </c>
      <c r="B85" s="28" t="n">
        <v>91</v>
      </c>
      <c r="C85" s="27" t="n">
        <v>26.81</v>
      </c>
      <c r="D85" s="27" t="n">
        <v>198</v>
      </c>
      <c r="E85" s="17" t="inlineStr">
        <is>
          <t>SANSERA</t>
        </is>
      </c>
      <c r="F85" s="18" t="inlineStr">
        <is>
          <t>Sansera Engineering Ltd</t>
        </is>
      </c>
      <c r="G85" s="18" t="inlineStr">
        <is>
          <t>auto</t>
        </is>
      </c>
      <c r="H85" s="19" t="n">
        <v>24111.49</v>
      </c>
    </row>
    <row r="86">
      <c r="A86" s="16" t="n">
        <v>40</v>
      </c>
      <c r="B86" s="28" t="n">
        <v>91</v>
      </c>
      <c r="C86" s="27" t="n">
        <v>26.71</v>
      </c>
      <c r="D86" s="27" t="n">
        <v>215</v>
      </c>
      <c r="E86" s="17" t="inlineStr">
        <is>
          <t>PGIL</t>
        </is>
      </c>
      <c r="F86" s="18" t="inlineStr">
        <is>
          <t>Pearl Global Industries Limited</t>
        </is>
      </c>
      <c r="G86" s="18" t="inlineStr">
        <is>
          <t>consumer discretionary</t>
        </is>
      </c>
      <c r="H86" s="19" t="n">
        <v>11380.23</v>
      </c>
    </row>
    <row r="87">
      <c r="A87" s="16" t="n">
        <v>41</v>
      </c>
      <c r="B87" s="28" t="n">
        <v>91</v>
      </c>
      <c r="C87" s="27" t="n">
        <v>26.68</v>
      </c>
      <c r="D87" s="27" t="n">
        <v>213</v>
      </c>
      <c r="E87" s="17" t="inlineStr">
        <is>
          <t>RISHABH</t>
        </is>
      </c>
      <c r="F87" s="18" t="inlineStr">
        <is>
          <t>Rishabh Instruments Ltd</t>
        </is>
      </c>
      <c r="G87" s="18" t="inlineStr">
        <is>
          <t>industrials</t>
        </is>
      </c>
      <c r="H87" s="19" t="n">
        <v>2463.86</v>
      </c>
    </row>
    <row r="88">
      <c r="A88" s="16" t="n">
        <v>42</v>
      </c>
      <c r="B88" s="28" t="n">
        <v>90</v>
      </c>
      <c r="C88" s="27" t="n">
        <v>26.65</v>
      </c>
      <c r="D88" s="27" t="n">
        <v>205</v>
      </c>
      <c r="E88" s="17" t="inlineStr">
        <is>
          <t>AVALON</t>
        </is>
      </c>
      <c r="F88" s="18" t="inlineStr">
        <is>
          <t>Avalon Technologies Ltd</t>
        </is>
      </c>
      <c r="G88" s="18" t="inlineStr">
        <is>
          <t>consumer discretionary</t>
        </is>
      </c>
      <c r="H88" s="19" t="n">
        <v>13130.51</v>
      </c>
    </row>
    <row r="89">
      <c r="A89" s="16" t="n">
        <v>43</v>
      </c>
      <c r="B89" s="28" t="n">
        <v>90</v>
      </c>
      <c r="C89" s="27" t="n">
        <v>26.52</v>
      </c>
      <c r="D89" s="27" t="n">
        <v>228</v>
      </c>
      <c r="E89" s="17" t="inlineStr">
        <is>
          <t>CONFIPET</t>
        </is>
      </c>
      <c r="F89" s="18" t="inlineStr">
        <is>
          <t>Confidence Petroleum India Ltd</t>
        </is>
      </c>
      <c r="G89" s="18" t="inlineStr">
        <is>
          <t>miscellaneous</t>
        </is>
      </c>
      <c r="H89" s="19" t="n">
        <v>2700.46</v>
      </c>
    </row>
    <row r="90">
      <c r="A90" s="16" t="n">
        <v>44</v>
      </c>
      <c r="B90" s="28" t="n">
        <v>90</v>
      </c>
      <c r="C90" s="27" t="n">
        <v>25.86</v>
      </c>
      <c r="D90" s="27" t="n">
        <v>215</v>
      </c>
      <c r="E90" s="17" t="inlineStr">
        <is>
          <t>SPORTKING</t>
        </is>
      </c>
      <c r="F90" s="18" t="inlineStr">
        <is>
          <t>Sportking India Limited</t>
        </is>
      </c>
      <c r="G90" s="18" t="inlineStr">
        <is>
          <t>Consumer Cyclical</t>
        </is>
      </c>
      <c r="H90" s="19" t="n">
        <v>2671.92</v>
      </c>
    </row>
    <row r="91">
      <c r="A91" s="16" t="n">
        <v>45</v>
      </c>
      <c r="B91" s="28" t="n">
        <v>90</v>
      </c>
      <c r="C91" s="27" t="n">
        <v>25.66</v>
      </c>
      <c r="D91" s="27" t="n">
        <v>188</v>
      </c>
      <c r="E91" s="17" t="inlineStr">
        <is>
          <t>TDPOWERSYS</t>
        </is>
      </c>
      <c r="F91" s="18" t="inlineStr">
        <is>
          <t>Td Power Systems Limited</t>
        </is>
      </c>
      <c r="G91" s="18" t="inlineStr">
        <is>
          <t>industrials</t>
        </is>
      </c>
      <c r="H91" s="19" t="n">
        <v>19698.84</v>
      </c>
    </row>
    <row r="92">
      <c r="A92" s="16" t="n">
        <v>46</v>
      </c>
      <c r="B92" s="28" t="n">
        <v>90</v>
      </c>
      <c r="C92" s="27" t="n">
        <v>25.42</v>
      </c>
      <c r="D92" s="27" t="n">
        <v>218</v>
      </c>
      <c r="E92" s="17" t="inlineStr">
        <is>
          <t>KANORICHEM</t>
        </is>
      </c>
      <c r="F92" s="18" t="inlineStr">
        <is>
          <t>Kanoria Chemicals &amp; Industries Limited</t>
        </is>
      </c>
      <c r="G92" s="18" t="inlineStr">
        <is>
          <t>chemicals</t>
        </is>
      </c>
      <c r="H92" s="19" t="n">
        <v>654.05</v>
      </c>
    </row>
    <row r="9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UNIVCABLES</t>
        </is>
      </c>
      <c r="B2" s="30" t="inlineStr">
        <is>
          <t>Universal Cables Limited</t>
        </is>
      </c>
      <c r="C2" s="30" t="inlineStr">
        <is>
          <t>industrials</t>
        </is>
      </c>
      <c r="D2" s="30" t="inlineStr">
        <is>
          <t>cables - power</t>
        </is>
      </c>
      <c r="E2" s="30" t="inlineStr">
        <is>
          <t>smallcap</t>
        </is>
      </c>
      <c r="F2" s="30" t="n">
        <v>4896.21</v>
      </c>
      <c r="G2" s="30" t="n">
        <v>1693.4</v>
      </c>
      <c r="H2" s="30" t="n">
        <v>20</v>
      </c>
      <c r="I2" s="30" t="n">
        <v>1907323</v>
      </c>
      <c r="J2" s="30" t="inlineStr">
        <is>
          <t>504212</t>
        </is>
      </c>
    </row>
    <row r="3">
      <c r="A3" s="30" t="inlineStr">
        <is>
          <t>AARTIPHARM</t>
        </is>
      </c>
      <c r="B3" s="30" t="inlineStr">
        <is>
          <t>Aarti Pharmalabs Ltd</t>
        </is>
      </c>
      <c r="C3" s="30" t="inlineStr">
        <is>
          <t>healthcare</t>
        </is>
      </c>
      <c r="D3" s="30" t="inlineStr">
        <is>
          <t>pharmaceuticals - indian - bulk drugs &amp; formln</t>
        </is>
      </c>
      <c r="E3" s="30" t="inlineStr">
        <is>
          <t>midcap</t>
        </is>
      </c>
      <c r="F3" s="30" t="n">
        <v>6219.28</v>
      </c>
      <c r="G3" s="30" t="n">
        <v>823</v>
      </c>
      <c r="H3" s="30" t="n">
        <v>20</v>
      </c>
      <c r="I3" s="30" t="n">
        <v>3125635</v>
      </c>
      <c r="J3" s="30" t="inlineStr">
        <is>
          <t>543748</t>
        </is>
      </c>
    </row>
    <row r="4">
      <c r="A4" s="30" t="inlineStr">
        <is>
          <t>SBCL</t>
        </is>
      </c>
      <c r="B4" s="30" t="inlineStr">
        <is>
          <t>Shivalik Bimetal Controls Ltd</t>
        </is>
      </c>
      <c r="C4" s="30" t="inlineStr">
        <is>
          <t>metals &amp; mining</t>
        </is>
      </c>
      <c r="D4" s="30" t="inlineStr">
        <is>
          <t>mining / minerals / metals</t>
        </is>
      </c>
      <c r="E4" s="30" t="inlineStr">
        <is>
          <t>midcap</t>
        </is>
      </c>
      <c r="F4" s="30" t="n">
        <v>5304.77</v>
      </c>
      <c r="G4" s="30" t="n">
        <v>1105.05</v>
      </c>
      <c r="H4" s="30" t="n">
        <v>20</v>
      </c>
      <c r="I4" s="30" t="n">
        <v>10977326</v>
      </c>
      <c r="J4" s="30" t="inlineStr">
        <is>
          <t>513097</t>
        </is>
      </c>
    </row>
    <row r="5">
      <c r="A5" s="30" t="inlineStr">
        <is>
          <t>COMSYN</t>
        </is>
      </c>
      <c r="B5" s="30" t="inlineStr">
        <is>
          <t>Commercial Syn Bags Ltd</t>
        </is>
      </c>
      <c r="C5" s="30" t="inlineStr">
        <is>
          <t>industrials</t>
        </is>
      </c>
      <c r="D5" s="30" t="inlineStr">
        <is>
          <t>packaging</t>
        </is>
      </c>
      <c r="E5" s="30" t="inlineStr">
        <is>
          <t>smallcap</t>
        </is>
      </c>
      <c r="F5" s="30" t="n">
        <v>906.95</v>
      </c>
      <c r="G5" s="30" t="n">
        <v>269.03</v>
      </c>
      <c r="H5" s="30" t="n">
        <v>19.66</v>
      </c>
      <c r="I5" s="30" t="n">
        <v>7601735</v>
      </c>
      <c r="J5" s="30" t="inlineStr">
        <is>
          <t>539986</t>
        </is>
      </c>
    </row>
    <row r="6">
      <c r="A6" s="30" t="inlineStr">
        <is>
          <t>PIXTRANS</t>
        </is>
      </c>
      <c r="B6" s="30" t="inlineStr">
        <is>
          <t>Pix Transmission Ltd</t>
        </is>
      </c>
      <c r="C6" s="30" t="inlineStr">
        <is>
          <t>fmcg</t>
        </is>
      </c>
      <c r="D6" s="30" t="inlineStr">
        <is>
          <t>miscellaneous</t>
        </is>
      </c>
      <c r="E6" s="30" t="inlineStr">
        <is>
          <t>smallcap</t>
        </is>
      </c>
      <c r="F6" s="30" t="n">
        <v>2339.72</v>
      </c>
      <c r="G6" s="30" t="n">
        <v>1986.5</v>
      </c>
      <c r="H6" s="30" t="n">
        <v>15.68</v>
      </c>
      <c r="I6" s="30" t="n">
        <v>1309397</v>
      </c>
      <c r="J6" s="30" t="inlineStr">
        <is>
          <t>500333</t>
        </is>
      </c>
    </row>
    <row r="7">
      <c r="A7" s="30" t="inlineStr">
        <is>
          <t>KABRAEXTRU</t>
        </is>
      </c>
      <c r="B7" s="30" t="inlineStr">
        <is>
          <t>Kabra Extrusion Technik Limited</t>
        </is>
      </c>
      <c r="C7" s="30" t="inlineStr">
        <is>
          <t>industrials</t>
        </is>
      </c>
      <c r="D7" s="30" t="inlineStr">
        <is>
          <t>engineering</t>
        </is>
      </c>
      <c r="E7" s="30" t="inlineStr">
        <is>
          <t>smallcap</t>
        </is>
      </c>
      <c r="F7" s="30" t="n">
        <v>1568.88</v>
      </c>
      <c r="G7" s="30" t="n">
        <v>510.75</v>
      </c>
      <c r="H7" s="30" t="n">
        <v>13.85</v>
      </c>
      <c r="I7" s="30" t="n">
        <v>2087592</v>
      </c>
      <c r="J7" s="30" t="inlineStr">
        <is>
          <t>524109</t>
        </is>
      </c>
    </row>
    <row r="8">
      <c r="A8" s="30" t="inlineStr">
        <is>
          <t>ANDHRSUGAR</t>
        </is>
      </c>
      <c r="B8" s="30" t="inlineStr">
        <is>
          <t>The Andhra Sugars Limited</t>
        </is>
      </c>
      <c r="C8" s="30" t="inlineStr">
        <is>
          <t>chemicals</t>
        </is>
      </c>
      <c r="D8" s="30" t="inlineStr">
        <is>
          <t>chlor alkali / soda ash</t>
        </is>
      </c>
      <c r="E8" s="30" t="inlineStr">
        <is>
          <t>smallcap</t>
        </is>
      </c>
      <c r="F8" s="30" t="n">
        <v>1192.44</v>
      </c>
      <c r="G8" s="30" t="n">
        <v>99.98</v>
      </c>
      <c r="H8" s="30" t="n">
        <v>13.64</v>
      </c>
      <c r="I8" s="30" t="n">
        <v>17423821</v>
      </c>
      <c r="J8" s="30" t="inlineStr">
        <is>
          <t>590062</t>
        </is>
      </c>
    </row>
    <row r="9">
      <c r="A9" s="30" t="inlineStr">
        <is>
          <t>DMCC</t>
        </is>
      </c>
      <c r="B9" s="30" t="inlineStr">
        <is>
          <t>DMCC Speciality Chemicals Ltd</t>
        </is>
      </c>
      <c r="C9" s="30" t="inlineStr">
        <is>
          <t>chemicals</t>
        </is>
      </c>
      <c r="D9" s="30" t="inlineStr">
        <is>
          <t>chemicals</t>
        </is>
      </c>
      <c r="E9" s="30" t="inlineStr">
        <is>
          <t>smallcap</t>
        </is>
      </c>
      <c r="F9" s="30" t="n">
        <v>692.46</v>
      </c>
      <c r="G9" s="30" t="n">
        <v>313.1</v>
      </c>
      <c r="H9" s="30" t="n">
        <v>12.77</v>
      </c>
      <c r="I9" s="30" t="n">
        <v>1241573</v>
      </c>
      <c r="J9" s="30" t="inlineStr">
        <is>
          <t>506405</t>
        </is>
      </c>
    </row>
    <row r="10">
      <c r="A10" s="30" t="inlineStr">
        <is>
          <t>JGCHEM</t>
        </is>
      </c>
      <c r="B10" s="30" t="inlineStr">
        <is>
          <t>J.G.Chemicals Ltd</t>
        </is>
      </c>
      <c r="C10" s="30" t="inlineStr">
        <is>
          <t>chemicals</t>
        </is>
      </c>
      <c r="D10" s="30" t="inlineStr">
        <is>
          <t>chemicals</t>
        </is>
      </c>
      <c r="E10" s="30" t="inlineStr">
        <is>
          <t>smallcap</t>
        </is>
      </c>
      <c r="F10" s="30" t="n">
        <v>2166.21</v>
      </c>
      <c r="G10" s="30" t="n">
        <v>622.2</v>
      </c>
      <c r="H10" s="30" t="n">
        <v>12.55</v>
      </c>
      <c r="I10" s="30" t="n">
        <v>10811484</v>
      </c>
      <c r="J10" s="30" t="n"/>
    </row>
    <row r="11">
      <c r="A11" s="30" t="inlineStr">
        <is>
          <t>RAMCOIND</t>
        </is>
      </c>
      <c r="B11" s="30" t="inlineStr">
        <is>
          <t>Ramco Industries Limited</t>
        </is>
      </c>
      <c r="C11" s="30" t="inlineStr">
        <is>
          <t>building materials</t>
        </is>
      </c>
      <c r="D11" s="30" t="inlineStr">
        <is>
          <t>cement products</t>
        </is>
      </c>
      <c r="E11" s="30" t="inlineStr">
        <is>
          <t>smallcap</t>
        </is>
      </c>
      <c r="F11" s="30" t="n">
        <v>2949.57</v>
      </c>
      <c r="G11" s="30" t="n">
        <v>377.2</v>
      </c>
      <c r="H11" s="30" t="n">
        <v>11.06</v>
      </c>
      <c r="I11" s="30" t="n">
        <v>21233222</v>
      </c>
      <c r="J11" s="30" t="inlineStr">
        <is>
          <t>532369</t>
        </is>
      </c>
    </row>
    <row r="12">
      <c r="A12" s="30" t="inlineStr">
        <is>
          <t>POWERINDIA</t>
        </is>
      </c>
      <c r="B12" s="30" t="inlineStr">
        <is>
          <t>Hitachi Energy India Ltd</t>
        </is>
      </c>
      <c r="C12" s="30" t="inlineStr">
        <is>
          <t>industrials</t>
        </is>
      </c>
      <c r="D12" s="30" t="inlineStr">
        <is>
          <t>electric equipment</t>
        </is>
      </c>
      <c r="E12" s="30" t="inlineStr">
        <is>
          <t>largecap</t>
        </is>
      </c>
      <c r="F12" s="30" t="n">
        <v>145305.9</v>
      </c>
      <c r="G12" s="30" t="n">
        <v>36050</v>
      </c>
      <c r="H12" s="30" t="n">
        <v>10.58</v>
      </c>
      <c r="I12" s="30" t="n">
        <v>1348196</v>
      </c>
      <c r="J12" s="30" t="inlineStr">
        <is>
          <t>543187</t>
        </is>
      </c>
    </row>
    <row r="13">
      <c r="A13" s="30" t="inlineStr">
        <is>
          <t>PAYTM</t>
        </is>
      </c>
      <c r="B13" s="30" t="inlineStr">
        <is>
          <t>One 97 Communications Ltd</t>
        </is>
      </c>
      <c r="C13" s="30" t="inlineStr">
        <is>
          <t>i.t</t>
        </is>
      </c>
      <c r="D13" s="30" t="inlineStr">
        <is>
          <t>miscellaneous</t>
        </is>
      </c>
      <c r="E13" s="30" t="inlineStr">
        <is>
          <t>largecap</t>
        </is>
      </c>
      <c r="F13" s="30" t="n">
        <v>92310.98</v>
      </c>
      <c r="G13" s="30" t="n">
        <v>1584.1</v>
      </c>
      <c r="H13" s="30" t="n">
        <v>9.880000000000001</v>
      </c>
      <c r="I13" s="30" t="n">
        <v>39982128</v>
      </c>
      <c r="J13" s="30" t="inlineStr">
        <is>
          <t>543396</t>
        </is>
      </c>
    </row>
    <row r="14">
      <c r="A14" s="30" t="inlineStr">
        <is>
          <t>EMIL</t>
        </is>
      </c>
      <c r="B14" s="30" t="inlineStr">
        <is>
          <t>Electronics Mart India Ltd</t>
        </is>
      </c>
      <c r="C14" s="30" t="inlineStr">
        <is>
          <t>consumer discretionary</t>
        </is>
      </c>
      <c r="D14" s="30" t="inlineStr">
        <is>
          <t>trading</t>
        </is>
      </c>
      <c r="E14" s="30" t="inlineStr">
        <is>
          <t>midcap</t>
        </is>
      </c>
      <c r="F14" s="30" t="n">
        <v>6380.29</v>
      </c>
      <c r="G14" s="30" t="n">
        <v>180.77</v>
      </c>
      <c r="H14" s="30" t="n">
        <v>9.01</v>
      </c>
      <c r="I14" s="30" t="n">
        <v>101219512</v>
      </c>
      <c r="J14" s="30" t="inlineStr">
        <is>
          <t>543626</t>
        </is>
      </c>
    </row>
    <row r="15">
      <c r="A15" s="30" t="inlineStr">
        <is>
          <t>VINDHYATEL</t>
        </is>
      </c>
      <c r="B15" s="30" t="inlineStr">
        <is>
          <t>Vindhya Telelinks Limited</t>
        </is>
      </c>
      <c r="C15" s="30" t="inlineStr">
        <is>
          <t>realty</t>
        </is>
      </c>
      <c r="D15" s="30" t="inlineStr">
        <is>
          <t>construction</t>
        </is>
      </c>
      <c r="E15" s="30" t="inlineStr">
        <is>
          <t>smallcap</t>
        </is>
      </c>
      <c r="F15" s="30" t="n">
        <v>2656.61</v>
      </c>
      <c r="G15" s="30" t="n">
        <v>2438.4</v>
      </c>
      <c r="H15" s="30" t="n">
        <v>8.77</v>
      </c>
      <c r="I15" s="30" t="n">
        <v>290828</v>
      </c>
      <c r="J15" s="30" t="inlineStr">
        <is>
          <t>517015</t>
        </is>
      </c>
    </row>
    <row r="16">
      <c r="A16" s="30" t="inlineStr">
        <is>
          <t>MACPOWER</t>
        </is>
      </c>
      <c r="B16" s="30" t="inlineStr">
        <is>
          <t>Macpower CNC Machines Ltd</t>
        </is>
      </c>
      <c r="C16" s="30" t="inlineStr">
        <is>
          <t>industrials</t>
        </is>
      </c>
      <c r="D16" s="30" t="inlineStr">
        <is>
          <t>engineering</t>
        </is>
      </c>
      <c r="E16" s="30" t="inlineStr">
        <is>
          <t>smallcap</t>
        </is>
      </c>
      <c r="F16" s="30" t="n">
        <v>1681.8</v>
      </c>
      <c r="G16" s="30" t="n">
        <v>1824.3</v>
      </c>
      <c r="H16" s="30" t="n">
        <v>8.52</v>
      </c>
      <c r="I16" s="30" t="n">
        <v>138274</v>
      </c>
      <c r="J16" s="30" t="inlineStr">
        <is>
          <t>535057</t>
        </is>
      </c>
    </row>
    <row r="17">
      <c r="A17" s="30" t="inlineStr">
        <is>
          <t>SKYGOLD</t>
        </is>
      </c>
      <c r="B17" s="30" t="inlineStr">
        <is>
          <t>Sky Gold Ltd</t>
        </is>
      </c>
      <c r="C17" s="30" t="inlineStr">
        <is>
          <t>consumer discretionary</t>
        </is>
      </c>
      <c r="D17" s="30" t="inlineStr">
        <is>
          <t>diamond cutting / jewellery</t>
        </is>
      </c>
      <c r="E17" s="30" t="inlineStr">
        <is>
          <t>midcap</t>
        </is>
      </c>
      <c r="F17" s="30" t="n">
        <v>11141.63</v>
      </c>
      <c r="G17" s="30" t="n">
        <v>779.6</v>
      </c>
      <c r="H17" s="30" t="n">
        <v>8.369999999999999</v>
      </c>
      <c r="I17" s="30" t="n">
        <v>8041846</v>
      </c>
      <c r="J17" s="30" t="inlineStr">
        <is>
          <t>541967</t>
        </is>
      </c>
    </row>
    <row r="18">
      <c r="A18" s="30" t="inlineStr">
        <is>
          <t>ORCHPHARMA</t>
        </is>
      </c>
      <c r="B18" s="30" t="inlineStr">
        <is>
          <t>Orchid Pharma Ltd</t>
        </is>
      </c>
      <c r="C18" s="30" t="inlineStr">
        <is>
          <t>healthcare</t>
        </is>
      </c>
      <c r="D18" s="30" t="inlineStr">
        <is>
          <t>pharmaceuticals - indian - bulk drugs &amp; formln</t>
        </is>
      </c>
      <c r="E18" s="30" t="inlineStr">
        <is>
          <t>midcap</t>
        </is>
      </c>
      <c r="F18" s="30" t="n">
        <v>5081.29</v>
      </c>
      <c r="G18" s="30" t="n">
        <v>1079.15</v>
      </c>
      <c r="H18" s="30" t="n">
        <v>7.72</v>
      </c>
      <c r="I18" s="30" t="n">
        <v>222143</v>
      </c>
      <c r="J18" s="30" t="inlineStr">
        <is>
          <t>524372</t>
        </is>
      </c>
    </row>
    <row r="19">
      <c r="A19" s="30" t="inlineStr">
        <is>
          <t>KAPSTON</t>
        </is>
      </c>
      <c r="B19" s="30" t="inlineStr">
        <is>
          <t>Kapston Services Ltd</t>
        </is>
      </c>
      <c r="C19" s="30" t="inlineStr">
        <is>
          <t>miscellaneous</t>
        </is>
      </c>
      <c r="D19" s="30" t="inlineStr">
        <is>
          <t>miscellaneous</t>
        </is>
      </c>
      <c r="E19" s="30" t="inlineStr">
        <is>
          <t>smallcap</t>
        </is>
      </c>
      <c r="F19" s="30" t="n">
        <v>1600.43</v>
      </c>
      <c r="G19" s="30" t="n">
        <v>566.05</v>
      </c>
      <c r="H19" s="30" t="n">
        <v>7.63</v>
      </c>
      <c r="I19" s="30" t="n">
        <v>195599</v>
      </c>
      <c r="J19" s="30" t="inlineStr">
        <is>
          <t>535064</t>
        </is>
      </c>
    </row>
    <row r="20">
      <c r="A20" s="30" t="inlineStr">
        <is>
          <t>NEOGEN</t>
        </is>
      </c>
      <c r="B20" s="30" t="inlineStr">
        <is>
          <t>Neogen Chemicals Ltd</t>
        </is>
      </c>
      <c r="C20" s="30" t="inlineStr">
        <is>
          <t>chemicals</t>
        </is>
      </c>
      <c r="D20" s="30" t="inlineStr">
        <is>
          <t>chemicals</t>
        </is>
      </c>
      <c r="E20" s="30" t="inlineStr">
        <is>
          <t>midcap</t>
        </is>
      </c>
      <c r="F20" s="30" t="n">
        <v>5563.68</v>
      </c>
      <c r="G20" s="30" t="n">
        <v>2182.8</v>
      </c>
      <c r="H20" s="30" t="n">
        <v>7.43</v>
      </c>
      <c r="I20" s="30" t="n">
        <v>505295</v>
      </c>
      <c r="J20" s="30" t="inlineStr">
        <is>
          <t>542665</t>
        </is>
      </c>
    </row>
    <row r="21">
      <c r="A21" s="30" t="inlineStr">
        <is>
          <t>INDOBORAX</t>
        </is>
      </c>
      <c r="B21" s="30" t="inlineStr">
        <is>
          <t>Indo Borax &amp; Chemicals Ltd</t>
        </is>
      </c>
      <c r="C21" s="30" t="inlineStr">
        <is>
          <t>chemicals</t>
        </is>
      </c>
      <c r="D21" s="30" t="inlineStr">
        <is>
          <t>chemicals</t>
        </is>
      </c>
      <c r="E21" s="30" t="inlineStr">
        <is>
          <t>smallcap</t>
        </is>
      </c>
      <c r="F21" s="30" t="n">
        <v>1284.88</v>
      </c>
      <c r="G21" s="30" t="n">
        <v>429.5</v>
      </c>
      <c r="H21" s="30" t="n">
        <v>7.27</v>
      </c>
      <c r="I21" s="30" t="n">
        <v>1906898</v>
      </c>
      <c r="J21" s="30" t="inlineStr">
        <is>
          <t>524342</t>
        </is>
      </c>
    </row>
    <row r="22">
      <c r="A22" s="30" t="inlineStr">
        <is>
          <t>SHAILY</t>
        </is>
      </c>
      <c r="B22" s="30" t="inlineStr">
        <is>
          <t>Shaily Engineering Plastics Ltd</t>
        </is>
      </c>
      <c r="C22" s="30" t="inlineStr">
        <is>
          <t>plastic products</t>
        </is>
      </c>
      <c r="D22" s="30" t="inlineStr">
        <is>
          <t>plastics products</t>
        </is>
      </c>
      <c r="E22" s="30" t="inlineStr">
        <is>
          <t>midcap</t>
        </is>
      </c>
      <c r="F22" s="30" t="n">
        <v>14545.08</v>
      </c>
      <c r="G22" s="30" t="n">
        <v>3367.4</v>
      </c>
      <c r="H22" s="30" t="n">
        <v>6.49</v>
      </c>
      <c r="I22" s="30" t="n">
        <v>408713</v>
      </c>
      <c r="J22" s="30" t="inlineStr">
        <is>
          <t>501423</t>
        </is>
      </c>
    </row>
    <row r="23">
      <c r="A23" s="30" t="inlineStr">
        <is>
          <t>SYRMA</t>
        </is>
      </c>
      <c r="B23" s="30" t="inlineStr">
        <is>
          <t>Syrma SGS Technology Ltd</t>
        </is>
      </c>
      <c r="C23" s="30" t="inlineStr">
        <is>
          <t>consumer discretionary</t>
        </is>
      </c>
      <c r="D23" s="30" t="inlineStr">
        <is>
          <t>electronics - components</t>
        </is>
      </c>
      <c r="E23" s="30" t="inlineStr">
        <is>
          <t>largecap</t>
        </is>
      </c>
      <c r="F23" s="30" t="n">
        <v>27472.56</v>
      </c>
      <c r="G23" s="30" t="n">
        <v>1516.4</v>
      </c>
      <c r="H23" s="30" t="n">
        <v>6.44</v>
      </c>
      <c r="I23" s="30" t="n">
        <v>3864241</v>
      </c>
      <c r="J23" s="30" t="inlineStr">
        <is>
          <t>543573</t>
        </is>
      </c>
    </row>
    <row r="24">
      <c r="A24" s="30" t="inlineStr">
        <is>
          <t>LMW</t>
        </is>
      </c>
      <c r="B24" s="30" t="inlineStr">
        <is>
          <t>LMW Ltd</t>
        </is>
      </c>
      <c r="C24" s="30" t="inlineStr">
        <is>
          <t>industrials</t>
        </is>
      </c>
      <c r="D24" s="30" t="inlineStr">
        <is>
          <t>textile machinery</t>
        </is>
      </c>
      <c r="E24" s="30" t="inlineStr">
        <is>
          <t>midcap</t>
        </is>
      </c>
      <c r="F24" s="30" t="n">
        <v>17764.76</v>
      </c>
      <c r="G24" s="30" t="n">
        <v>17689</v>
      </c>
      <c r="H24" s="30" t="n">
        <v>6.37</v>
      </c>
      <c r="I24" s="30" t="n">
        <v>14329</v>
      </c>
      <c r="J24" s="30" t="inlineStr">
        <is>
          <t>500252</t>
        </is>
      </c>
    </row>
    <row r="25">
      <c r="A25" s="30" t="inlineStr">
        <is>
          <t>SHILPAMED</t>
        </is>
      </c>
      <c r="B25" s="30" t="inlineStr">
        <is>
          <t>Shilpa Medicare Limited</t>
        </is>
      </c>
      <c r="C25" s="30" t="inlineStr">
        <is>
          <t>healthcare</t>
        </is>
      </c>
      <c r="D25" s="30" t="inlineStr">
        <is>
          <t>pharmaceuticals - indian - formulations</t>
        </is>
      </c>
      <c r="E25" s="30" t="inlineStr">
        <is>
          <t>midcap</t>
        </is>
      </c>
      <c r="F25" s="30" t="n">
        <v>14859.33</v>
      </c>
      <c r="G25" s="30" t="n">
        <v>807.55</v>
      </c>
      <c r="H25" s="30" t="n">
        <v>6.29</v>
      </c>
      <c r="I25" s="30" t="n">
        <v>6377695</v>
      </c>
      <c r="J25" s="30" t="inlineStr">
        <is>
          <t>530549</t>
        </is>
      </c>
    </row>
    <row r="26">
      <c r="A26" s="30" t="inlineStr">
        <is>
          <t>SENORES</t>
        </is>
      </c>
      <c r="B26" s="30" t="inlineStr">
        <is>
          <t>Senores Pharmaceuticals Ltd</t>
        </is>
      </c>
      <c r="C26" s="30" t="inlineStr">
        <is>
          <t>healthcare</t>
        </is>
      </c>
      <c r="D26" s="30" t="inlineStr">
        <is>
          <t>pharmaceuticals - indian - formulations</t>
        </is>
      </c>
      <c r="E26" s="30" t="inlineStr">
        <is>
          <t>midcap</t>
        </is>
      </c>
      <c r="F26" s="30" t="n">
        <v>6183.15</v>
      </c>
      <c r="G26" s="30" t="n">
        <v>1422.2</v>
      </c>
      <c r="H26" s="30" t="n">
        <v>5.93</v>
      </c>
      <c r="I26" s="30" t="n">
        <v>565542</v>
      </c>
      <c r="J26" s="30" t="inlineStr">
        <is>
          <t>544319</t>
        </is>
      </c>
    </row>
    <row r="27">
      <c r="A27" s="30" t="inlineStr">
        <is>
          <t>HCG</t>
        </is>
      </c>
      <c r="B27" s="30" t="inlineStr">
        <is>
          <t>Healthcare Global Enterprises Limited</t>
        </is>
      </c>
      <c r="C27" s="30" t="inlineStr">
        <is>
          <t>healthcare</t>
        </is>
      </c>
      <c r="D27" s="30" t="inlineStr">
        <is>
          <t>healthcare</t>
        </is>
      </c>
      <c r="E27" s="30" t="inlineStr">
        <is>
          <t>midcap</t>
        </is>
      </c>
      <c r="F27" s="30" t="n">
        <v>10090.59</v>
      </c>
      <c r="G27" s="30" t="n">
        <v>715.65</v>
      </c>
      <c r="H27" s="30" t="n">
        <v>5.89</v>
      </c>
      <c r="I27" s="30" t="n">
        <v>515232</v>
      </c>
      <c r="J27" s="30" t="inlineStr">
        <is>
          <t>539787</t>
        </is>
      </c>
    </row>
    <row r="28">
      <c r="A28" s="30" t="inlineStr">
        <is>
          <t>ENTERO</t>
        </is>
      </c>
      <c r="B28" s="30" t="inlineStr">
        <is>
          <t>Entero Healthcare Solutions Ltd</t>
        </is>
      </c>
      <c r="C28" s="30" t="inlineStr">
        <is>
          <t>healthcare</t>
        </is>
      </c>
      <c r="D28" s="30" t="inlineStr">
        <is>
          <t>trading</t>
        </is>
      </c>
      <c r="E28" s="30" t="inlineStr">
        <is>
          <t>midcap</t>
        </is>
      </c>
      <c r="F28" s="30" t="n">
        <v>5408.61</v>
      </c>
      <c r="G28" s="30" t="n">
        <v>1315.1</v>
      </c>
      <c r="H28" s="30" t="n">
        <v>5.83</v>
      </c>
      <c r="I28" s="30" t="n">
        <v>1413561</v>
      </c>
      <c r="J28" s="30" t="inlineStr">
        <is>
          <t>544122</t>
        </is>
      </c>
    </row>
    <row r="29">
      <c r="A29" s="30" t="inlineStr">
        <is>
          <t>CARYSIL</t>
        </is>
      </c>
      <c r="B29" s="30" t="inlineStr">
        <is>
          <t>Carysil Ltd</t>
        </is>
      </c>
      <c r="C29" s="30" t="inlineStr">
        <is>
          <t>consumer discretionary</t>
        </is>
      </c>
      <c r="D29" s="30" t="inlineStr">
        <is>
          <t>domestic appliances</t>
        </is>
      </c>
      <c r="E29" s="30" t="inlineStr">
        <is>
          <t>smallcap</t>
        </is>
      </c>
      <c r="F29" s="30" t="n">
        <v>3367.32</v>
      </c>
      <c r="G29" s="30" t="n">
        <v>1251.7</v>
      </c>
      <c r="H29" s="30" t="n">
        <v>5.73</v>
      </c>
      <c r="I29" s="30" t="n">
        <v>493239</v>
      </c>
      <c r="J29" s="30" t="inlineStr">
        <is>
          <t>524091</t>
        </is>
      </c>
    </row>
    <row r="30">
      <c r="A30" s="30" t="inlineStr">
        <is>
          <t>POLYPLEX</t>
        </is>
      </c>
      <c r="B30" s="30" t="inlineStr">
        <is>
          <t>Polyplex Corporation Limited</t>
        </is>
      </c>
      <c r="C30" s="30" t="inlineStr">
        <is>
          <t>industrials</t>
        </is>
      </c>
      <c r="D30" s="30" t="inlineStr">
        <is>
          <t>packaging</t>
        </is>
      </c>
      <c r="E30" s="30" t="inlineStr">
        <is>
          <t>smallcap</t>
        </is>
      </c>
      <c r="F30" s="30" t="n">
        <v>3503.08</v>
      </c>
      <c r="G30" s="30" t="n">
        <v>1179.7</v>
      </c>
      <c r="H30" s="30" t="n">
        <v>5.72</v>
      </c>
      <c r="I30" s="30" t="n">
        <v>269422</v>
      </c>
      <c r="J30" s="30" t="inlineStr">
        <is>
          <t>524051</t>
        </is>
      </c>
    </row>
    <row r="31">
      <c r="A31" s="30" t="inlineStr">
        <is>
          <t>AVADHSUGAR</t>
        </is>
      </c>
      <c r="B31" s="30" t="inlineStr">
        <is>
          <t>Avadh Sugar &amp; Energy</t>
        </is>
      </c>
      <c r="C31" s="30" t="inlineStr">
        <is>
          <t>fmcg</t>
        </is>
      </c>
      <c r="D31" s="30" t="inlineStr">
        <is>
          <t>sugar</t>
        </is>
      </c>
      <c r="E31" s="30" t="inlineStr">
        <is>
          <t>smallcap</t>
        </is>
      </c>
      <c r="F31" s="30" t="n">
        <v>1203.21</v>
      </c>
      <c r="G31" s="30" t="n">
        <v>635.1</v>
      </c>
      <c r="H31" s="30" t="n">
        <v>5.67</v>
      </c>
      <c r="I31" s="30" t="n">
        <v>231854</v>
      </c>
      <c r="J31" s="30" t="inlineStr">
        <is>
          <t>540649</t>
        </is>
      </c>
    </row>
    <row r="32">
      <c r="A32" s="30" t="inlineStr">
        <is>
          <t>DHAMPURSUG</t>
        </is>
      </c>
      <c r="B32" s="30" t="inlineStr">
        <is>
          <t>Dhampur Sugar Mills Limited</t>
        </is>
      </c>
      <c r="C32" s="30" t="inlineStr">
        <is>
          <t>fmcg</t>
        </is>
      </c>
      <c r="D32" s="30" t="inlineStr">
        <is>
          <t>sugar</t>
        </is>
      </c>
      <c r="E32" s="30" t="inlineStr">
        <is>
          <t>smallcap</t>
        </is>
      </c>
      <c r="F32" s="30" t="n">
        <v>970.3200000000001</v>
      </c>
      <c r="G32" s="30" t="n">
        <v>159.43</v>
      </c>
      <c r="H32" s="30" t="n">
        <v>5.66</v>
      </c>
      <c r="I32" s="30" t="n">
        <v>1387689</v>
      </c>
      <c r="J32" s="30" t="inlineStr">
        <is>
          <t>500119</t>
        </is>
      </c>
    </row>
    <row r="33">
      <c r="A33" s="30" t="inlineStr">
        <is>
          <t>PDSL</t>
        </is>
      </c>
      <c r="B33" s="30" t="inlineStr">
        <is>
          <t>PDS Ltd</t>
        </is>
      </c>
      <c r="C33" s="30" t="inlineStr">
        <is>
          <t>textiles</t>
        </is>
      </c>
      <c r="D33" s="30" t="inlineStr">
        <is>
          <t>trading</t>
        </is>
      </c>
      <c r="E33" s="30" t="inlineStr">
        <is>
          <t>midcap</t>
        </is>
      </c>
      <c r="F33" s="30" t="n">
        <v>5118.08</v>
      </c>
      <c r="G33" s="30" t="n">
        <v>382.25</v>
      </c>
      <c r="H33" s="30" t="n">
        <v>5.64</v>
      </c>
      <c r="I33" s="30" t="n">
        <v>550825</v>
      </c>
      <c r="J33" s="30" t="inlineStr">
        <is>
          <t>538730</t>
        </is>
      </c>
    </row>
    <row r="34">
      <c r="A34" s="30" t="inlineStr">
        <is>
          <t>KOVAI</t>
        </is>
      </c>
      <c r="B34" s="30" t="inlineStr">
        <is>
          <t>Kovai Medical Center &amp; Hospital Ltd</t>
        </is>
      </c>
      <c r="C34" s="30" t="inlineStr">
        <is>
          <t>healthcare</t>
        </is>
      </c>
      <c r="D34" s="30" t="inlineStr">
        <is>
          <t>healthcare</t>
        </is>
      </c>
      <c r="E34" s="30" t="inlineStr">
        <is>
          <t>midcap</t>
        </is>
      </c>
      <c r="F34" s="30" t="n">
        <v>6394.11</v>
      </c>
      <c r="G34" s="30" t="n">
        <v>6162</v>
      </c>
      <c r="H34" s="30" t="n">
        <v>5.45</v>
      </c>
      <c r="I34" s="30" t="n">
        <v>15049</v>
      </c>
      <c r="J34" s="30" t="inlineStr">
        <is>
          <t>523323</t>
        </is>
      </c>
    </row>
    <row r="35">
      <c r="A35" s="30" t="inlineStr">
        <is>
          <t>MARINE</t>
        </is>
      </c>
      <c r="B35" s="30" t="inlineStr">
        <is>
          <t>Marine Electricals (India) Ltd</t>
        </is>
      </c>
      <c r="C35" s="30" t="inlineStr">
        <is>
          <t>industrials</t>
        </is>
      </c>
      <c r="D35" s="30" t="inlineStr">
        <is>
          <t>electric equipment</t>
        </is>
      </c>
      <c r="E35" s="30" t="inlineStr">
        <is>
          <t>smallcap</t>
        </is>
      </c>
      <c r="F35" s="30" t="n">
        <v>4714.73</v>
      </c>
      <c r="G35" s="30" t="n">
        <v>355.15</v>
      </c>
      <c r="H35" s="30" t="n">
        <v>5.42</v>
      </c>
      <c r="I35" s="30" t="n">
        <v>1868563</v>
      </c>
      <c r="J35" s="30" t="inlineStr">
        <is>
          <t>535119</t>
        </is>
      </c>
    </row>
    <row r="36">
      <c r="A36" s="30" t="inlineStr">
        <is>
          <t>BEML</t>
        </is>
      </c>
      <c r="B36" s="30" t="inlineStr">
        <is>
          <t>Beml Limited</t>
        </is>
      </c>
      <c r="C36" s="30" t="inlineStr">
        <is>
          <t>aerospace &amp; defence</t>
        </is>
      </c>
      <c r="D36" s="30" t="inlineStr">
        <is>
          <t>engineering</t>
        </is>
      </c>
      <c r="E36" s="30" t="inlineStr">
        <is>
          <t>midcap</t>
        </is>
      </c>
      <c r="F36" s="30" t="n">
        <v>14890.41</v>
      </c>
      <c r="G36" s="30" t="n">
        <v>1884.4</v>
      </c>
      <c r="H36" s="30" t="n">
        <v>5.4</v>
      </c>
      <c r="I36" s="30" t="n">
        <v>2639115</v>
      </c>
      <c r="J36" s="30" t="inlineStr">
        <is>
          <t>500048</t>
        </is>
      </c>
    </row>
    <row r="37">
      <c r="A37" s="30" t="inlineStr">
        <is>
          <t>MMP</t>
        </is>
      </c>
      <c r="B37" s="30" t="inlineStr">
        <is>
          <t>MMP Industries Ltd</t>
        </is>
      </c>
      <c r="C37" s="30" t="inlineStr">
        <is>
          <t>metals &amp; mining</t>
        </is>
      </c>
      <c r="D37" s="30" t="inlineStr">
        <is>
          <t>aluminium and aluminium products</t>
        </is>
      </c>
      <c r="E37" s="30" t="inlineStr">
        <is>
          <t>smallcap</t>
        </is>
      </c>
      <c r="F37" s="30" t="n">
        <v>617.29</v>
      </c>
      <c r="G37" s="30" t="n">
        <v>343.65</v>
      </c>
      <c r="H37" s="30" t="n">
        <v>5.33</v>
      </c>
      <c r="I37" s="30" t="n">
        <v>323912</v>
      </c>
      <c r="J37" s="30" t="inlineStr">
        <is>
          <t>535071</t>
        </is>
      </c>
    </row>
    <row r="38">
      <c r="A38" s="30" t="inlineStr">
        <is>
          <t>SUMICHEM</t>
        </is>
      </c>
      <c r="B38" s="30" t="inlineStr">
        <is>
          <t>Sumitomo Chemical India Ltd</t>
        </is>
      </c>
      <c r="C38" s="30" t="inlineStr">
        <is>
          <t>chemicals</t>
        </is>
      </c>
      <c r="D38" s="30" t="inlineStr">
        <is>
          <t>pesticides / agrochemicals - indian</t>
        </is>
      </c>
      <c r="E38" s="30" t="inlineStr">
        <is>
          <t>largecap</t>
        </is>
      </c>
      <c r="F38" s="30" t="n">
        <v>26601.97</v>
      </c>
      <c r="G38" s="30" t="n">
        <v>561.25</v>
      </c>
      <c r="H38" s="30" t="n">
        <v>5.31</v>
      </c>
      <c r="I38" s="30" t="n">
        <v>2054001</v>
      </c>
      <c r="J38" s="30" t="inlineStr">
        <is>
          <t>542920</t>
        </is>
      </c>
    </row>
    <row r="39">
      <c r="A39" s="30" t="inlineStr">
        <is>
          <t>DYCL</t>
        </is>
      </c>
      <c r="B39" s="30" t="inlineStr">
        <is>
          <t>Dynamic Cables Ltd</t>
        </is>
      </c>
      <c r="C39" s="30" t="inlineStr">
        <is>
          <t>industrials</t>
        </is>
      </c>
      <c r="D39" s="30" t="inlineStr">
        <is>
          <t>cables - power</t>
        </is>
      </c>
      <c r="E39" s="30" t="inlineStr">
        <is>
          <t>smallcap</t>
        </is>
      </c>
      <c r="F39" s="30" t="n">
        <v>1947.55</v>
      </c>
      <c r="G39" s="30" t="n">
        <v>422.85</v>
      </c>
      <c r="H39" s="30" t="n">
        <v>5.21</v>
      </c>
      <c r="I39" s="30" t="n">
        <v>1226625</v>
      </c>
      <c r="J39" s="30" t="inlineStr">
        <is>
          <t>540795</t>
        </is>
      </c>
    </row>
    <row r="40">
      <c r="A40" s="30" t="inlineStr">
        <is>
          <t>3IINFOLTD</t>
        </is>
      </c>
      <c r="B40" s="30" t="inlineStr">
        <is>
          <t>3i Infotech Ltd</t>
        </is>
      </c>
      <c r="C40" s="30" t="inlineStr">
        <is>
          <t>i.t</t>
        </is>
      </c>
      <c r="D40" s="30" t="inlineStr">
        <is>
          <t>computers - software - medium / small</t>
        </is>
      </c>
      <c r="E40" s="30" t="inlineStr">
        <is>
          <t>smallcap</t>
        </is>
      </c>
      <c r="F40" s="30" t="n">
        <v>534.89</v>
      </c>
      <c r="G40" s="30" t="n">
        <v>27.13</v>
      </c>
      <c r="H40" s="30" t="n">
        <v>5.2</v>
      </c>
      <c r="I40" s="30" t="n">
        <v>3329011</v>
      </c>
      <c r="J40" s="30" t="inlineStr">
        <is>
          <t>532628</t>
        </is>
      </c>
    </row>
    <row r="41">
      <c r="A41" s="30" t="inlineStr">
        <is>
          <t>HINDOILEXP</t>
        </is>
      </c>
      <c r="B41" s="30" t="inlineStr">
        <is>
          <t>Hindustan Oil Exploration Company Limited</t>
        </is>
      </c>
      <c r="C41" s="30" t="inlineStr">
        <is>
          <t>energy</t>
        </is>
      </c>
      <c r="D41" s="30" t="inlineStr">
        <is>
          <t>oil drilling / allied services</t>
        </is>
      </c>
      <c r="E41" s="30" t="inlineStr">
        <is>
          <t>smallcap</t>
        </is>
      </c>
      <c r="F41" s="30" t="n">
        <v>2059.56</v>
      </c>
      <c r="G41" s="30" t="n">
        <v>163.84</v>
      </c>
      <c r="H41" s="30" t="n">
        <v>5.2</v>
      </c>
      <c r="I41" s="30" t="n">
        <v>1138196</v>
      </c>
      <c r="J41" s="30" t="inlineStr">
        <is>
          <t>500186</t>
        </is>
      </c>
    </row>
    <row r="42">
      <c r="A42" s="30" t="inlineStr">
        <is>
          <t>SCHNEIDER</t>
        </is>
      </c>
      <c r="B42" s="30" t="inlineStr">
        <is>
          <t>Schneider Electric Infrastructure Limited</t>
        </is>
      </c>
      <c r="C42" s="30" t="inlineStr">
        <is>
          <t>industrials</t>
        </is>
      </c>
      <c r="D42" s="30" t="inlineStr">
        <is>
          <t>electric equipment</t>
        </is>
      </c>
      <c r="E42" s="30" t="inlineStr">
        <is>
          <t>largecap</t>
        </is>
      </c>
      <c r="F42" s="30" t="n">
        <v>32393.81</v>
      </c>
      <c r="G42" s="30" t="n">
        <v>1424.9</v>
      </c>
      <c r="H42" s="30" t="n">
        <v>5.17</v>
      </c>
      <c r="I42" s="30" t="n">
        <v>921329</v>
      </c>
      <c r="J42" s="30" t="inlineStr">
        <is>
          <t>534139</t>
        </is>
      </c>
    </row>
    <row r="43">
      <c r="A43" s="30" t="inlineStr">
        <is>
          <t>RISHABH</t>
        </is>
      </c>
      <c r="B43" s="30" t="inlineStr">
        <is>
          <t>Rishabh Instruments Ltd</t>
        </is>
      </c>
      <c r="C43" s="30" t="inlineStr">
        <is>
          <t>industrials</t>
        </is>
      </c>
      <c r="D43" s="30" t="inlineStr">
        <is>
          <t>electric equipment</t>
        </is>
      </c>
      <c r="E43" s="30" t="inlineStr">
        <is>
          <t>smallcap</t>
        </is>
      </c>
      <c r="F43" s="30" t="n">
        <v>2463.86</v>
      </c>
      <c r="G43" s="30" t="n">
        <v>671.9</v>
      </c>
      <c r="H43" s="30" t="n">
        <v>5.12</v>
      </c>
      <c r="I43" s="30" t="n">
        <v>482144</v>
      </c>
      <c r="J43" s="30" t="inlineStr">
        <is>
          <t>543977</t>
        </is>
      </c>
    </row>
    <row r="44">
      <c r="A44" s="30" t="inlineStr">
        <is>
          <t>NELCO</t>
        </is>
      </c>
      <c r="B44" s="30" t="inlineStr">
        <is>
          <t>Nelco Limited</t>
        </is>
      </c>
      <c r="C44" s="30" t="inlineStr">
        <is>
          <t>telecom</t>
        </is>
      </c>
      <c r="D44" s="30" t="inlineStr">
        <is>
          <t>telecommunications - service provider</t>
        </is>
      </c>
      <c r="E44" s="30" t="inlineStr">
        <is>
          <t>smallcap</t>
        </is>
      </c>
      <c r="F44" s="30" t="n">
        <v>2188.06</v>
      </c>
      <c r="G44" s="30" t="n">
        <v>1007.6</v>
      </c>
      <c r="H44" s="30" t="n">
        <v>5.08</v>
      </c>
      <c r="I44" s="30" t="n">
        <v>790813</v>
      </c>
      <c r="J44" s="30" t="inlineStr">
        <is>
          <t>504112</t>
        </is>
      </c>
    </row>
    <row r="45">
      <c r="A45" s="30" t="inlineStr">
        <is>
          <t>ORBTEXP</t>
        </is>
      </c>
      <c r="B45" s="30" t="inlineStr">
        <is>
          <t>Orbit Exports Limited</t>
        </is>
      </c>
      <c r="C45" s="30" t="inlineStr">
        <is>
          <t>textiles</t>
        </is>
      </c>
      <c r="D45" s="30" t="inlineStr">
        <is>
          <t>textiles - processing</t>
        </is>
      </c>
      <c r="E45" s="30" t="inlineStr">
        <is>
          <t>smallcap</t>
        </is>
      </c>
      <c r="F45" s="30" t="n">
        <v>669.99</v>
      </c>
      <c r="G45" s="30" t="n">
        <v>265.35</v>
      </c>
      <c r="H45" s="30" t="n">
        <v>5</v>
      </c>
      <c r="I45" s="30" t="n">
        <v>9312</v>
      </c>
      <c r="J45" s="30" t="inlineStr">
        <is>
          <t>512626</t>
        </is>
      </c>
    </row>
    <row r="46">
      <c r="A46" s="30" t="inlineStr">
        <is>
          <t>UEL</t>
        </is>
      </c>
      <c r="B46" s="30" t="inlineStr">
        <is>
          <t>Ujaas Energy Ltd</t>
        </is>
      </c>
      <c r="C46" s="30" t="inlineStr">
        <is>
          <t>power &amp; utilities</t>
        </is>
      </c>
      <c r="D46" s="30" t="inlineStr">
        <is>
          <t>power generation and supply</t>
        </is>
      </c>
      <c r="E46" s="30" t="inlineStr">
        <is>
          <t>smallcap</t>
        </is>
      </c>
      <c r="F46" s="30" t="n">
        <v>3438.86</v>
      </c>
      <c r="G46" s="30" t="n">
        <v>270.67</v>
      </c>
      <c r="H46" s="30" t="n">
        <v>5</v>
      </c>
      <c r="I46" s="30" t="n">
        <v>37036</v>
      </c>
      <c r="J46" s="30" t="inlineStr">
        <is>
          <t>533644</t>
        </is>
      </c>
    </row>
    <row r="47">
      <c r="A47" s="30" t="inlineStr">
        <is>
          <t>BIRLACABLE</t>
        </is>
      </c>
      <c r="B47" s="30" t="inlineStr">
        <is>
          <t>Birla Cable Limited</t>
        </is>
      </c>
      <c r="C47" s="30" t="inlineStr">
        <is>
          <t>industrials</t>
        </is>
      </c>
      <c r="D47" s="30" t="inlineStr">
        <is>
          <t>cables - telephone</t>
        </is>
      </c>
      <c r="E47" s="30" t="inlineStr">
        <is>
          <t>smallcap</t>
        </is>
      </c>
      <c r="F47" s="30" t="n">
        <v>762.63</v>
      </c>
      <c r="G47" s="30" t="n">
        <v>266.92</v>
      </c>
      <c r="H47" s="30" t="n">
        <v>5</v>
      </c>
      <c r="I47" s="30" t="n">
        <v>288266</v>
      </c>
      <c r="J47" s="30" t="inlineStr">
        <is>
          <t>500060</t>
        </is>
      </c>
    </row>
    <row r="48">
      <c r="A48" s="30" t="inlineStr">
        <is>
          <t>CHEMBONDCH</t>
        </is>
      </c>
      <c r="B48" s="30" t="inlineStr">
        <is>
          <t>Chembond Chemicals Ltd</t>
        </is>
      </c>
      <c r="C48" s="30" t="inlineStr">
        <is>
          <t>chemicals</t>
        </is>
      </c>
      <c r="D48" s="30" t="inlineStr">
        <is>
          <t>chemicals</t>
        </is>
      </c>
      <c r="E48" s="30" t="inlineStr">
        <is>
          <t>smallcap</t>
        </is>
      </c>
      <c r="F48" s="30" t="n">
        <v>638.58</v>
      </c>
      <c r="G48" s="30" t="n">
        <v>249.29</v>
      </c>
      <c r="H48" s="30" t="n">
        <v>5</v>
      </c>
      <c r="I48" s="30" t="n">
        <v>36393</v>
      </c>
      <c r="J48" s="30" t="inlineStr">
        <is>
          <t>544450</t>
        </is>
      </c>
    </row>
    <row r="49">
      <c r="A49" s="30" t="inlineStr">
        <is>
          <t>QPOWER</t>
        </is>
      </c>
      <c r="B49" s="30" t="inlineStr">
        <is>
          <t>Quality Power Electrical Equipments Ltd</t>
        </is>
      </c>
      <c r="C49" s="30" t="inlineStr">
        <is>
          <t>industrials</t>
        </is>
      </c>
      <c r="D49" s="30" t="inlineStr">
        <is>
          <t>electric equipment</t>
        </is>
      </c>
      <c r="E49" s="30" t="inlineStr">
        <is>
          <t>midcap</t>
        </is>
      </c>
      <c r="F49" s="30" t="n">
        <v>8705.49</v>
      </c>
      <c r="G49" s="30" t="n">
        <v>1180.3</v>
      </c>
      <c r="H49" s="30" t="n">
        <v>5</v>
      </c>
      <c r="I49" s="30" t="n">
        <v>156102</v>
      </c>
      <c r="J49" s="30" t="inlineStr">
        <is>
          <t>544367</t>
        </is>
      </c>
    </row>
    <row r="50">
      <c r="A50" s="30" t="inlineStr">
        <is>
          <t>PANACHE</t>
        </is>
      </c>
      <c r="B50" s="30" t="inlineStr">
        <is>
          <t>Panache Digilife Ltd</t>
        </is>
      </c>
      <c r="C50" s="30" t="inlineStr">
        <is>
          <t>i.t</t>
        </is>
      </c>
      <c r="D50" s="30" t="inlineStr">
        <is>
          <t>computers - hardware</t>
        </is>
      </c>
      <c r="E50" s="30" t="inlineStr">
        <is>
          <t>smallcap</t>
        </is>
      </c>
      <c r="F50" s="30" t="n">
        <v>734.3200000000001</v>
      </c>
      <c r="G50" s="30" t="n">
        <v>481.45</v>
      </c>
      <c r="H50" s="30" t="n">
        <v>4.99</v>
      </c>
      <c r="I50" s="30" t="n">
        <v>17355</v>
      </c>
      <c r="J50" s="30" t="inlineStr">
        <is>
          <t>538424</t>
        </is>
      </c>
    </row>
    <row r="51">
      <c r="A51" s="30" t="inlineStr">
        <is>
          <t>MODISONLTD</t>
        </is>
      </c>
      <c r="B51" s="30" t="inlineStr">
        <is>
          <t>Modison Ltd</t>
        </is>
      </c>
      <c r="C51" s="30" t="inlineStr">
        <is>
          <t>industrials</t>
        </is>
      </c>
      <c r="D51" s="30" t="inlineStr">
        <is>
          <t>electric equipment</t>
        </is>
      </c>
      <c r="E51" s="30" t="inlineStr">
        <is>
          <t>smallcap</t>
        </is>
      </c>
      <c r="F51" s="30" t="n">
        <v>905.1900000000001</v>
      </c>
      <c r="G51" s="30" t="n">
        <v>292.85</v>
      </c>
      <c r="H51" s="30" t="n">
        <v>4.98</v>
      </c>
      <c r="I51" s="30" t="n">
        <v>91330</v>
      </c>
      <c r="J51" s="30" t="inlineStr">
        <is>
          <t>506261</t>
        </is>
      </c>
    </row>
    <row r="52">
      <c r="A52" s="30" t="inlineStr">
        <is>
          <t>SADHNANIQ</t>
        </is>
      </c>
      <c r="B52" s="30" t="inlineStr">
        <is>
          <t>Sadhana Nitro Chem Ltd</t>
        </is>
      </c>
      <c r="C52" s="30" t="inlineStr">
        <is>
          <t>chemicals</t>
        </is>
      </c>
      <c r="D52" s="30" t="inlineStr">
        <is>
          <t>chemicals</t>
        </is>
      </c>
      <c r="E52" s="30" t="inlineStr">
        <is>
          <t>smallcap</t>
        </is>
      </c>
      <c r="F52" s="30" t="n">
        <v>895.34</v>
      </c>
      <c r="G52" s="30" t="n">
        <v>3.17</v>
      </c>
      <c r="H52" s="30" t="n">
        <v>4.97</v>
      </c>
      <c r="I52" s="30" t="n">
        <v>5099342</v>
      </c>
      <c r="J52" s="30" t="inlineStr">
        <is>
          <t>506642</t>
        </is>
      </c>
    </row>
    <row r="53">
      <c r="A53" s="30" t="inlineStr">
        <is>
          <t>LANDMARK</t>
        </is>
      </c>
      <c r="B53" s="30" t="inlineStr">
        <is>
          <t>Landmark Cars Ltd</t>
        </is>
      </c>
      <c r="C53" s="30" t="inlineStr">
        <is>
          <t>consumer discretionary</t>
        </is>
      </c>
      <c r="D53" s="30" t="inlineStr">
        <is>
          <t>trading</t>
        </is>
      </c>
      <c r="E53" s="30" t="inlineStr">
        <is>
          <t>smallcap</t>
        </is>
      </c>
      <c r="F53" s="30" t="n">
        <v>2218.58</v>
      </c>
      <c r="G53" s="30" t="n">
        <v>561.35</v>
      </c>
      <c r="H53" s="30" t="n">
        <v>4.92</v>
      </c>
      <c r="I53" s="30" t="n">
        <v>315817</v>
      </c>
      <c r="J53" s="30" t="inlineStr">
        <is>
          <t>543714</t>
        </is>
      </c>
    </row>
    <row r="54">
      <c r="A54" s="30" t="inlineStr">
        <is>
          <t>VISAKAIND</t>
        </is>
      </c>
      <c r="B54" s="30" t="inlineStr">
        <is>
          <t>Visaka Industries Limited</t>
        </is>
      </c>
      <c r="C54" s="30" t="inlineStr">
        <is>
          <t>building materials</t>
        </is>
      </c>
      <c r="D54" s="30" t="inlineStr">
        <is>
          <t>cement products</t>
        </is>
      </c>
      <c r="E54" s="30" t="inlineStr">
        <is>
          <t>smallcap</t>
        </is>
      </c>
      <c r="F54" s="30" t="n">
        <v>852.99</v>
      </c>
      <c r="G54" s="30" t="n">
        <v>103.52</v>
      </c>
      <c r="H54" s="30" t="n">
        <v>4.86</v>
      </c>
      <c r="I54" s="30" t="n">
        <v>4940371</v>
      </c>
      <c r="J54" s="30" t="inlineStr">
        <is>
          <t>509055</t>
        </is>
      </c>
    </row>
    <row r="55">
      <c r="A55" s="30" t="inlineStr">
        <is>
          <t>TCPLPACK</t>
        </is>
      </c>
      <c r="B55" s="30" t="inlineStr">
        <is>
          <t>TCPL Packaging Ltd</t>
        </is>
      </c>
      <c r="C55" s="30" t="inlineStr">
        <is>
          <t>industrials</t>
        </is>
      </c>
      <c r="D55" s="30" t="inlineStr">
        <is>
          <t>packaging</t>
        </is>
      </c>
      <c r="E55" s="30" t="inlineStr">
        <is>
          <t>smallcap</t>
        </is>
      </c>
      <c r="F55" s="30" t="n">
        <v>2865.5</v>
      </c>
      <c r="G55" s="30" t="n">
        <v>3300.1</v>
      </c>
      <c r="H55" s="30" t="n">
        <v>4.8</v>
      </c>
      <c r="I55" s="30" t="n">
        <v>11422</v>
      </c>
      <c r="J55" s="30" t="inlineStr">
        <is>
          <t>523301</t>
        </is>
      </c>
    </row>
    <row r="56">
      <c r="A56" s="30" t="inlineStr">
        <is>
          <t>PANAMAPET</t>
        </is>
      </c>
      <c r="B56" s="30" t="inlineStr">
        <is>
          <t>Panama Petrochem Limited</t>
        </is>
      </c>
      <c r="C56" s="30" t="inlineStr">
        <is>
          <t>energy</t>
        </is>
      </c>
      <c r="D56" s="30" t="inlineStr">
        <is>
          <t>petrochemicals</t>
        </is>
      </c>
      <c r="E56" s="30" t="inlineStr">
        <is>
          <t>smallcap</t>
        </is>
      </c>
      <c r="F56" s="30" t="n">
        <v>3053.72</v>
      </c>
      <c r="G56" s="30" t="n">
        <v>528.85</v>
      </c>
      <c r="H56" s="30" t="n">
        <v>4.76</v>
      </c>
      <c r="I56" s="30" t="n">
        <v>443883</v>
      </c>
      <c r="J56" s="30" t="inlineStr">
        <is>
          <t>524820</t>
        </is>
      </c>
    </row>
    <row r="57">
      <c r="A57" s="30" t="inlineStr">
        <is>
          <t>E2E</t>
        </is>
      </c>
      <c r="B57" s="30" t="inlineStr">
        <is>
          <t>E2E Networks Ltd</t>
        </is>
      </c>
      <c r="C57" s="30" t="inlineStr">
        <is>
          <t>i.t</t>
        </is>
      </c>
      <c r="D57" s="30" t="inlineStr">
        <is>
          <t>computers - software - medium / small</t>
        </is>
      </c>
      <c r="E57" s="30" t="inlineStr">
        <is>
          <t>midcap</t>
        </is>
      </c>
      <c r="F57" s="30" t="n">
        <v>11829.23</v>
      </c>
      <c r="G57" s="30" t="n">
        <v>602.8</v>
      </c>
      <c r="H57" s="30" t="n">
        <v>4.75</v>
      </c>
      <c r="I57" s="30" t="n">
        <v>3378109</v>
      </c>
      <c r="J57" s="30" t="inlineStr">
        <is>
          <t>535080</t>
        </is>
      </c>
    </row>
    <row r="58">
      <c r="A58" s="30" t="inlineStr">
        <is>
          <t>PRECWIRE</t>
        </is>
      </c>
      <c r="B58" s="30" t="inlineStr">
        <is>
          <t>Precision Wires India Limited</t>
        </is>
      </c>
      <c r="C58" s="30" t="inlineStr">
        <is>
          <t>metals &amp; mining</t>
        </is>
      </c>
      <c r="D58" s="30" t="inlineStr">
        <is>
          <t>mining / minerals / metals</t>
        </is>
      </c>
      <c r="E58" s="30" t="inlineStr">
        <is>
          <t>midcap</t>
        </is>
      </c>
      <c r="F58" s="30" t="n">
        <v>7564.59</v>
      </c>
      <c r="G58" s="30" t="n">
        <v>433.3</v>
      </c>
      <c r="H58" s="30" t="n">
        <v>4.71</v>
      </c>
      <c r="I58" s="30" t="n">
        <v>846917</v>
      </c>
      <c r="J58" s="30" t="inlineStr">
        <is>
          <t>523539</t>
        </is>
      </c>
    </row>
    <row r="59">
      <c r="A59" s="30" t="inlineStr">
        <is>
          <t>SANGHVIMOV</t>
        </is>
      </c>
      <c r="B59" s="30" t="inlineStr">
        <is>
          <t>Sanghvi Movers Limited</t>
        </is>
      </c>
      <c r="C59" s="30" t="inlineStr">
        <is>
          <t>miscellaneous</t>
        </is>
      </c>
      <c r="D59" s="30" t="inlineStr">
        <is>
          <t>miscellaneous</t>
        </is>
      </c>
      <c r="E59" s="30" t="inlineStr">
        <is>
          <t>smallcap</t>
        </is>
      </c>
      <c r="F59" s="30" t="n">
        <v>4228.37</v>
      </c>
      <c r="G59" s="30" t="n">
        <v>511.4</v>
      </c>
      <c r="H59" s="30" t="n">
        <v>4.71</v>
      </c>
      <c r="I59" s="30" t="n">
        <v>1897196</v>
      </c>
      <c r="J59" s="30" t="inlineStr">
        <is>
          <t>530073</t>
        </is>
      </c>
    </row>
    <row r="60">
      <c r="A60" s="30" t="inlineStr">
        <is>
          <t>AKUMS</t>
        </is>
      </c>
      <c r="B60" s="30" t="inlineStr">
        <is>
          <t>Akums Drugs &amp; Pharmaceuticals Ltd</t>
        </is>
      </c>
      <c r="C60" s="30" t="inlineStr">
        <is>
          <t>healthcare</t>
        </is>
      </c>
      <c r="D60" s="30" t="inlineStr">
        <is>
          <t>pharmaceuticals - indian - bulk drugs &amp; formln</t>
        </is>
      </c>
      <c r="E60" s="30" t="inlineStr">
        <is>
          <t>midcap</t>
        </is>
      </c>
      <c r="F60" s="30" t="n">
        <v>10977.44</v>
      </c>
      <c r="G60" s="30" t="n">
        <v>730.1</v>
      </c>
      <c r="H60" s="30" t="n">
        <v>4.68</v>
      </c>
      <c r="I60" s="30" t="n">
        <v>2185132</v>
      </c>
      <c r="J60" s="30" t="inlineStr">
        <is>
          <t>544222</t>
        </is>
      </c>
    </row>
    <row r="61">
      <c r="A61" s="30" t="inlineStr">
        <is>
          <t>PASUPTAC</t>
        </is>
      </c>
      <c r="B61" s="30" t="inlineStr">
        <is>
          <t>Pasupati Acrylon Ltd</t>
        </is>
      </c>
      <c r="C61" s="30" t="inlineStr">
        <is>
          <t>textiles</t>
        </is>
      </c>
      <c r="D61" s="30" t="inlineStr">
        <is>
          <t>textiles - manmade</t>
        </is>
      </c>
      <c r="E61" s="30" t="inlineStr">
        <is>
          <t>smallcap</t>
        </is>
      </c>
      <c r="F61" s="30" t="n">
        <v>556.01</v>
      </c>
      <c r="G61" s="30" t="n">
        <v>65.3</v>
      </c>
      <c r="H61" s="30" t="n">
        <v>4.68</v>
      </c>
      <c r="I61" s="30" t="n">
        <v>246857</v>
      </c>
      <c r="J61" s="30" t="inlineStr">
        <is>
          <t>500456</t>
        </is>
      </c>
    </row>
    <row r="62">
      <c r="A62" s="30" t="inlineStr">
        <is>
          <t>POLYMED</t>
        </is>
      </c>
      <c r="B62" s="30" t="inlineStr">
        <is>
          <t>Poly Medicure Limited</t>
        </is>
      </c>
      <c r="C62" s="30" t="inlineStr">
        <is>
          <t>healthcare</t>
        </is>
      </c>
      <c r="D62" s="30" t="inlineStr">
        <is>
          <t>healthcare</t>
        </is>
      </c>
      <c r="E62" s="30" t="inlineStr">
        <is>
          <t>midcap</t>
        </is>
      </c>
      <c r="F62" s="30" t="n">
        <v>17168.27</v>
      </c>
      <c r="G62" s="30" t="n">
        <v>1772.4</v>
      </c>
      <c r="H62" s="30" t="n">
        <v>4.64</v>
      </c>
      <c r="I62" s="30" t="n">
        <v>831186</v>
      </c>
      <c r="J62" s="30" t="inlineStr">
        <is>
          <t>531768</t>
        </is>
      </c>
    </row>
    <row r="63">
      <c r="A63" s="30" t="inlineStr">
        <is>
          <t>KECL</t>
        </is>
      </c>
      <c r="B63" s="30" t="inlineStr">
        <is>
          <t>Kirloskar Electric Company Limited</t>
        </is>
      </c>
      <c r="C63" s="30" t="inlineStr">
        <is>
          <t>industrials</t>
        </is>
      </c>
      <c r="D63" s="30" t="inlineStr">
        <is>
          <t>electric equipment</t>
        </is>
      </c>
      <c r="E63" s="30" t="inlineStr">
        <is>
          <t>smallcap</t>
        </is>
      </c>
      <c r="F63" s="30" t="n">
        <v>953.11</v>
      </c>
      <c r="G63" s="30" t="n">
        <v>150.17</v>
      </c>
      <c r="H63" s="30" t="n">
        <v>4.64</v>
      </c>
      <c r="I63" s="30" t="n">
        <v>564197</v>
      </c>
      <c r="J63" s="30" t="inlineStr">
        <is>
          <t>533193</t>
        </is>
      </c>
    </row>
    <row r="64">
      <c r="A64" s="30" t="inlineStr">
        <is>
          <t>SPECTRUM</t>
        </is>
      </c>
      <c r="B64" s="30" t="inlineStr">
        <is>
          <t>Spectrum Electrical Industries Ltd</t>
        </is>
      </c>
      <c r="C64" s="30" t="inlineStr">
        <is>
          <t>industrials</t>
        </is>
      </c>
      <c r="D64" s="30" t="inlineStr">
        <is>
          <t>electric equipment</t>
        </is>
      </c>
      <c r="E64" s="30" t="inlineStr">
        <is>
          <t>smallcap</t>
        </is>
      </c>
      <c r="F64" s="30" t="n">
        <v>3835.28</v>
      </c>
      <c r="G64" s="30" t="n">
        <v>2554</v>
      </c>
      <c r="H64" s="30" t="n">
        <v>4.64</v>
      </c>
      <c r="I64" s="30" t="n">
        <v>17112</v>
      </c>
      <c r="J64" s="30" t="inlineStr">
        <is>
          <t>535112</t>
        </is>
      </c>
    </row>
    <row r="65">
      <c r="A65" s="30" t="inlineStr">
        <is>
          <t>MMFL</t>
        </is>
      </c>
      <c r="B65" s="30" t="inlineStr">
        <is>
          <t>Mm Forgings Limited</t>
        </is>
      </c>
      <c r="C65" s="30" t="inlineStr">
        <is>
          <t>industrials</t>
        </is>
      </c>
      <c r="D65" s="30" t="inlineStr">
        <is>
          <t>castings &amp; forgings</t>
        </is>
      </c>
      <c r="E65" s="30" t="inlineStr">
        <is>
          <t>smallcap</t>
        </is>
      </c>
      <c r="F65" s="30" t="n">
        <v>3037.4</v>
      </c>
      <c r="G65" s="30" t="n">
        <v>658.25</v>
      </c>
      <c r="H65" s="30" t="n">
        <v>4.63</v>
      </c>
      <c r="I65" s="30" t="n">
        <v>308671</v>
      </c>
      <c r="J65" s="30" t="inlineStr">
        <is>
          <t>522241</t>
        </is>
      </c>
    </row>
    <row r="66">
      <c r="A66" s="30" t="inlineStr">
        <is>
          <t>NAUKRI</t>
        </is>
      </c>
      <c r="B66" s="30" t="inlineStr">
        <is>
          <t>Info Edge (india) Limited</t>
        </is>
      </c>
      <c r="C66" s="30" t="inlineStr">
        <is>
          <t>i.t</t>
        </is>
      </c>
      <c r="D66" s="30" t="inlineStr">
        <is>
          <t>miscellaneous</t>
        </is>
      </c>
      <c r="E66" s="30" t="inlineStr">
        <is>
          <t>largecap</t>
        </is>
      </c>
      <c r="F66" s="30" t="n">
        <v>79450.98</v>
      </c>
      <c r="G66" s="30" t="n">
        <v>1282</v>
      </c>
      <c r="H66" s="30" t="n">
        <v>4.63</v>
      </c>
      <c r="I66" s="30" t="n">
        <v>11456059</v>
      </c>
      <c r="J66" s="30" t="inlineStr">
        <is>
          <t>532777</t>
        </is>
      </c>
    </row>
    <row r="67">
      <c r="A67" s="30" t="inlineStr">
        <is>
          <t>5PAISA</t>
        </is>
      </c>
      <c r="B67" s="30" t="inlineStr">
        <is>
          <t>5Paisa Capital Ltd</t>
        </is>
      </c>
      <c r="C67" s="30" t="inlineStr">
        <is>
          <t>financials</t>
        </is>
      </c>
      <c r="D67" s="30" t="inlineStr">
        <is>
          <t>finance &amp; investments</t>
        </is>
      </c>
      <c r="E67" s="30" t="inlineStr">
        <is>
          <t>smallcap</t>
        </is>
      </c>
      <c r="F67" s="30" t="n">
        <v>1723.16</v>
      </c>
      <c r="G67" s="30" t="n">
        <v>384.4</v>
      </c>
      <c r="H67" s="30" t="n">
        <v>4.58</v>
      </c>
      <c r="I67" s="30" t="n">
        <v>116119</v>
      </c>
      <c r="J67" s="30" t="inlineStr">
        <is>
          <t>540776</t>
        </is>
      </c>
    </row>
    <row r="68">
      <c r="A68" s="30" t="inlineStr">
        <is>
          <t>RPEL</t>
        </is>
      </c>
      <c r="B68" s="30" t="inlineStr">
        <is>
          <t>Raghav Productivity Enhancers Ltd</t>
        </is>
      </c>
      <c r="C68" s="30" t="inlineStr">
        <is>
          <t>building materials</t>
        </is>
      </c>
      <c r="D68" s="30" t="inlineStr">
        <is>
          <t>refractories / intermediates</t>
        </is>
      </c>
      <c r="E68" s="30" t="inlineStr">
        <is>
          <t>midcap</t>
        </is>
      </c>
      <c r="F68" s="30" t="n">
        <v>5770.09</v>
      </c>
      <c r="G68" s="30" t="n">
        <v>1313.8</v>
      </c>
      <c r="H68" s="30" t="n">
        <v>4.56</v>
      </c>
      <c r="I68" s="30" t="n">
        <v>101708</v>
      </c>
      <c r="J68" s="30" t="inlineStr">
        <is>
          <t>539837</t>
        </is>
      </c>
    </row>
    <row r="69">
      <c r="A69" s="30" t="inlineStr">
        <is>
          <t>SAILIFE</t>
        </is>
      </c>
      <c r="B69" s="30" t="inlineStr">
        <is>
          <t>Sai Life Sciences Ltd</t>
        </is>
      </c>
      <c r="C69" s="30" t="inlineStr">
        <is>
          <t>healthcare</t>
        </is>
      </c>
      <c r="D69" s="30" t="inlineStr">
        <is>
          <t>pharmaceuticals - indian - bulk drugs &amp; formln</t>
        </is>
      </c>
      <c r="E69" s="30" t="inlineStr">
        <is>
          <t>largecap</t>
        </is>
      </c>
      <c r="F69" s="30" t="n">
        <v>28981.29</v>
      </c>
      <c r="G69" s="30" t="n">
        <v>1426.2</v>
      </c>
      <c r="H69" s="30" t="n">
        <v>4.47</v>
      </c>
      <c r="I69" s="30" t="n">
        <v>2551039</v>
      </c>
      <c r="J69" s="30" t="inlineStr">
        <is>
          <t>544306</t>
        </is>
      </c>
    </row>
    <row r="70">
      <c r="A70" s="30" t="inlineStr">
        <is>
          <t>SUVEN</t>
        </is>
      </c>
      <c r="B70" s="30" t="inlineStr">
        <is>
          <t>Suven Life Sciences Limited</t>
        </is>
      </c>
      <c r="C70" s="30" t="inlineStr">
        <is>
          <t>healthcare</t>
        </is>
      </c>
      <c r="D70" s="30" t="inlineStr">
        <is>
          <t>miscellaneous</t>
        </is>
      </c>
      <c r="E70" s="30" t="inlineStr">
        <is>
          <t>smallcap</t>
        </is>
      </c>
      <c r="F70" s="30" t="n">
        <v>615.11</v>
      </c>
      <c r="G70" s="30" t="n">
        <v>332.6</v>
      </c>
      <c r="H70" s="30" t="n">
        <v>4.46</v>
      </c>
      <c r="I70" s="30" t="n">
        <v>1102629</v>
      </c>
      <c r="J70" s="30" t="inlineStr">
        <is>
          <t>530239</t>
        </is>
      </c>
    </row>
    <row r="71">
      <c r="A71" s="30" t="inlineStr">
        <is>
          <t>SAMBHV</t>
        </is>
      </c>
      <c r="B71" s="30" t="inlineStr">
        <is>
          <t>Sambhv Steel Tubes Ltd</t>
        </is>
      </c>
      <c r="C71" s="30" t="inlineStr">
        <is>
          <t>metals &amp; mining</t>
        </is>
      </c>
      <c r="D71" s="30" t="inlineStr">
        <is>
          <t>steel - medium / small</t>
        </is>
      </c>
      <c r="E71" s="30" t="inlineStr">
        <is>
          <t>smallcap</t>
        </is>
      </c>
      <c r="F71" s="30" t="n">
        <v>3444.41</v>
      </c>
      <c r="G71" s="30" t="n">
        <v>121.97</v>
      </c>
      <c r="H71" s="30" t="n">
        <v>4.35</v>
      </c>
      <c r="I71" s="30" t="n">
        <v>1704873</v>
      </c>
      <c r="J71" s="30" t="inlineStr">
        <is>
          <t>544430</t>
        </is>
      </c>
    </row>
    <row r="72">
      <c r="A72" s="30" t="inlineStr">
        <is>
          <t>GIPCL</t>
        </is>
      </c>
      <c r="B72" s="30" t="inlineStr">
        <is>
          <t>Gujarat Industries Power Company Limited</t>
        </is>
      </c>
      <c r="C72" s="30" t="inlineStr">
        <is>
          <t>power &amp; utilities</t>
        </is>
      </c>
      <c r="D72" s="30" t="inlineStr">
        <is>
          <t>power generation and supply</t>
        </is>
      </c>
      <c r="E72" s="30" t="inlineStr">
        <is>
          <t>smallcap</t>
        </is>
      </c>
      <c r="F72" s="30" t="n">
        <v>2451.33</v>
      </c>
      <c r="G72" s="30" t="n">
        <v>164.73</v>
      </c>
      <c r="H72" s="30" t="n">
        <v>4.31</v>
      </c>
      <c r="I72" s="30" t="n">
        <v>700374</v>
      </c>
      <c r="J72" s="30" t="inlineStr">
        <is>
          <t>517300</t>
        </is>
      </c>
    </row>
    <row r="73">
      <c r="A73" s="30" t="inlineStr">
        <is>
          <t>SSWL</t>
        </is>
      </c>
      <c r="B73" s="30" t="inlineStr">
        <is>
          <t>Steel Strips Wheels Limited</t>
        </is>
      </c>
      <c r="C73" s="30" t="inlineStr">
        <is>
          <t>auto</t>
        </is>
      </c>
      <c r="D73" s="30" t="inlineStr">
        <is>
          <t>auto ancillaries</t>
        </is>
      </c>
      <c r="E73" s="30" t="inlineStr">
        <is>
          <t>smallcap</t>
        </is>
      </c>
      <c r="F73" s="30" t="n">
        <v>4849.02</v>
      </c>
      <c r="G73" s="30" t="n">
        <v>321.6</v>
      </c>
      <c r="H73" s="30" t="n">
        <v>4.25</v>
      </c>
      <c r="I73" s="30" t="n">
        <v>1051453</v>
      </c>
      <c r="J73" s="30" t="inlineStr">
        <is>
          <t>513262</t>
        </is>
      </c>
    </row>
    <row r="74">
      <c r="A74" s="30" t="inlineStr">
        <is>
          <t>QUESS</t>
        </is>
      </c>
      <c r="B74" s="30" t="inlineStr">
        <is>
          <t>Quess Corp Limited</t>
        </is>
      </c>
      <c r="C74" s="30" t="inlineStr">
        <is>
          <t>miscellaneous</t>
        </is>
      </c>
      <c r="D74" s="30" t="inlineStr">
        <is>
          <t>diversified - large</t>
        </is>
      </c>
      <c r="E74" s="30" t="inlineStr">
        <is>
          <t>smallcap</t>
        </is>
      </c>
      <c r="F74" s="30" t="n">
        <v>4645.84</v>
      </c>
      <c r="G74" s="30" t="n">
        <v>323.75</v>
      </c>
      <c r="H74" s="30" t="n">
        <v>4.08</v>
      </c>
      <c r="I74" s="30" t="n">
        <v>900407</v>
      </c>
      <c r="J74" s="30" t="inlineStr">
        <is>
          <t>539978</t>
        </is>
      </c>
    </row>
    <row r="75">
      <c r="A75" s="30" t="inlineStr">
        <is>
          <t>SPECIALITY</t>
        </is>
      </c>
      <c r="B75" s="30" t="inlineStr">
        <is>
          <t>Speciality Restaurants Limited</t>
        </is>
      </c>
      <c r="C75" s="30" t="inlineStr">
        <is>
          <t>services</t>
        </is>
      </c>
      <c r="D75" s="30" t="inlineStr">
        <is>
          <t>hotels</t>
        </is>
      </c>
      <c r="E75" s="30" t="inlineStr">
        <is>
          <t>smallcap</t>
        </is>
      </c>
      <c r="F75" s="30" t="n">
        <v>700.24</v>
      </c>
      <c r="G75" s="30" t="n">
        <v>151</v>
      </c>
      <c r="H75" s="30" t="n">
        <v>4.02</v>
      </c>
      <c r="I75" s="30" t="n">
        <v>218468</v>
      </c>
      <c r="J75" s="30" t="inlineStr">
        <is>
          <t>534425</t>
        </is>
      </c>
    </row>
    <row r="76">
      <c r="A76" s="30" t="inlineStr">
        <is>
          <t>MBAPL</t>
        </is>
      </c>
      <c r="B76" s="30" t="inlineStr">
        <is>
          <t>Madhya Bharat Agro Products Ltd</t>
        </is>
      </c>
      <c r="C76" s="30" t="inlineStr">
        <is>
          <t>chemicals</t>
        </is>
      </c>
      <c r="D76" s="30" t="inlineStr">
        <is>
          <t>fertilizers</t>
        </is>
      </c>
      <c r="E76" s="30" t="inlineStr">
        <is>
          <t>smallcap</t>
        </is>
      </c>
      <c r="F76" s="30" t="n">
        <v>1385.29</v>
      </c>
      <c r="G76" s="30" t="n">
        <v>164.44</v>
      </c>
      <c r="H76" s="30" t="n">
        <v>4.02</v>
      </c>
      <c r="I76" s="30" t="n">
        <v>622911</v>
      </c>
      <c r="J76" s="30" t="inlineStr">
        <is>
          <t>538370</t>
        </is>
      </c>
    </row>
    <row r="77">
      <c r="A77" s="30" t="inlineStr">
        <is>
          <t>MENONBE</t>
        </is>
      </c>
      <c r="B77" s="30" t="inlineStr">
        <is>
          <t>Menon Bearings Limited</t>
        </is>
      </c>
      <c r="C77" s="30" t="inlineStr">
        <is>
          <t>auto</t>
        </is>
      </c>
      <c r="D77" s="30" t="inlineStr">
        <is>
          <t>auto ancillaries</t>
        </is>
      </c>
      <c r="E77" s="30" t="inlineStr">
        <is>
          <t>smallcap</t>
        </is>
      </c>
      <c r="F77" s="30" t="n">
        <v>1330.11</v>
      </c>
      <c r="G77" s="30" t="n">
        <v>246.55</v>
      </c>
      <c r="H77" s="30" t="n">
        <v>3.88</v>
      </c>
      <c r="I77" s="30" t="n">
        <v>83901</v>
      </c>
      <c r="J77" s="30" t="inlineStr">
        <is>
          <t>523828</t>
        </is>
      </c>
    </row>
    <row r="78">
      <c r="A78" s="30" t="inlineStr">
        <is>
          <t>COSMOFIRST</t>
        </is>
      </c>
      <c r="B78" s="30" t="inlineStr">
        <is>
          <t>Cosmo First Ltd</t>
        </is>
      </c>
      <c r="C78" s="30" t="inlineStr">
        <is>
          <t>industrials</t>
        </is>
      </c>
      <c r="D78" s="30" t="inlineStr">
        <is>
          <t>packaging</t>
        </is>
      </c>
      <c r="E78" s="30" t="inlineStr">
        <is>
          <t>smallcap</t>
        </is>
      </c>
      <c r="F78" s="30" t="n">
        <v>2342.79</v>
      </c>
      <c r="G78" s="30" t="n">
        <v>927.15</v>
      </c>
      <c r="H78" s="30" t="n">
        <v>3.88</v>
      </c>
      <c r="I78" s="30" t="n">
        <v>351611</v>
      </c>
      <c r="J78" s="30" t="inlineStr">
        <is>
          <t>508814</t>
        </is>
      </c>
    </row>
    <row r="79">
      <c r="A79" s="30" t="inlineStr">
        <is>
          <t>INDSWFTLAB</t>
        </is>
      </c>
      <c r="B79" s="30" t="inlineStr">
        <is>
          <t>Ind-swift Laboratories Limited</t>
        </is>
      </c>
      <c r="C79" s="30" t="inlineStr">
        <is>
          <t>healthcare</t>
        </is>
      </c>
      <c r="D79" s="30" t="inlineStr">
        <is>
          <t>pharmaceuticals - indian - bulk drugs &amp; formln</t>
        </is>
      </c>
      <c r="E79" s="30" t="inlineStr">
        <is>
          <t>smallcap</t>
        </is>
      </c>
      <c r="F79" s="30" t="n">
        <v>1986.29</v>
      </c>
      <c r="G79" s="30" t="n">
        <v>237.24</v>
      </c>
      <c r="H79" s="30" t="n">
        <v>3.87</v>
      </c>
      <c r="I79" s="30" t="n">
        <v>1031876</v>
      </c>
      <c r="J79" s="30" t="inlineStr">
        <is>
          <t>532305</t>
        </is>
      </c>
    </row>
    <row r="80">
      <c r="A80" s="30" t="inlineStr">
        <is>
          <t>KOLTEPATIL</t>
        </is>
      </c>
      <c r="B80" s="30" t="inlineStr">
        <is>
          <t>Kolte - Patil Developers Limited</t>
        </is>
      </c>
      <c r="C80" s="30" t="inlineStr">
        <is>
          <t>realty</t>
        </is>
      </c>
      <c r="D80" s="30" t="inlineStr">
        <is>
          <t>construction</t>
        </is>
      </c>
      <c r="E80" s="30" t="inlineStr">
        <is>
          <t>smallcap</t>
        </is>
      </c>
      <c r="F80" s="30" t="n">
        <v>3947.15</v>
      </c>
      <c r="G80" s="30" t="n">
        <v>462.2</v>
      </c>
      <c r="H80" s="30" t="n">
        <v>3.84</v>
      </c>
      <c r="I80" s="30" t="n">
        <v>479814</v>
      </c>
      <c r="J80" s="30" t="inlineStr">
        <is>
          <t>532924</t>
        </is>
      </c>
    </row>
    <row r="81">
      <c r="A81" s="30" t="inlineStr">
        <is>
          <t>SILVERTUC</t>
        </is>
      </c>
      <c r="B81" s="30" t="inlineStr">
        <is>
          <t>Silver Touch Technologies Ltd</t>
        </is>
      </c>
      <c r="C81" s="30" t="inlineStr">
        <is>
          <t>i.t</t>
        </is>
      </c>
      <c r="D81" s="30" t="inlineStr">
        <is>
          <t>computers - software - medium / small</t>
        </is>
      </c>
      <c r="E81" s="30" t="inlineStr">
        <is>
          <t>smallcap</t>
        </is>
      </c>
      <c r="F81" s="30" t="n">
        <v>2483.95</v>
      </c>
      <c r="G81" s="30" t="n">
        <v>203.18</v>
      </c>
      <c r="H81" s="30" t="n">
        <v>3.73</v>
      </c>
      <c r="I81" s="30" t="n">
        <v>574968</v>
      </c>
      <c r="J81" s="30" t="inlineStr">
        <is>
          <t>535031</t>
        </is>
      </c>
    </row>
    <row r="82">
      <c r="A82" s="30" t="inlineStr">
        <is>
          <t>AYMSYNTEX</t>
        </is>
      </c>
      <c r="B82" s="30" t="inlineStr">
        <is>
          <t>Aym Syntex Limited</t>
        </is>
      </c>
      <c r="C82" s="30" t="inlineStr">
        <is>
          <t>textiles</t>
        </is>
      </c>
      <c r="D82" s="30" t="inlineStr">
        <is>
          <t>textiles - processing</t>
        </is>
      </c>
      <c r="E82" s="30" t="inlineStr">
        <is>
          <t>smallcap</t>
        </is>
      </c>
      <c r="F82" s="30" t="n">
        <v>1456.31</v>
      </c>
      <c r="G82" s="30" t="n">
        <v>257.05</v>
      </c>
      <c r="H82" s="30" t="n">
        <v>3.67</v>
      </c>
      <c r="I82" s="30" t="n">
        <v>28918</v>
      </c>
      <c r="J82" s="30" t="inlineStr">
        <is>
          <t>508933</t>
        </is>
      </c>
    </row>
    <row r="83">
      <c r="A83" s="30" t="inlineStr">
        <is>
          <t>MAGADSUGAR</t>
        </is>
      </c>
      <c r="B83" s="30" t="inlineStr">
        <is>
          <t>Magadh Sugar &amp; Energy Ltd</t>
        </is>
      </c>
      <c r="C83" s="30" t="inlineStr">
        <is>
          <t>fmcg</t>
        </is>
      </c>
      <c r="D83" s="30" t="inlineStr">
        <is>
          <t>sugar</t>
        </is>
      </c>
      <c r="E83" s="30" t="inlineStr">
        <is>
          <t>smallcap</t>
        </is>
      </c>
      <c r="F83" s="30" t="n">
        <v>722.6900000000001</v>
      </c>
      <c r="G83" s="30" t="n">
        <v>531.55</v>
      </c>
      <c r="H83" s="30" t="n">
        <v>3.65</v>
      </c>
      <c r="I83" s="30" t="n">
        <v>31126</v>
      </c>
      <c r="J83" s="30" t="inlineStr">
        <is>
          <t>540650</t>
        </is>
      </c>
    </row>
    <row r="84">
      <c r="A84" s="30" t="inlineStr">
        <is>
          <t>NRBBEARING</t>
        </is>
      </c>
      <c r="B84" s="30" t="inlineStr">
        <is>
          <t>Nrb Bearing Limited</t>
        </is>
      </c>
      <c r="C84" s="30" t="inlineStr">
        <is>
          <t>industrials</t>
        </is>
      </c>
      <c r="D84" s="30" t="inlineStr">
        <is>
          <t>bearings</t>
        </is>
      </c>
      <c r="E84" s="30" t="inlineStr">
        <is>
          <t>smallcap</t>
        </is>
      </c>
      <c r="F84" s="30" t="n">
        <v>4472.98</v>
      </c>
      <c r="G84" s="30" t="n">
        <v>478.25</v>
      </c>
      <c r="H84" s="30" t="n">
        <v>3.63</v>
      </c>
      <c r="I84" s="30" t="n">
        <v>2221157</v>
      </c>
      <c r="J84" s="30" t="inlineStr">
        <is>
          <t>530367</t>
        </is>
      </c>
    </row>
    <row r="85">
      <c r="A85" s="30" t="inlineStr">
        <is>
          <t>DALMIASUG</t>
        </is>
      </c>
      <c r="B85" s="30" t="inlineStr">
        <is>
          <t>Dalmia Bharat Sugar And Industries Limited</t>
        </is>
      </c>
      <c r="C85" s="30" t="inlineStr">
        <is>
          <t>fmcg</t>
        </is>
      </c>
      <c r="D85" s="30" t="inlineStr">
        <is>
          <t>sugar</t>
        </is>
      </c>
      <c r="E85" s="30" t="inlineStr">
        <is>
          <t>smallcap</t>
        </is>
      </c>
      <c r="F85" s="30" t="n">
        <v>3273.19</v>
      </c>
      <c r="G85" s="30" t="n">
        <v>418.95</v>
      </c>
      <c r="H85" s="30" t="n">
        <v>3.6</v>
      </c>
      <c r="I85" s="30" t="n">
        <v>1169780</v>
      </c>
      <c r="J85" s="30" t="inlineStr">
        <is>
          <t>500097</t>
        </is>
      </c>
    </row>
    <row r="86">
      <c r="A86" s="30" t="inlineStr">
        <is>
          <t>HUHTAMAKI</t>
        </is>
      </c>
      <c r="B86" s="30" t="inlineStr">
        <is>
          <t>Huhtamaki India Ltd</t>
        </is>
      </c>
      <c r="C86" s="30" t="inlineStr">
        <is>
          <t>industrials</t>
        </is>
      </c>
      <c r="D86" s="30" t="inlineStr">
        <is>
          <t>packaging</t>
        </is>
      </c>
      <c r="E86" s="30" t="inlineStr">
        <is>
          <t>smallcap</t>
        </is>
      </c>
      <c r="F86" s="30" t="n">
        <v>2076.48</v>
      </c>
      <c r="G86" s="30" t="n">
        <v>284.7</v>
      </c>
      <c r="H86" s="30" t="n">
        <v>3.55</v>
      </c>
      <c r="I86" s="30" t="n">
        <v>222153</v>
      </c>
      <c r="J86" s="30" t="inlineStr">
        <is>
          <t>509820</t>
        </is>
      </c>
    </row>
    <row r="87">
      <c r="A87" s="30" t="inlineStr">
        <is>
          <t>PICCADIL</t>
        </is>
      </c>
      <c r="B87" s="30" t="inlineStr">
        <is>
          <t>Piccadily Agro Industries Ltd</t>
        </is>
      </c>
      <c r="C87" s="30" t="inlineStr">
        <is>
          <t>fmcg</t>
        </is>
      </c>
      <c r="D87" s="30" t="inlineStr">
        <is>
          <t>breweries &amp; distilleries</t>
        </is>
      </c>
      <c r="E87" s="30" t="inlineStr">
        <is>
          <t>midcap</t>
        </is>
      </c>
      <c r="F87" s="30" t="n">
        <v>7325.39</v>
      </c>
      <c r="G87" s="30" t="n">
        <v>768.8</v>
      </c>
      <c r="H87" s="30" t="n">
        <v>3.45</v>
      </c>
      <c r="I87" s="30" t="n">
        <v>264396</v>
      </c>
      <c r="J87" s="30" t="inlineStr">
        <is>
          <t>530305</t>
        </is>
      </c>
    </row>
    <row r="88">
      <c r="A88" s="30" t="inlineStr">
        <is>
          <t>BALRAMCHIN</t>
        </is>
      </c>
      <c r="B88" s="30" t="inlineStr">
        <is>
          <t>Balrampur Chini Mills Limited</t>
        </is>
      </c>
      <c r="C88" s="30" t="inlineStr">
        <is>
          <t>fmcg</t>
        </is>
      </c>
      <c r="D88" s="30" t="inlineStr">
        <is>
          <t>sugar</t>
        </is>
      </c>
      <c r="E88" s="30" t="inlineStr">
        <is>
          <t>midcap</t>
        </is>
      </c>
      <c r="F88" s="30" t="n">
        <v>13382.72</v>
      </c>
      <c r="G88" s="30" t="n">
        <v>655.25</v>
      </c>
      <c r="H88" s="30" t="n">
        <v>3.44</v>
      </c>
      <c r="I88" s="30" t="n">
        <v>890072</v>
      </c>
      <c r="J88" s="30" t="inlineStr">
        <is>
          <t>500038</t>
        </is>
      </c>
    </row>
    <row r="89">
      <c r="A89" s="30" t="inlineStr">
        <is>
          <t>HESTERBIO</t>
        </is>
      </c>
      <c r="B89" s="30" t="inlineStr">
        <is>
          <t>Hester Biosciences Limited</t>
        </is>
      </c>
      <c r="C89" s="30" t="inlineStr">
        <is>
          <t>healthcare</t>
        </is>
      </c>
      <c r="D89" s="30" t="inlineStr">
        <is>
          <t>pharmaceuticals - indian - formulations</t>
        </is>
      </c>
      <c r="E89" s="30" t="inlineStr">
        <is>
          <t>smallcap</t>
        </is>
      </c>
      <c r="F89" s="30" t="n">
        <v>2056.87</v>
      </c>
      <c r="G89" s="30" t="n">
        <v>2499.9</v>
      </c>
      <c r="H89" s="30" t="n">
        <v>3.39</v>
      </c>
      <c r="I89" s="30" t="n">
        <v>11921</v>
      </c>
      <c r="J89" s="30" t="inlineStr">
        <is>
          <t>524669</t>
        </is>
      </c>
    </row>
    <row r="90">
      <c r="A90" s="30" t="inlineStr">
        <is>
          <t>ALIVUS</t>
        </is>
      </c>
      <c r="B90" s="30" t="inlineStr">
        <is>
          <t>Alivus Life Sciences Ltd</t>
        </is>
      </c>
      <c r="C90" s="30" t="inlineStr">
        <is>
          <t>healthcare</t>
        </is>
      </c>
      <c r="D90" s="30" t="inlineStr">
        <is>
          <t>pharmaceuticals - indian - bulk drugs &amp; formln</t>
        </is>
      </c>
      <c r="E90" s="30" t="inlineStr">
        <is>
          <t>midcap</t>
        </is>
      </c>
      <c r="F90" s="30" t="n">
        <v>16321.48</v>
      </c>
      <c r="G90" s="30" t="n">
        <v>1374.5</v>
      </c>
      <c r="H90" s="30" t="n">
        <v>3.36</v>
      </c>
      <c r="I90" s="30" t="n">
        <v>342677</v>
      </c>
      <c r="J90" s="30" t="inlineStr">
        <is>
          <t>543322</t>
        </is>
      </c>
    </row>
    <row r="91">
      <c r="A91" s="30" t="inlineStr">
        <is>
          <t>UGARSUGAR</t>
        </is>
      </c>
      <c r="B91" s="30" t="inlineStr">
        <is>
          <t>The Ugar Sugar Works Limited</t>
        </is>
      </c>
      <c r="C91" s="30" t="inlineStr">
        <is>
          <t>fmcg</t>
        </is>
      </c>
      <c r="D91" s="30" t="inlineStr">
        <is>
          <t>sugar</t>
        </is>
      </c>
      <c r="E91" s="30" t="inlineStr">
        <is>
          <t>smallcap</t>
        </is>
      </c>
      <c r="F91" s="30" t="n">
        <v>506.25</v>
      </c>
      <c r="G91" s="30" t="n">
        <v>46.49</v>
      </c>
      <c r="H91" s="30" t="n">
        <v>3.31</v>
      </c>
      <c r="I91" s="30" t="n">
        <v>897551</v>
      </c>
      <c r="J91" s="30" t="inlineStr">
        <is>
          <t>530363</t>
        </is>
      </c>
    </row>
    <row r="92">
      <c r="A92" s="30" t="inlineStr">
        <is>
          <t>TATVA</t>
        </is>
      </c>
      <c r="B92" s="30" t="inlineStr">
        <is>
          <t>Tatva Chintan Pharma Chem Ltd</t>
        </is>
      </c>
      <c r="C92" s="30" t="inlineStr">
        <is>
          <t>chemicals</t>
        </is>
      </c>
      <c r="D92" s="30" t="inlineStr">
        <is>
          <t>chemicals</t>
        </is>
      </c>
      <c r="E92" s="30" t="inlineStr">
        <is>
          <t>smallcap</t>
        </is>
      </c>
      <c r="F92" s="30" t="n">
        <v>4020.63</v>
      </c>
      <c r="G92" s="30" t="n">
        <v>1775.6</v>
      </c>
      <c r="H92" s="30" t="n">
        <v>3.3</v>
      </c>
      <c r="I92" s="30" t="n">
        <v>75003</v>
      </c>
      <c r="J92" s="30" t="inlineStr">
        <is>
          <t>543321</t>
        </is>
      </c>
    </row>
    <row r="93">
      <c r="A93" s="30" t="inlineStr">
        <is>
          <t>VIJAYA</t>
        </is>
      </c>
      <c r="B93" s="30" t="inlineStr">
        <is>
          <t>Vijaya Diagnostic Centre Ltd</t>
        </is>
      </c>
      <c r="C93" s="30" t="inlineStr">
        <is>
          <t>healthcare</t>
        </is>
      </c>
      <c r="D93" s="30" t="inlineStr">
        <is>
          <t>healthcare</t>
        </is>
      </c>
      <c r="E93" s="30" t="inlineStr">
        <is>
          <t>midcap</t>
        </is>
      </c>
      <c r="F93" s="30" t="n">
        <v>13902.38</v>
      </c>
      <c r="G93" s="30" t="n">
        <v>1395.6</v>
      </c>
      <c r="H93" s="30" t="n">
        <v>3.29</v>
      </c>
      <c r="I93" s="30" t="n">
        <v>539551</v>
      </c>
      <c r="J93" s="30" t="inlineStr">
        <is>
          <t>543350</t>
        </is>
      </c>
    </row>
    <row r="94">
      <c r="A94" s="30" t="inlineStr">
        <is>
          <t>FINCABLES</t>
        </is>
      </c>
      <c r="B94" s="30" t="inlineStr">
        <is>
          <t>Finolex Cables Limited</t>
        </is>
      </c>
      <c r="C94" s="30" t="inlineStr">
        <is>
          <t>industrials</t>
        </is>
      </c>
      <c r="D94" s="30" t="inlineStr">
        <is>
          <t>cables - power</t>
        </is>
      </c>
      <c r="E94" s="30" t="inlineStr">
        <is>
          <t>midcap</t>
        </is>
      </c>
      <c r="F94" s="30" t="n">
        <v>15670.93</v>
      </c>
      <c r="G94" s="30" t="n">
        <v>1058.05</v>
      </c>
      <c r="H94" s="30" t="n">
        <v>3.26</v>
      </c>
      <c r="I94" s="30" t="n">
        <v>596060</v>
      </c>
      <c r="J94" s="30" t="inlineStr">
        <is>
          <t>500144</t>
        </is>
      </c>
    </row>
    <row r="95">
      <c r="A95" s="30" t="inlineStr">
        <is>
          <t>ASKAUTOLTD</t>
        </is>
      </c>
      <c r="B95" s="30" t="inlineStr">
        <is>
          <t>ASK Automotive Ltd</t>
        </is>
      </c>
      <c r="C95" s="30" t="inlineStr">
        <is>
          <t>auto</t>
        </is>
      </c>
      <c r="D95" s="30" t="inlineStr">
        <is>
          <t>auto ancillaries</t>
        </is>
      </c>
      <c r="E95" s="30" t="inlineStr">
        <is>
          <t>midcap</t>
        </is>
      </c>
      <c r="F95" s="30" t="n">
        <v>12517.57</v>
      </c>
      <c r="G95" s="30" t="n">
        <v>655.6</v>
      </c>
      <c r="H95" s="30" t="n">
        <v>3.25</v>
      </c>
      <c r="I95" s="30" t="n">
        <v>1159253</v>
      </c>
      <c r="J95" s="30" t="inlineStr">
        <is>
          <t>544022</t>
        </is>
      </c>
    </row>
    <row r="96">
      <c r="A96" s="30" t="inlineStr">
        <is>
          <t>YATHARTH</t>
        </is>
      </c>
      <c r="B96" s="30" t="inlineStr">
        <is>
          <t>Yatharth Hospital &amp; Trauma Care Services Ltd</t>
        </is>
      </c>
      <c r="C96" s="30" t="inlineStr">
        <is>
          <t>healthcare</t>
        </is>
      </c>
      <c r="D96" s="30" t="inlineStr">
        <is>
          <t>healthcare</t>
        </is>
      </c>
      <c r="E96" s="30" t="inlineStr">
        <is>
          <t>midcap</t>
        </is>
      </c>
      <c r="F96" s="30" t="n">
        <v>8387.65</v>
      </c>
      <c r="G96" s="30" t="n">
        <v>898.75</v>
      </c>
      <c r="H96" s="30" t="n">
        <v>3.25</v>
      </c>
      <c r="I96" s="30" t="n">
        <v>1064212</v>
      </c>
      <c r="J96" s="30" t="inlineStr">
        <is>
          <t>543950</t>
        </is>
      </c>
    </row>
    <row r="97">
      <c r="A97" s="30" t="inlineStr">
        <is>
          <t>STYLAMIND</t>
        </is>
      </c>
      <c r="B97" s="30" t="inlineStr">
        <is>
          <t>Stylam Industries Ltd</t>
        </is>
      </c>
      <c r="C97" s="30" t="inlineStr">
        <is>
          <t>building materials</t>
        </is>
      </c>
      <c r="D97" s="30" t="inlineStr">
        <is>
          <t>miscellaneous</t>
        </is>
      </c>
      <c r="E97" s="30" t="inlineStr">
        <is>
          <t>midcap</t>
        </is>
      </c>
      <c r="F97" s="30" t="n">
        <v>5993.68</v>
      </c>
      <c r="G97" s="30" t="n">
        <v>3651.2</v>
      </c>
      <c r="H97" s="30" t="n">
        <v>3.24</v>
      </c>
      <c r="I97" s="30" t="n">
        <v>50559</v>
      </c>
      <c r="J97" s="30" t="inlineStr">
        <is>
          <t>526951</t>
        </is>
      </c>
    </row>
    <row r="98">
      <c r="A98" s="30" t="inlineStr">
        <is>
          <t>PITTIENG</t>
        </is>
      </c>
      <c r="B98" s="30" t="inlineStr">
        <is>
          <t>Pitti Engineering Ltd</t>
        </is>
      </c>
      <c r="C98" s="30" t="inlineStr">
        <is>
          <t>industrials</t>
        </is>
      </c>
      <c r="D98" s="30" t="inlineStr">
        <is>
          <t>engineering</t>
        </is>
      </c>
      <c r="E98" s="30" t="inlineStr">
        <is>
          <t>smallcap</t>
        </is>
      </c>
      <c r="F98" s="30" t="n">
        <v>3539.25</v>
      </c>
      <c r="G98" s="30" t="n">
        <v>970</v>
      </c>
      <c r="H98" s="30" t="n">
        <v>3.2</v>
      </c>
      <c r="I98" s="30" t="n">
        <v>45275</v>
      </c>
      <c r="J98" s="30" t="inlineStr">
        <is>
          <t>513519</t>
        </is>
      </c>
    </row>
    <row r="99">
      <c r="A99" s="30" t="inlineStr">
        <is>
          <t>THYROCARE</t>
        </is>
      </c>
      <c r="B99" s="30" t="inlineStr">
        <is>
          <t>Thyrocare Technologies Limited</t>
        </is>
      </c>
      <c r="C99" s="30" t="inlineStr">
        <is>
          <t>healthcare</t>
        </is>
      </c>
      <c r="D99" s="30" t="inlineStr">
        <is>
          <t>healthcare</t>
        </is>
      </c>
      <c r="E99" s="30" t="inlineStr">
        <is>
          <t>midcap</t>
        </is>
      </c>
      <c r="F99" s="30" t="n">
        <v>9601.65</v>
      </c>
      <c r="G99" s="30" t="n">
        <v>622.1</v>
      </c>
      <c r="H99" s="30" t="n">
        <v>3.12</v>
      </c>
      <c r="I99" s="30" t="n">
        <v>342145</v>
      </c>
      <c r="J99" s="30" t="inlineStr">
        <is>
          <t>539871</t>
        </is>
      </c>
    </row>
    <row r="100">
      <c r="A100" s="30" t="inlineStr">
        <is>
          <t>MAHSEAMLES</t>
        </is>
      </c>
      <c r="B100" s="30" t="inlineStr">
        <is>
          <t>Maharashtra Seamless Limited</t>
        </is>
      </c>
      <c r="C100" s="30" t="inlineStr">
        <is>
          <t>industrials</t>
        </is>
      </c>
      <c r="D100" s="30" t="inlineStr">
        <is>
          <t>steel - large</t>
        </is>
      </c>
      <c r="E100" s="30" t="inlineStr">
        <is>
          <t>midcap</t>
        </is>
      </c>
      <c r="F100" s="30" t="n">
        <v>7901.94</v>
      </c>
      <c r="G100" s="30" t="n">
        <v>607.85</v>
      </c>
      <c r="H100" s="30" t="n">
        <v>3.08</v>
      </c>
      <c r="I100" s="30" t="n">
        <v>371775</v>
      </c>
      <c r="J100" s="30" t="inlineStr">
        <is>
          <t>500265</t>
        </is>
      </c>
    </row>
    <row r="101">
      <c r="A101" s="30" t="inlineStr">
        <is>
          <t>ENGINERSIN</t>
        </is>
      </c>
      <c r="B101" s="30" t="inlineStr">
        <is>
          <t>Engineers India Limited</t>
        </is>
      </c>
      <c r="C101" s="30" t="inlineStr">
        <is>
          <t>realty</t>
        </is>
      </c>
      <c r="D101" s="30" t="inlineStr">
        <is>
          <t>engineering - turnkey services</t>
        </is>
      </c>
      <c r="E101" s="30" t="inlineStr">
        <is>
          <t>midcap</t>
        </is>
      </c>
      <c r="F101" s="30" t="n">
        <v>13522.74</v>
      </c>
      <c r="G101" s="30" t="n">
        <v>247.96</v>
      </c>
      <c r="H101" s="30" t="n">
        <v>3.06</v>
      </c>
      <c r="I101" s="30" t="n">
        <v>3326783</v>
      </c>
      <c r="J101" s="30" t="inlineStr">
        <is>
          <t>532178</t>
        </is>
      </c>
    </row>
    <row r="102">
      <c r="A102" s="30" t="inlineStr">
        <is>
          <t>IRISDOREME</t>
        </is>
      </c>
      <c r="B102" s="30" t="inlineStr">
        <is>
          <t>Iris Clothings Ltd</t>
        </is>
      </c>
      <c r="C102" s="30" t="inlineStr">
        <is>
          <t>consumer discretionary</t>
        </is>
      </c>
      <c r="D102" s="30" t="inlineStr">
        <is>
          <t>textiles - products</t>
        </is>
      </c>
      <c r="E102" s="30" t="inlineStr">
        <is>
          <t>smallcap</t>
        </is>
      </c>
      <c r="F102" s="30" t="n">
        <v>1037.69</v>
      </c>
      <c r="G102" s="30" t="n">
        <v>56.19</v>
      </c>
      <c r="H102" s="30" t="n">
        <v>3.06</v>
      </c>
      <c r="I102" s="30" t="n">
        <v>7435585</v>
      </c>
      <c r="J102" s="30" t="inlineStr">
        <is>
          <t>535123</t>
        </is>
      </c>
    </row>
    <row r="103">
      <c r="A103" s="30" t="inlineStr">
        <is>
          <t>TANLA</t>
        </is>
      </c>
      <c r="B103" s="30" t="inlineStr">
        <is>
          <t>Tanla Solutions Limited</t>
        </is>
      </c>
      <c r="C103" s="30" t="inlineStr">
        <is>
          <t>i.t</t>
        </is>
      </c>
      <c r="D103" s="30" t="inlineStr">
        <is>
          <t>computers - software - medium / small</t>
        </is>
      </c>
      <c r="E103" s="30" t="inlineStr">
        <is>
          <t>midcap</t>
        </is>
      </c>
      <c r="F103" s="30" t="n">
        <v>8136.74</v>
      </c>
      <c r="G103" s="30" t="n">
        <v>632.1</v>
      </c>
      <c r="H103" s="30" t="n">
        <v>3.02</v>
      </c>
      <c r="I103" s="30" t="n">
        <v>1163643</v>
      </c>
      <c r="J103" s="30" t="inlineStr">
        <is>
          <t>532790</t>
        </is>
      </c>
    </row>
    <row r="104">
      <c r="A104" s="30" t="inlineStr">
        <is>
          <t>SPAL</t>
        </is>
      </c>
      <c r="B104" s="30" t="inlineStr">
        <is>
          <t>S. P. Apparels Limited</t>
        </is>
      </c>
      <c r="C104" s="30" t="inlineStr">
        <is>
          <t>consumer discretionary</t>
        </is>
      </c>
      <c r="D104" s="30" t="inlineStr">
        <is>
          <t>textiles - products</t>
        </is>
      </c>
      <c r="E104" s="30" t="inlineStr">
        <is>
          <t>smallcap</t>
        </is>
      </c>
      <c r="F104" s="30" t="n">
        <v>2605.9</v>
      </c>
      <c r="G104" s="30" t="n">
        <v>1067.95</v>
      </c>
      <c r="H104" s="30" t="n">
        <v>3.02</v>
      </c>
      <c r="I104" s="30" t="n">
        <v>100108</v>
      </c>
      <c r="J104" s="30" t="inlineStr">
        <is>
          <t>540048</t>
        </is>
      </c>
    </row>
    <row r="105">
      <c r="A105" s="30" t="inlineStr">
        <is>
          <t>TITAN</t>
        </is>
      </c>
      <c r="B105" s="30" t="inlineStr">
        <is>
          <t>Titan Company Limited</t>
        </is>
      </c>
      <c r="C105" s="30" t="inlineStr">
        <is>
          <t>consumer discretionary</t>
        </is>
      </c>
      <c r="D105" s="30" t="inlineStr">
        <is>
          <t>diamond cutting / jewellery</t>
        </is>
      </c>
      <c r="E105" s="30" t="inlineStr">
        <is>
          <t>largecap</t>
        </is>
      </c>
      <c r="F105" s="30" t="n">
        <v>438655.14</v>
      </c>
      <c r="G105" s="30" t="n">
        <v>5090</v>
      </c>
      <c r="H105" s="30" t="n">
        <v>3.02</v>
      </c>
      <c r="I105" s="30" t="n">
        <v>7293715</v>
      </c>
      <c r="J105" s="30" t="inlineStr">
        <is>
          <t>500114</t>
        </is>
      </c>
    </row>
    <row r="106">
      <c r="A106" s="30" t="inlineStr">
        <is>
          <t>AGARWALEYE</t>
        </is>
      </c>
      <c r="B106" s="30" t="inlineStr">
        <is>
          <t>Dr Agarwals Health Care Ltd</t>
        </is>
      </c>
      <c r="C106" s="30" t="inlineStr">
        <is>
          <t>healthcare</t>
        </is>
      </c>
      <c r="D106" s="30" t="inlineStr">
        <is>
          <t>healthcare</t>
        </is>
      </c>
      <c r="E106" s="30" t="inlineStr">
        <is>
          <t>midcap</t>
        </is>
      </c>
      <c r="F106" s="30" t="n">
        <v>17315.2</v>
      </c>
      <c r="G106" s="30" t="n">
        <v>562.65</v>
      </c>
      <c r="H106" s="30" t="n">
        <v>3</v>
      </c>
      <c r="I106" s="30" t="n">
        <v>202004</v>
      </c>
      <c r="J106" s="30" t="inlineStr">
        <is>
          <t>544350</t>
        </is>
      </c>
    </row>
    <row r="107">
      <c r="A107" s="30" t="inlineStr">
        <is>
          <t>GRAVITA</t>
        </is>
      </c>
      <c r="B107" s="30" t="inlineStr">
        <is>
          <t>Gravita India Limited</t>
        </is>
      </c>
      <c r="C107" s="30" t="inlineStr">
        <is>
          <t>metals &amp; mining</t>
        </is>
      </c>
      <c r="D107" s="30" t="inlineStr">
        <is>
          <t>mining / minerals / metals</t>
        </is>
      </c>
      <c r="E107" s="30" t="inlineStr">
        <is>
          <t>midcap</t>
        </is>
      </c>
      <c r="F107" s="30" t="n">
        <v>12784.36</v>
      </c>
      <c r="G107" s="30" t="n">
        <v>1783.5</v>
      </c>
      <c r="H107" s="30" t="n">
        <v>2.97</v>
      </c>
      <c r="I107" s="30" t="n">
        <v>283229</v>
      </c>
      <c r="J107" s="30" t="inlineStr">
        <is>
          <t>533282</t>
        </is>
      </c>
    </row>
    <row r="108">
      <c r="A108" s="30" t="inlineStr">
        <is>
          <t>SUBEXLTD</t>
        </is>
      </c>
      <c r="B108" s="30" t="inlineStr">
        <is>
          <t>Subex Ltd</t>
        </is>
      </c>
      <c r="C108" s="30" t="inlineStr">
        <is>
          <t>i.t</t>
        </is>
      </c>
      <c r="D108" s="30" t="inlineStr">
        <is>
          <t>computers - software - medium / small</t>
        </is>
      </c>
      <c r="E108" s="30" t="inlineStr">
        <is>
          <t>smallcap</t>
        </is>
      </c>
      <c r="F108" s="30" t="n">
        <v>772.1900000000001</v>
      </c>
      <c r="G108" s="30" t="n">
        <v>14.14</v>
      </c>
      <c r="H108" s="30" t="n">
        <v>2.91</v>
      </c>
      <c r="I108" s="30" t="n">
        <v>1379623</v>
      </c>
      <c r="J108" s="30" t="inlineStr">
        <is>
          <t>532348</t>
        </is>
      </c>
    </row>
    <row r="109">
      <c r="A109" s="30" t="inlineStr">
        <is>
          <t>CHOLAFIN</t>
        </is>
      </c>
      <c r="B109" s="30" t="inlineStr">
        <is>
          <t>Cholamandalam Investment And Finance Company Limited</t>
        </is>
      </c>
      <c r="C109" s="30" t="inlineStr">
        <is>
          <t>financials</t>
        </is>
      </c>
      <c r="D109" s="30" t="inlineStr">
        <is>
          <t>finance &amp; investments</t>
        </is>
      </c>
      <c r="E109" s="30" t="inlineStr">
        <is>
          <t>largecap</t>
        </is>
      </c>
      <c r="F109" s="30" t="n">
        <v>159109.72</v>
      </c>
      <c r="G109" s="30" t="n">
        <v>1920</v>
      </c>
      <c r="H109" s="30" t="n">
        <v>2.88</v>
      </c>
      <c r="I109" s="30" t="n">
        <v>3158303</v>
      </c>
      <c r="J109" s="30" t="inlineStr">
        <is>
          <t>511243</t>
        </is>
      </c>
    </row>
    <row r="110">
      <c r="A110" s="30" t="inlineStr">
        <is>
          <t>JINDALSAW</t>
        </is>
      </c>
      <c r="B110" s="30" t="inlineStr">
        <is>
          <t>Jindal Saw Limited</t>
        </is>
      </c>
      <c r="C110" s="30" t="inlineStr">
        <is>
          <t>industrials</t>
        </is>
      </c>
      <c r="D110" s="30" t="inlineStr">
        <is>
          <t>steel - large</t>
        </is>
      </c>
      <c r="E110" s="30" t="inlineStr">
        <is>
          <t>midcap</t>
        </is>
      </c>
      <c r="F110" s="30" t="n">
        <v>17356.25</v>
      </c>
      <c r="G110" s="30" t="n">
        <v>279.05</v>
      </c>
      <c r="H110" s="30" t="n">
        <v>2.82</v>
      </c>
      <c r="I110" s="30" t="n">
        <v>2495974</v>
      </c>
      <c r="J110" s="30" t="inlineStr">
        <is>
          <t>500378</t>
        </is>
      </c>
    </row>
    <row r="111">
      <c r="A111" s="30" t="inlineStr">
        <is>
          <t>SUNDRMFAST</t>
        </is>
      </c>
      <c r="B111" s="30" t="inlineStr">
        <is>
          <t>Sundram Fasteners Limited</t>
        </is>
      </c>
      <c r="C111" s="30" t="inlineStr">
        <is>
          <t>auto</t>
        </is>
      </c>
      <c r="D111" s="30" t="inlineStr">
        <is>
          <t>auto ancillaries</t>
        </is>
      </c>
      <c r="E111" s="30" t="inlineStr">
        <is>
          <t>largecap</t>
        </is>
      </c>
      <c r="F111" s="30" t="n">
        <v>22915.55</v>
      </c>
      <c r="G111" s="30" t="n">
        <v>1121.3</v>
      </c>
      <c r="H111" s="30" t="n">
        <v>2.82</v>
      </c>
      <c r="I111" s="30" t="n">
        <v>208140</v>
      </c>
      <c r="J111" s="30" t="inlineStr">
        <is>
          <t>500403</t>
        </is>
      </c>
    </row>
    <row r="112">
      <c r="A112" s="30" t="inlineStr">
        <is>
          <t>GUFICBIO</t>
        </is>
      </c>
      <c r="B112" s="30" t="inlineStr">
        <is>
          <t>Gufic Biosciences Limited</t>
        </is>
      </c>
      <c r="C112" s="30" t="inlineStr">
        <is>
          <t>healthcare</t>
        </is>
      </c>
      <c r="D112" s="30" t="inlineStr">
        <is>
          <t>pharmaceuticals - indian - bulk drugs &amp; formln</t>
        </is>
      </c>
      <c r="E112" s="30" t="inlineStr">
        <is>
          <t>smallcap</t>
        </is>
      </c>
      <c r="F112" s="30" t="n">
        <v>4225.9</v>
      </c>
      <c r="G112" s="30" t="n">
        <v>433</v>
      </c>
      <c r="H112" s="30" t="n">
        <v>2.75</v>
      </c>
      <c r="I112" s="30" t="n">
        <v>168401</v>
      </c>
      <c r="J112" s="30" t="inlineStr">
        <is>
          <t>509079</t>
        </is>
      </c>
    </row>
    <row r="113">
      <c r="A113" s="30" t="inlineStr">
        <is>
          <t>KRISHANA</t>
        </is>
      </c>
      <c r="B113" s="30" t="inlineStr">
        <is>
          <t>Krishana Phoschem Ltd</t>
        </is>
      </c>
      <c r="C113" s="30" t="inlineStr">
        <is>
          <t>chemicals</t>
        </is>
      </c>
      <c r="D113" s="30" t="inlineStr">
        <is>
          <t>fertilizers</t>
        </is>
      </c>
      <c r="E113" s="30" t="inlineStr">
        <is>
          <t>smallcap</t>
        </is>
      </c>
      <c r="F113" s="30" t="n">
        <v>1104.67</v>
      </c>
      <c r="G113" s="30" t="n">
        <v>183.54</v>
      </c>
      <c r="H113" s="30" t="n">
        <v>2.73</v>
      </c>
      <c r="I113" s="30" t="n">
        <v>504500</v>
      </c>
      <c r="J113" s="30" t="inlineStr">
        <is>
          <t>538405</t>
        </is>
      </c>
    </row>
    <row r="114">
      <c r="A114" s="30" t="inlineStr">
        <is>
          <t>KMEW</t>
        </is>
      </c>
      <c r="B114" s="30" t="inlineStr">
        <is>
          <t>Knowledge Marine &amp; Engineering Works Ltd</t>
        </is>
      </c>
      <c r="C114" s="30" t="inlineStr">
        <is>
          <t>transportation</t>
        </is>
      </c>
      <c r="D114" s="30" t="inlineStr">
        <is>
          <t>miscellaneous</t>
        </is>
      </c>
      <c r="E114" s="30" t="inlineStr">
        <is>
          <t>midcap</t>
        </is>
      </c>
      <c r="F114" s="30" t="n">
        <v>6180.45</v>
      </c>
      <c r="G114" s="30" t="n">
        <v>2596.8</v>
      </c>
      <c r="H114" s="30" t="n">
        <v>2.71</v>
      </c>
      <c r="I114" s="30" t="n">
        <v>72121</v>
      </c>
      <c r="J114" s="30" t="inlineStr">
        <is>
          <t>543273</t>
        </is>
      </c>
    </row>
    <row r="115">
      <c r="A115" s="30" t="inlineStr">
        <is>
          <t>PRIMESECU</t>
        </is>
      </c>
      <c r="B115" s="30" t="inlineStr">
        <is>
          <t>Prime Securities Limited</t>
        </is>
      </c>
      <c r="C115" s="30" t="inlineStr">
        <is>
          <t>financials</t>
        </is>
      </c>
      <c r="D115" s="30" t="inlineStr">
        <is>
          <t>finance &amp; investments</t>
        </is>
      </c>
      <c r="E115" s="30" t="inlineStr">
        <is>
          <t>smallcap</t>
        </is>
      </c>
      <c r="F115" s="30" t="n">
        <v>1004.8</v>
      </c>
      <c r="G115" s="30" t="n">
        <v>304</v>
      </c>
      <c r="H115" s="30" t="n">
        <v>2.69</v>
      </c>
      <c r="I115" s="30" t="n">
        <v>78747</v>
      </c>
      <c r="J115" s="30" t="inlineStr">
        <is>
          <t>500337</t>
        </is>
      </c>
    </row>
    <row r="116">
      <c r="A116" s="30" t="inlineStr">
        <is>
          <t>HSCL</t>
        </is>
      </c>
      <c r="B116" s="30" t="inlineStr">
        <is>
          <t>Himadri Speciality Chemical Limited</t>
        </is>
      </c>
      <c r="C116" s="30" t="inlineStr">
        <is>
          <t>chemicals</t>
        </is>
      </c>
      <c r="D116" s="30" t="inlineStr">
        <is>
          <t>chemicals</t>
        </is>
      </c>
      <c r="E116" s="30" t="inlineStr">
        <is>
          <t>largecap</t>
        </is>
      </c>
      <c r="F116" s="30" t="n">
        <v>37974.32</v>
      </c>
      <c r="G116" s="30" t="n">
        <v>772.05</v>
      </c>
      <c r="H116" s="30" t="n">
        <v>2.58</v>
      </c>
      <c r="I116" s="30" t="n">
        <v>3188066</v>
      </c>
      <c r="J116" s="30" t="inlineStr">
        <is>
          <t>500184</t>
        </is>
      </c>
    </row>
    <row r="117">
      <c r="A117" s="30" t="inlineStr">
        <is>
          <t>KANORICHEM</t>
        </is>
      </c>
      <c r="B117" s="30" t="inlineStr">
        <is>
          <t>Kanoria Chemicals &amp; Industries Limited</t>
        </is>
      </c>
      <c r="C117" s="30" t="inlineStr">
        <is>
          <t>chemicals</t>
        </is>
      </c>
      <c r="D117" s="30" t="inlineStr">
        <is>
          <t>chemicals</t>
        </is>
      </c>
      <c r="E117" s="30" t="inlineStr">
        <is>
          <t>smallcap</t>
        </is>
      </c>
      <c r="F117" s="30" t="n">
        <v>654.05</v>
      </c>
      <c r="G117" s="30" t="n">
        <v>153.55</v>
      </c>
      <c r="H117" s="30" t="n">
        <v>2.58</v>
      </c>
      <c r="I117" s="30" t="n">
        <v>27842</v>
      </c>
      <c r="J117" s="30" t="inlineStr">
        <is>
          <t>506525</t>
        </is>
      </c>
    </row>
    <row r="118">
      <c r="A118" s="30" t="inlineStr">
        <is>
          <t>INDGN</t>
        </is>
      </c>
      <c r="B118" s="30" t="inlineStr">
        <is>
          <t>Indegene Ltd</t>
        </is>
      </c>
      <c r="C118" s="30" t="inlineStr">
        <is>
          <t>healthcare</t>
        </is>
      </c>
      <c r="D118" s="30" t="inlineStr">
        <is>
          <t>miscellaneous</t>
        </is>
      </c>
      <c r="E118" s="30" t="inlineStr">
        <is>
          <t>midcap</t>
        </is>
      </c>
      <c r="F118" s="30" t="n">
        <v>13359.71</v>
      </c>
      <c r="G118" s="30" t="n">
        <v>568.75</v>
      </c>
      <c r="H118" s="30" t="n">
        <v>2.58</v>
      </c>
      <c r="I118" s="30" t="n">
        <v>1362509</v>
      </c>
      <c r="J118" s="30" t="inlineStr">
        <is>
          <t>544172</t>
        </is>
      </c>
    </row>
    <row r="119">
      <c r="A119" s="30" t="inlineStr">
        <is>
          <t>SENCO</t>
        </is>
      </c>
      <c r="B119" s="30" t="inlineStr">
        <is>
          <t>Senco Gold Ltd</t>
        </is>
      </c>
      <c r="C119" s="30" t="inlineStr">
        <is>
          <t>consumer discretionary</t>
        </is>
      </c>
      <c r="D119" s="30" t="inlineStr">
        <is>
          <t>diamond cutting / jewellery</t>
        </is>
      </c>
      <c r="E119" s="30" t="inlineStr">
        <is>
          <t>midcap</t>
        </is>
      </c>
      <c r="F119" s="30" t="n">
        <v>6370.05</v>
      </c>
      <c r="G119" s="30" t="n">
        <v>398.85</v>
      </c>
      <c r="H119" s="30" t="n">
        <v>2.58</v>
      </c>
      <c r="I119" s="30" t="n">
        <v>1660794</v>
      </c>
      <c r="J119" s="30" t="inlineStr">
        <is>
          <t>543936</t>
        </is>
      </c>
    </row>
    <row r="120">
      <c r="A120" s="30" t="inlineStr">
        <is>
          <t>RITCO</t>
        </is>
      </c>
      <c r="B120" s="30" t="inlineStr">
        <is>
          <t>Ritco Logistics Ltd</t>
        </is>
      </c>
      <c r="C120" s="30" t="inlineStr">
        <is>
          <t>transportation</t>
        </is>
      </c>
      <c r="D120" s="30" t="inlineStr">
        <is>
          <t>miscellaneous</t>
        </is>
      </c>
      <c r="E120" s="30" t="inlineStr">
        <is>
          <t>smallcap</t>
        </is>
      </c>
      <c r="F120" s="30" t="n">
        <v>851.1</v>
      </c>
      <c r="G120" s="30" t="n">
        <v>305</v>
      </c>
      <c r="H120" s="30" t="n">
        <v>2.57</v>
      </c>
      <c r="I120" s="30" t="n">
        <v>156384</v>
      </c>
      <c r="J120" s="30" t="inlineStr">
        <is>
          <t>542383</t>
        </is>
      </c>
    </row>
    <row r="121">
      <c r="A121" s="30" t="inlineStr">
        <is>
          <t>DBOL</t>
        </is>
      </c>
      <c r="B121" s="30" t="inlineStr">
        <is>
          <t>Dhampur Bio Organics Ltd</t>
        </is>
      </c>
      <c r="C121" s="30" t="inlineStr">
        <is>
          <t>fmcg</t>
        </is>
      </c>
      <c r="D121" s="30" t="inlineStr">
        <is>
          <t>sugar</t>
        </is>
      </c>
      <c r="E121" s="30" t="inlineStr">
        <is>
          <t>smallcap</t>
        </is>
      </c>
      <c r="F121" s="30" t="n">
        <v>754.83</v>
      </c>
      <c r="G121" s="30" t="n">
        <v>116.6</v>
      </c>
      <c r="H121" s="30" t="n">
        <v>2.55</v>
      </c>
      <c r="I121" s="30" t="n">
        <v>279083</v>
      </c>
      <c r="J121" s="30" t="inlineStr">
        <is>
          <t>543593</t>
        </is>
      </c>
    </row>
    <row r="122">
      <c r="A122" s="30" t="inlineStr">
        <is>
          <t>GLAND</t>
        </is>
      </c>
      <c r="B122" s="30" t="inlineStr">
        <is>
          <t>Gland Pharma Ltd</t>
        </is>
      </c>
      <c r="C122" s="30" t="inlineStr">
        <is>
          <t>healthcare</t>
        </is>
      </c>
      <c r="D122" s="30" t="inlineStr">
        <is>
          <t>pharmaceuticals - indian - formulations</t>
        </is>
      </c>
      <c r="E122" s="30" t="inlineStr">
        <is>
          <t>largecap</t>
        </is>
      </c>
      <c r="F122" s="30" t="n">
        <v>42906.01</v>
      </c>
      <c r="G122" s="30" t="n">
        <v>2667.3</v>
      </c>
      <c r="H122" s="30" t="n">
        <v>2.55</v>
      </c>
      <c r="I122" s="30" t="n">
        <v>720772</v>
      </c>
      <c r="J122" s="30" t="inlineStr">
        <is>
          <t>543245</t>
        </is>
      </c>
    </row>
    <row r="123">
      <c r="A123" s="30" t="inlineStr">
        <is>
          <t>APLAPOLLO</t>
        </is>
      </c>
      <c r="B123" s="30" t="inlineStr">
        <is>
          <t>Apl Apollo Tubes Limited</t>
        </is>
      </c>
      <c r="C123" s="30" t="inlineStr">
        <is>
          <t>industrials</t>
        </is>
      </c>
      <c r="D123" s="30" t="inlineStr">
        <is>
          <t>steel - large</t>
        </is>
      </c>
      <c r="E123" s="30" t="inlineStr">
        <is>
          <t>largecap</t>
        </is>
      </c>
      <c r="F123" s="30" t="n">
        <v>54698.71</v>
      </c>
      <c r="G123" s="30" t="n">
        <v>2020</v>
      </c>
      <c r="H123" s="30" t="n">
        <v>2.54</v>
      </c>
      <c r="I123" s="30" t="n">
        <v>1128980</v>
      </c>
      <c r="J123" s="30" t="inlineStr">
        <is>
          <t>533758</t>
        </is>
      </c>
    </row>
    <row r="124">
      <c r="A124" s="30" t="inlineStr">
        <is>
          <t>TI</t>
        </is>
      </c>
      <c r="B124" s="30" t="inlineStr">
        <is>
          <t>Tilaknagar Industries Limited</t>
        </is>
      </c>
      <c r="C124" s="30" t="inlineStr">
        <is>
          <t>fmcg</t>
        </is>
      </c>
      <c r="D124" s="30" t="inlineStr">
        <is>
          <t>breweries &amp; distilleries</t>
        </is>
      </c>
      <c r="E124" s="30" t="inlineStr">
        <is>
          <t>midcap</t>
        </is>
      </c>
      <c r="F124" s="30" t="n">
        <v>12144.78</v>
      </c>
      <c r="G124" s="30" t="n">
        <v>503.2</v>
      </c>
      <c r="H124" s="30" t="n">
        <v>2.54</v>
      </c>
      <c r="I124" s="30" t="n">
        <v>1382701</v>
      </c>
      <c r="J124" s="30" t="inlineStr">
        <is>
          <t>507205</t>
        </is>
      </c>
    </row>
    <row r="125">
      <c r="A125" s="30" t="inlineStr">
        <is>
          <t>KRONOX</t>
        </is>
      </c>
      <c r="B125" s="30" t="inlineStr">
        <is>
          <t>Kronox Lab Sciences Ltd</t>
        </is>
      </c>
      <c r="C125" s="30" t="inlineStr">
        <is>
          <t>chemicals</t>
        </is>
      </c>
      <c r="D125" s="30" t="inlineStr">
        <is>
          <t>chemicals</t>
        </is>
      </c>
      <c r="E125" s="30" t="inlineStr">
        <is>
          <t>smallcap</t>
        </is>
      </c>
      <c r="F125" s="30" t="n">
        <v>606.84</v>
      </c>
      <c r="G125" s="30" t="n">
        <v>167.71</v>
      </c>
      <c r="H125" s="30" t="n">
        <v>2.54</v>
      </c>
      <c r="I125" s="30" t="n">
        <v>173020</v>
      </c>
      <c r="J125" s="30" t="inlineStr">
        <is>
          <t>544187</t>
        </is>
      </c>
    </row>
    <row r="126">
      <c r="A126" s="30" t="inlineStr">
        <is>
          <t>ADOR</t>
        </is>
      </c>
      <c r="B126" s="30" t="inlineStr">
        <is>
          <t>Ador Welding Ltd</t>
        </is>
      </c>
      <c r="C126" s="30" t="inlineStr">
        <is>
          <t>industrials</t>
        </is>
      </c>
      <c r="D126" s="30" t="inlineStr">
        <is>
          <t>electrodes - welding equipment</t>
        </is>
      </c>
      <c r="E126" s="30" t="inlineStr">
        <is>
          <t>smallcap</t>
        </is>
      </c>
      <c r="F126" s="30" t="n">
        <v>2581.53</v>
      </c>
      <c r="G126" s="30" t="n">
        <v>1520</v>
      </c>
      <c r="H126" s="30" t="n">
        <v>2.47</v>
      </c>
      <c r="I126" s="30" t="n">
        <v>64008</v>
      </c>
      <c r="J126" s="30" t="inlineStr">
        <is>
          <t>517041</t>
        </is>
      </c>
    </row>
    <row r="127">
      <c r="A127" s="30" t="inlineStr">
        <is>
          <t>AZAD</t>
        </is>
      </c>
      <c r="B127" s="30" t="inlineStr">
        <is>
          <t>Azad Engineering Ltd</t>
        </is>
      </c>
      <c r="C127" s="30" t="inlineStr">
        <is>
          <t>aerospace &amp; defence</t>
        </is>
      </c>
      <c r="D127" s="30" t="inlineStr">
        <is>
          <t>engineering</t>
        </is>
      </c>
      <c r="E127" s="30" t="inlineStr">
        <is>
          <t>midcap</t>
        </is>
      </c>
      <c r="F127" s="30" t="n">
        <v>16074.4</v>
      </c>
      <c r="G127" s="30" t="n">
        <v>2549.7</v>
      </c>
      <c r="H127" s="30" t="n">
        <v>2.44</v>
      </c>
      <c r="I127" s="30" t="n">
        <v>1286090</v>
      </c>
      <c r="J127" s="30" t="inlineStr">
        <is>
          <t>544061</t>
        </is>
      </c>
    </row>
    <row r="128">
      <c r="A128" s="30" t="inlineStr">
        <is>
          <t>SGIL</t>
        </is>
      </c>
      <c r="B128" s="30" t="inlineStr">
        <is>
          <t>Synergy Green Industries Ltd</t>
        </is>
      </c>
      <c r="C128" s="30" t="inlineStr">
        <is>
          <t>industrials</t>
        </is>
      </c>
      <c r="D128" s="30" t="inlineStr">
        <is>
          <t>castings &amp; forgings</t>
        </is>
      </c>
      <c r="E128" s="30" t="inlineStr">
        <is>
          <t>smallcap</t>
        </is>
      </c>
      <c r="F128" s="30" t="n">
        <v>937.71</v>
      </c>
      <c r="G128" s="30" t="n">
        <v>617.9</v>
      </c>
      <c r="H128" s="30" t="n">
        <v>2.42</v>
      </c>
      <c r="I128" s="30" t="n">
        <v>13818</v>
      </c>
      <c r="J128" s="30" t="inlineStr">
        <is>
          <t>541929</t>
        </is>
      </c>
    </row>
    <row r="129">
      <c r="A129" s="30" t="inlineStr">
        <is>
          <t>SREEL</t>
        </is>
      </c>
      <c r="B129" s="30" t="inlineStr">
        <is>
          <t>Sreeleathers Limited</t>
        </is>
      </c>
      <c r="C129" s="30" t="inlineStr">
        <is>
          <t>consumer discretionary</t>
        </is>
      </c>
      <c r="D129" s="30" t="inlineStr">
        <is>
          <t>trading</t>
        </is>
      </c>
      <c r="E129" s="30" t="inlineStr">
        <is>
          <t>smallcap</t>
        </is>
      </c>
      <c r="F129" s="30" t="n">
        <v>501.38</v>
      </c>
      <c r="G129" s="30" t="n">
        <v>221.75</v>
      </c>
      <c r="H129" s="30" t="n">
        <v>2.41</v>
      </c>
      <c r="I129" s="30" t="n">
        <v>11071</v>
      </c>
      <c r="J129" s="30" t="inlineStr">
        <is>
          <t>535601</t>
        </is>
      </c>
    </row>
    <row r="130">
      <c r="A130" s="30" t="inlineStr">
        <is>
          <t>JSWENERGY</t>
        </is>
      </c>
      <c r="B130" s="30" t="inlineStr">
        <is>
          <t>Jsw Energy Limited</t>
        </is>
      </c>
      <c r="C130" s="30" t="inlineStr">
        <is>
          <t>power &amp; utilities</t>
        </is>
      </c>
      <c r="D130" s="30" t="inlineStr">
        <is>
          <t>power generation and supply</t>
        </is>
      </c>
      <c r="E130" s="30" t="inlineStr">
        <is>
          <t>largecap</t>
        </is>
      </c>
      <c r="F130" s="30" t="n">
        <v>103481.77</v>
      </c>
      <c r="G130" s="30" t="n">
        <v>578</v>
      </c>
      <c r="H130" s="30" t="n">
        <v>2.41</v>
      </c>
      <c r="I130" s="30" t="n">
        <v>3842353</v>
      </c>
      <c r="J130" s="30" t="inlineStr">
        <is>
          <t>533148</t>
        </is>
      </c>
    </row>
    <row r="131">
      <c r="A131" s="30" t="inlineStr">
        <is>
          <t>HFCL</t>
        </is>
      </c>
      <c r="B131" s="30" t="inlineStr">
        <is>
          <t>HFCL Ltd</t>
        </is>
      </c>
      <c r="C131" s="30" t="inlineStr">
        <is>
          <t>telecom</t>
        </is>
      </c>
      <c r="D131" s="30" t="inlineStr">
        <is>
          <t>cables - telephone</t>
        </is>
      </c>
      <c r="E131" s="30" t="inlineStr">
        <is>
          <t>largecap</t>
        </is>
      </c>
      <c r="F131" s="30" t="n">
        <v>31833.47</v>
      </c>
      <c r="G131" s="30" t="n">
        <v>212.97</v>
      </c>
      <c r="H131" s="30" t="n">
        <v>2.4</v>
      </c>
      <c r="I131" s="30" t="n">
        <v>19215845</v>
      </c>
      <c r="J131" s="30" t="inlineStr">
        <is>
          <t>500183</t>
        </is>
      </c>
    </row>
    <row r="132">
      <c r="A132" s="30" t="inlineStr">
        <is>
          <t>MAZDOCK</t>
        </is>
      </c>
      <c r="B132" s="30" t="inlineStr">
        <is>
          <t>Mazagon Dock Shipbuilders Ltd</t>
        </is>
      </c>
      <c r="C132" s="30" t="inlineStr">
        <is>
          <t>aerospace &amp; defence</t>
        </is>
      </c>
      <c r="D132" s="30" t="inlineStr">
        <is>
          <t>miscellaneous</t>
        </is>
      </c>
      <c r="E132" s="30" t="inlineStr">
        <is>
          <t>largecap</t>
        </is>
      </c>
      <c r="F132" s="30" t="n">
        <v>101446.04</v>
      </c>
      <c r="G132" s="30" t="n">
        <v>2575</v>
      </c>
      <c r="H132" s="30" t="n">
        <v>2.39</v>
      </c>
      <c r="I132" s="30" t="n">
        <v>2917367</v>
      </c>
      <c r="J132" s="30" t="inlineStr">
        <is>
          <t>543237</t>
        </is>
      </c>
    </row>
    <row r="133">
      <c r="A133" s="30" t="inlineStr">
        <is>
          <t>VADILALIND</t>
        </is>
      </c>
      <c r="B133" s="30" t="inlineStr">
        <is>
          <t>Vadilal Industries Limited</t>
        </is>
      </c>
      <c r="C133" s="30" t="inlineStr">
        <is>
          <t>fmcg</t>
        </is>
      </c>
      <c r="D133" s="30" t="inlineStr">
        <is>
          <t>food - processing - indian</t>
        </is>
      </c>
      <c r="E133" s="30" t="inlineStr">
        <is>
          <t>midcap</t>
        </is>
      </c>
      <c r="F133" s="30" t="n">
        <v>5180.63</v>
      </c>
      <c r="G133" s="30" t="n">
        <v>7380</v>
      </c>
      <c r="H133" s="30" t="n">
        <v>2.39</v>
      </c>
      <c r="I133" s="30" t="n">
        <v>35311</v>
      </c>
      <c r="J133" s="30" t="inlineStr">
        <is>
          <t>519156</t>
        </is>
      </c>
    </row>
    <row r="134">
      <c r="A134" s="30" t="inlineStr">
        <is>
          <t>VMART</t>
        </is>
      </c>
      <c r="B134" s="30" t="inlineStr">
        <is>
          <t>V-mart Retail Limited</t>
        </is>
      </c>
      <c r="C134" s="30" t="inlineStr">
        <is>
          <t>consumer discretionary</t>
        </is>
      </c>
      <c r="D134" s="30" t="inlineStr">
        <is>
          <t>trading</t>
        </is>
      </c>
      <c r="E134" s="30" t="inlineStr">
        <is>
          <t>midcap</t>
        </is>
      </c>
      <c r="F134" s="30" t="n">
        <v>6358.67</v>
      </c>
      <c r="G134" s="30" t="n">
        <v>818.4</v>
      </c>
      <c r="H134" s="30" t="n">
        <v>2.38</v>
      </c>
      <c r="I134" s="30" t="n">
        <v>83389</v>
      </c>
      <c r="J134" s="30" t="inlineStr">
        <is>
          <t>534976</t>
        </is>
      </c>
    </row>
    <row r="135">
      <c r="A135" s="30" t="inlineStr">
        <is>
          <t>HEROMOTOCO</t>
        </is>
      </c>
      <c r="B135" s="30" t="inlineStr">
        <is>
          <t>Hero Motocorp Limited</t>
        </is>
      </c>
      <c r="C135" s="30" t="inlineStr">
        <is>
          <t>auto</t>
        </is>
      </c>
      <c r="D135" s="30" t="inlineStr">
        <is>
          <t>automobiles - motorcycles / mopeds</t>
        </is>
      </c>
      <c r="E135" s="30" t="inlineStr">
        <is>
          <t>largecap</t>
        </is>
      </c>
      <c r="F135" s="30" t="n">
        <v>114553.21</v>
      </c>
      <c r="G135" s="30" t="n">
        <v>5860</v>
      </c>
      <c r="H135" s="30" t="n">
        <v>2.36</v>
      </c>
      <c r="I135" s="30" t="n">
        <v>1948405</v>
      </c>
      <c r="J135" s="30" t="inlineStr">
        <is>
          <t>500182</t>
        </is>
      </c>
    </row>
    <row r="136">
      <c r="A136" s="30" t="inlineStr">
        <is>
          <t>BALKRISIND</t>
        </is>
      </c>
      <c r="B136" s="30" t="inlineStr">
        <is>
          <t>Balkrishna Industries Limited</t>
        </is>
      </c>
      <c r="C136" s="30" t="inlineStr">
        <is>
          <t>auto</t>
        </is>
      </c>
      <c r="D136" s="30" t="inlineStr">
        <is>
          <t>tyres</t>
        </is>
      </c>
      <c r="E136" s="30" t="inlineStr">
        <is>
          <t>largecap</t>
        </is>
      </c>
      <c r="F136" s="30" t="n">
        <v>47677.82</v>
      </c>
      <c r="G136" s="30" t="n">
        <v>2524.6</v>
      </c>
      <c r="H136" s="30" t="n">
        <v>2.36</v>
      </c>
      <c r="I136" s="30" t="n">
        <v>441369</v>
      </c>
      <c r="J136" s="30" t="inlineStr">
        <is>
          <t>502355</t>
        </is>
      </c>
    </row>
    <row r="137">
      <c r="A137" s="30" t="inlineStr">
        <is>
          <t>UTTAMSUGAR</t>
        </is>
      </c>
      <c r="B137" s="30" t="inlineStr">
        <is>
          <t>Uttam Sugar Mills Limited</t>
        </is>
      </c>
      <c r="C137" s="30" t="inlineStr">
        <is>
          <t>fmcg</t>
        </is>
      </c>
      <c r="D137" s="30" t="inlineStr">
        <is>
          <t>sugar</t>
        </is>
      </c>
      <c r="E137" s="30" t="inlineStr">
        <is>
          <t>smallcap</t>
        </is>
      </c>
      <c r="F137" s="30" t="n">
        <v>964.02</v>
      </c>
      <c r="G137" s="30" t="n">
        <v>258.72</v>
      </c>
      <c r="H137" s="30" t="n">
        <v>2.35</v>
      </c>
      <c r="I137" s="30" t="n">
        <v>292383</v>
      </c>
      <c r="J137" s="30" t="inlineStr">
        <is>
          <t>532729</t>
        </is>
      </c>
    </row>
    <row r="138">
      <c r="A138" s="30" t="inlineStr">
        <is>
          <t>AURUM</t>
        </is>
      </c>
      <c r="B138" s="30" t="inlineStr">
        <is>
          <t>Aurum Proptech Ltd</t>
        </is>
      </c>
      <c r="C138" s="30" t="inlineStr">
        <is>
          <t>i.t</t>
        </is>
      </c>
      <c r="D138" s="30" t="inlineStr">
        <is>
          <t>computers - software - medium / small</t>
        </is>
      </c>
      <c r="E138" s="30" t="inlineStr">
        <is>
          <t>smallcap</t>
        </is>
      </c>
      <c r="F138" s="30" t="n">
        <v>1734.31</v>
      </c>
      <c r="G138" s="30" t="n">
        <v>231.27</v>
      </c>
      <c r="H138" s="30" t="n">
        <v>2.33</v>
      </c>
      <c r="I138" s="30" t="n">
        <v>362253</v>
      </c>
      <c r="J138" s="30" t="inlineStr">
        <is>
          <t>539289</t>
        </is>
      </c>
    </row>
    <row r="139">
      <c r="A139" s="30" t="inlineStr">
        <is>
          <t>IIFL</t>
        </is>
      </c>
      <c r="B139" s="30" t="inlineStr">
        <is>
          <t>IIFL Finance Ltd</t>
        </is>
      </c>
      <c r="C139" s="30" t="inlineStr">
        <is>
          <t>financials</t>
        </is>
      </c>
      <c r="D139" s="30" t="inlineStr">
        <is>
          <t>finance &amp; investments</t>
        </is>
      </c>
      <c r="E139" s="30" t="inlineStr">
        <is>
          <t>largecap</t>
        </is>
      </c>
      <c r="F139" s="30" t="n">
        <v>26019.26</v>
      </c>
      <c r="G139" s="30" t="n">
        <v>625.9</v>
      </c>
      <c r="H139" s="30" t="n">
        <v>2.31</v>
      </c>
      <c r="I139" s="30" t="n">
        <v>1267266</v>
      </c>
      <c r="J139" s="30" t="inlineStr">
        <is>
          <t>532636</t>
        </is>
      </c>
    </row>
    <row r="140">
      <c r="A140" s="30" t="inlineStr">
        <is>
          <t>MANORAMA</t>
        </is>
      </c>
      <c r="B140" s="30" t="inlineStr">
        <is>
          <t>Manorama Industries Ltd</t>
        </is>
      </c>
      <c r="C140" s="30" t="inlineStr">
        <is>
          <t>fmcg</t>
        </is>
      </c>
      <c r="D140" s="30" t="inlineStr">
        <is>
          <t>food - processing - indian</t>
        </is>
      </c>
      <c r="E140" s="30" t="inlineStr">
        <is>
          <t>midcap</t>
        </is>
      </c>
      <c r="F140" s="30" t="n">
        <v>9769.51</v>
      </c>
      <c r="G140" s="30" t="n">
        <v>1674</v>
      </c>
      <c r="H140" s="30" t="n">
        <v>2.31</v>
      </c>
      <c r="I140" s="30" t="n">
        <v>90784</v>
      </c>
      <c r="J140" s="30" t="inlineStr">
        <is>
          <t>541974</t>
        </is>
      </c>
    </row>
    <row r="141">
      <c r="A141" s="30" t="inlineStr">
        <is>
          <t>OIL</t>
        </is>
      </c>
      <c r="B141" s="30" t="inlineStr">
        <is>
          <t>Oil India Limited</t>
        </is>
      </c>
      <c r="C141" s="30" t="inlineStr">
        <is>
          <t>energy</t>
        </is>
      </c>
      <c r="D141" s="30" t="inlineStr">
        <is>
          <t>oil drilling / allied services</t>
        </is>
      </c>
      <c r="E141" s="30" t="inlineStr">
        <is>
          <t>largecap</t>
        </is>
      </c>
      <c r="F141" s="30" t="n">
        <v>72026.19</v>
      </c>
      <c r="G141" s="30" t="n">
        <v>453</v>
      </c>
      <c r="H141" s="30" t="n">
        <v>2.3</v>
      </c>
      <c r="I141" s="30" t="n">
        <v>16730550</v>
      </c>
      <c r="J141" s="30" t="inlineStr">
        <is>
          <t>533106</t>
        </is>
      </c>
    </row>
    <row r="142">
      <c r="A142" s="30" t="inlineStr">
        <is>
          <t>MAHLOG</t>
        </is>
      </c>
      <c r="B142" s="30" t="inlineStr">
        <is>
          <t>Mahindra Logistics Ltd</t>
        </is>
      </c>
      <c r="C142" s="30" t="inlineStr">
        <is>
          <t>transportation</t>
        </is>
      </c>
      <c r="D142" s="30" t="inlineStr">
        <is>
          <t>miscellaneous</t>
        </is>
      </c>
      <c r="E142" s="30" t="inlineStr">
        <is>
          <t>smallcap</t>
        </is>
      </c>
      <c r="F142" s="30" t="n">
        <v>3995.69</v>
      </c>
      <c r="G142" s="30" t="n">
        <v>411.9</v>
      </c>
      <c r="H142" s="30" t="n">
        <v>2.28</v>
      </c>
      <c r="I142" s="30" t="n">
        <v>271907</v>
      </c>
      <c r="J142" s="30" t="inlineStr">
        <is>
          <t>540768</t>
        </is>
      </c>
    </row>
    <row r="143">
      <c r="A143" s="30" t="inlineStr">
        <is>
          <t>BAJFINANCE</t>
        </is>
      </c>
      <c r="B143" s="30" t="inlineStr">
        <is>
          <t>Bajaj Finance Limited</t>
        </is>
      </c>
      <c r="C143" s="30" t="inlineStr">
        <is>
          <t>financials</t>
        </is>
      </c>
      <c r="D143" s="30" t="inlineStr">
        <is>
          <t>finance &amp; investments</t>
        </is>
      </c>
      <c r="E143" s="30" t="inlineStr">
        <is>
          <t>largecap</t>
        </is>
      </c>
      <c r="F143" s="30" t="n">
        <v>671157.87</v>
      </c>
      <c r="G143" s="30" t="n">
        <v>1102.2</v>
      </c>
      <c r="H143" s="30" t="n">
        <v>2.24</v>
      </c>
      <c r="I143" s="30" t="n">
        <v>14369402</v>
      </c>
      <c r="J143" s="30" t="inlineStr">
        <is>
          <t>500034</t>
        </is>
      </c>
    </row>
    <row r="144">
      <c r="A144" s="30" t="inlineStr">
        <is>
          <t>ENDURANCE</t>
        </is>
      </c>
      <c r="B144" s="30" t="inlineStr">
        <is>
          <t>Endurance Technologies Limited</t>
        </is>
      </c>
      <c r="C144" s="30" t="inlineStr">
        <is>
          <t>auto</t>
        </is>
      </c>
      <c r="D144" s="30" t="inlineStr">
        <is>
          <t>auto ancillaries</t>
        </is>
      </c>
      <c r="E144" s="30" t="inlineStr">
        <is>
          <t>largecap</t>
        </is>
      </c>
      <c r="F144" s="30" t="n">
        <v>40855.52</v>
      </c>
      <c r="G144" s="30" t="n">
        <v>2969</v>
      </c>
      <c r="H144" s="30" t="n">
        <v>2.22</v>
      </c>
      <c r="I144" s="30" t="n">
        <v>203417</v>
      </c>
      <c r="J144" s="30" t="inlineStr">
        <is>
          <t>540153</t>
        </is>
      </c>
    </row>
    <row r="145">
      <c r="A145" s="30" t="inlineStr">
        <is>
          <t>CARBORUNIV</t>
        </is>
      </c>
      <c r="B145" s="30" t="inlineStr">
        <is>
          <t>Carborundum Universal Limited</t>
        </is>
      </c>
      <c r="C145" s="30" t="inlineStr">
        <is>
          <t>industrials</t>
        </is>
      </c>
      <c r="D145" s="30" t="inlineStr">
        <is>
          <t>abrasives and grinding wheels</t>
        </is>
      </c>
      <c r="E145" s="30" t="inlineStr">
        <is>
          <t>largecap</t>
        </is>
      </c>
      <c r="F145" s="30" t="n">
        <v>20897.14</v>
      </c>
      <c r="G145" s="30" t="n">
        <v>1121</v>
      </c>
      <c r="H145" s="30" t="n">
        <v>2.19</v>
      </c>
      <c r="I145" s="30" t="n">
        <v>369922</v>
      </c>
      <c r="J145" s="30" t="inlineStr">
        <is>
          <t>513375</t>
        </is>
      </c>
    </row>
    <row r="146">
      <c r="A146" s="30" t="inlineStr">
        <is>
          <t>BERGEPAINT</t>
        </is>
      </c>
      <c r="B146" s="30" t="inlineStr">
        <is>
          <t>Berger Paints (i) Limited</t>
        </is>
      </c>
      <c r="C146" s="30" t="inlineStr">
        <is>
          <t>building materials</t>
        </is>
      </c>
      <c r="D146" s="30" t="inlineStr">
        <is>
          <t>paints / varnishes</t>
        </is>
      </c>
      <c r="E146" s="30" t="inlineStr">
        <is>
          <t>largecap</t>
        </is>
      </c>
      <c r="F146" s="30" t="n">
        <v>61862.28</v>
      </c>
      <c r="G146" s="30" t="n">
        <v>542.1</v>
      </c>
      <c r="H146" s="30" t="n">
        <v>2.18</v>
      </c>
      <c r="I146" s="30" t="n">
        <v>272470</v>
      </c>
      <c r="J146" s="30" t="inlineStr">
        <is>
          <t>509480</t>
        </is>
      </c>
    </row>
    <row r="147">
      <c r="A147" s="30" t="inlineStr">
        <is>
          <t>GNA</t>
        </is>
      </c>
      <c r="B147" s="30" t="inlineStr">
        <is>
          <t>Gna Axles Limited</t>
        </is>
      </c>
      <c r="C147" s="30" t="inlineStr">
        <is>
          <t>auto</t>
        </is>
      </c>
      <c r="D147" s="30" t="inlineStr">
        <is>
          <t>auto ancillaries</t>
        </is>
      </c>
      <c r="E147" s="30" t="inlineStr">
        <is>
          <t>smallcap</t>
        </is>
      </c>
      <c r="F147" s="30" t="n">
        <v>2263.31</v>
      </c>
      <c r="G147" s="30" t="n">
        <v>538.7</v>
      </c>
      <c r="H147" s="30" t="n">
        <v>2.18</v>
      </c>
      <c r="I147" s="30" t="n">
        <v>1054786</v>
      </c>
      <c r="J147" s="30" t="inlineStr">
        <is>
          <t>540124</t>
        </is>
      </c>
    </row>
    <row r="148">
      <c r="A148" s="30" t="inlineStr">
        <is>
          <t>GAEL</t>
        </is>
      </c>
      <c r="B148" s="30" t="inlineStr">
        <is>
          <t>Gujarat Ambuja Exports Limited</t>
        </is>
      </c>
      <c r="C148" s="30" t="inlineStr">
        <is>
          <t>fmcg</t>
        </is>
      </c>
      <c r="D148" s="30" t="inlineStr">
        <is>
          <t>miscellaneous</t>
        </is>
      </c>
      <c r="E148" s="30" t="inlineStr">
        <is>
          <t>midcap</t>
        </is>
      </c>
      <c r="F148" s="30" t="n">
        <v>7761.62</v>
      </c>
      <c r="G148" s="30" t="n">
        <v>172.85</v>
      </c>
      <c r="H148" s="30" t="n">
        <v>2.15</v>
      </c>
      <c r="I148" s="30" t="n">
        <v>898252</v>
      </c>
      <c r="J148" s="30" t="inlineStr">
        <is>
          <t>524226</t>
        </is>
      </c>
    </row>
    <row r="149">
      <c r="A149" s="30" t="inlineStr">
        <is>
          <t>CCAVENUE</t>
        </is>
      </c>
      <c r="B149" s="30" t="inlineStr">
        <is>
          <t>AvenuesAI Ltd</t>
        </is>
      </c>
      <c r="C149" s="30" t="inlineStr">
        <is>
          <t>i.t</t>
        </is>
      </c>
      <c r="D149" s="30" t="inlineStr">
        <is>
          <t>miscellaneous</t>
        </is>
      </c>
      <c r="E149" s="30" t="inlineStr">
        <is>
          <t>midcap</t>
        </is>
      </c>
      <c r="F149" s="30" t="n">
        <v>6003.35</v>
      </c>
      <c r="G149" s="30" t="n">
        <v>17.54</v>
      </c>
      <c r="H149" s="30" t="n">
        <v>2.15</v>
      </c>
      <c r="I149" s="30" t="n">
        <v>16822590</v>
      </c>
      <c r="J149" s="30" t="inlineStr">
        <is>
          <t>539807</t>
        </is>
      </c>
    </row>
    <row r="150">
      <c r="A150" s="30" t="inlineStr">
        <is>
          <t>FCL</t>
        </is>
      </c>
      <c r="B150" s="30" t="inlineStr">
        <is>
          <t>Fineotex Chemical Limited</t>
        </is>
      </c>
      <c r="C150" s="30" t="inlineStr">
        <is>
          <t>chemicals</t>
        </is>
      </c>
      <c r="D150" s="30" t="inlineStr">
        <is>
          <t>chemicals</t>
        </is>
      </c>
      <c r="E150" s="30" t="inlineStr">
        <is>
          <t>smallcap</t>
        </is>
      </c>
      <c r="F150" s="30" t="n">
        <v>4848.98</v>
      </c>
      <c r="G150" s="30" t="n">
        <v>42.51</v>
      </c>
      <c r="H150" s="30" t="n">
        <v>2.09</v>
      </c>
      <c r="I150" s="30" t="n">
        <v>13354818</v>
      </c>
      <c r="J150" s="30" t="inlineStr">
        <is>
          <t>533333</t>
        </is>
      </c>
    </row>
    <row r="151">
      <c r="A151" s="30" t="inlineStr">
        <is>
          <t>SAREGAMA</t>
        </is>
      </c>
      <c r="B151" s="30" t="inlineStr">
        <is>
          <t>Saregama India Limited</t>
        </is>
      </c>
      <c r="C151" s="30" t="inlineStr">
        <is>
          <t>media</t>
        </is>
      </c>
      <c r="D151" s="30" t="inlineStr">
        <is>
          <t>entertainment / electronic media software</t>
        </is>
      </c>
      <c r="E151" s="30" t="inlineStr">
        <is>
          <t>midcap</t>
        </is>
      </c>
      <c r="F151" s="30" t="n">
        <v>10010.67</v>
      </c>
      <c r="G151" s="30" t="n">
        <v>530.05</v>
      </c>
      <c r="H151" s="30" t="n">
        <v>2.09</v>
      </c>
      <c r="I151" s="30" t="n">
        <v>408612</v>
      </c>
      <c r="J151" s="30" t="inlineStr">
        <is>
          <t>532163</t>
        </is>
      </c>
    </row>
    <row r="152">
      <c r="A152" s="30" t="inlineStr">
        <is>
          <t>BEPL</t>
        </is>
      </c>
      <c r="B152" s="30" t="inlineStr">
        <is>
          <t>Bhansali Engineering Polymers Limited</t>
        </is>
      </c>
      <c r="C152" s="30" t="inlineStr">
        <is>
          <t>energy</t>
        </is>
      </c>
      <c r="D152" s="30" t="inlineStr">
        <is>
          <t>petrochemicals</t>
        </is>
      </c>
      <c r="E152" s="30" t="inlineStr">
        <is>
          <t>smallcap</t>
        </is>
      </c>
      <c r="F152" s="30" t="n">
        <v>3075.14</v>
      </c>
      <c r="G152" s="30" t="n">
        <v>126.14</v>
      </c>
      <c r="H152" s="30" t="n">
        <v>2.08</v>
      </c>
      <c r="I152" s="30" t="n">
        <v>2671340</v>
      </c>
      <c r="J152" s="30" t="inlineStr">
        <is>
          <t>500052</t>
        </is>
      </c>
    </row>
    <row r="153">
      <c r="A153" s="30" t="inlineStr">
        <is>
          <t>BRITANNIA</t>
        </is>
      </c>
      <c r="B153" s="30" t="inlineStr">
        <is>
          <t>Britannia Industries Limited</t>
        </is>
      </c>
      <c r="C153" s="30" t="inlineStr">
        <is>
          <t>fmcg</t>
        </is>
      </c>
      <c r="D153" s="30" t="inlineStr">
        <is>
          <t>food - processing - mnc</t>
        </is>
      </c>
      <c r="E153" s="30" t="inlineStr">
        <is>
          <t>largecap</t>
        </is>
      </c>
      <c r="F153" s="30" t="n">
        <v>132718.43</v>
      </c>
      <c r="G153" s="30" t="n">
        <v>5623.5</v>
      </c>
      <c r="H153" s="30" t="n">
        <v>2.06</v>
      </c>
      <c r="I153" s="30" t="n">
        <v>651500</v>
      </c>
      <c r="J153" s="30" t="inlineStr">
        <is>
          <t>500825</t>
        </is>
      </c>
    </row>
    <row r="154">
      <c r="A154" s="30" t="inlineStr">
        <is>
          <t>SHRIRAMFIN</t>
        </is>
      </c>
      <c r="B154" s="30" t="inlineStr">
        <is>
          <t>Shriram Finance Ltd</t>
        </is>
      </c>
      <c r="C154" s="30" t="inlineStr">
        <is>
          <t>financials</t>
        </is>
      </c>
      <c r="D154" s="30" t="inlineStr">
        <is>
          <t>finance &amp; investments</t>
        </is>
      </c>
      <c r="E154" s="30" t="inlineStr">
        <is>
          <t>largecap</t>
        </is>
      </c>
      <c r="F154" s="30" t="n">
        <v>262350.04</v>
      </c>
      <c r="G154" s="30" t="n">
        <v>1137.8</v>
      </c>
      <c r="H154" s="30" t="n">
        <v>2.04</v>
      </c>
      <c r="I154" s="30" t="n">
        <v>6860607</v>
      </c>
      <c r="J154" s="30" t="inlineStr">
        <is>
          <t>511218</t>
        </is>
      </c>
    </row>
    <row r="155">
      <c r="A155" s="30" t="inlineStr">
        <is>
          <t>KIRLOSBROS</t>
        </is>
      </c>
      <c r="B155" s="30" t="inlineStr">
        <is>
          <t>Kirloskar Brothers Limited</t>
        </is>
      </c>
      <c r="C155" s="30" t="inlineStr">
        <is>
          <t>industrials</t>
        </is>
      </c>
      <c r="D155" s="30" t="inlineStr">
        <is>
          <t>pumps</t>
        </is>
      </c>
      <c r="E155" s="30" t="inlineStr">
        <is>
          <t>midcap</t>
        </is>
      </c>
      <c r="F155" s="30" t="n">
        <v>15101.2</v>
      </c>
      <c r="G155" s="30" t="n">
        <v>1940</v>
      </c>
      <c r="H155" s="30" t="n">
        <v>2.01</v>
      </c>
      <c r="I155" s="30" t="n">
        <v>117073</v>
      </c>
      <c r="J155" s="30" t="inlineStr">
        <is>
          <t>500241</t>
        </is>
      </c>
    </row>
    <row r="156">
      <c r="A156" s="30" t="inlineStr">
        <is>
          <t>MINDACORP</t>
        </is>
      </c>
      <c r="B156" s="30" t="inlineStr">
        <is>
          <t>Minda Corporation Limited</t>
        </is>
      </c>
      <c r="C156" s="30" t="inlineStr">
        <is>
          <t>auto</t>
        </is>
      </c>
      <c r="D156" s="30" t="inlineStr">
        <is>
          <t>auto ancillaries</t>
        </is>
      </c>
      <c r="E156" s="30" t="inlineStr">
        <is>
          <t>midcap</t>
        </is>
      </c>
      <c r="F156" s="30" t="n">
        <v>17253.17</v>
      </c>
      <c r="G156" s="30" t="n">
        <v>736.1</v>
      </c>
      <c r="H156" s="30" t="n">
        <v>2</v>
      </c>
      <c r="I156" s="30" t="n">
        <v>723210</v>
      </c>
      <c r="J156" s="30" t="inlineStr">
        <is>
          <t>538962</t>
        </is>
      </c>
    </row>
    <row r="157">
      <c r="A157" s="30" t="inlineStr">
        <is>
          <t>JINDALSTEL</t>
        </is>
      </c>
      <c r="B157" s="30" t="inlineStr">
        <is>
          <t>Jindal Steel Ltd</t>
        </is>
      </c>
      <c r="C157" s="30" t="inlineStr">
        <is>
          <t>metals &amp; mining</t>
        </is>
      </c>
      <c r="D157" s="30" t="inlineStr">
        <is>
          <t>steel - large</t>
        </is>
      </c>
      <c r="E157" s="30" t="inlineStr">
        <is>
          <t>largecap</t>
        </is>
      </c>
      <c r="F157" s="30" t="n">
        <v>112515.72</v>
      </c>
      <c r="G157" s="30" t="n">
        <v>1125</v>
      </c>
      <c r="H157" s="30" t="n">
        <v>1.99</v>
      </c>
      <c r="I157" s="30" t="n">
        <v>1775160</v>
      </c>
      <c r="J157" s="30" t="inlineStr">
        <is>
          <t>532286</t>
        </is>
      </c>
    </row>
    <row r="158">
      <c r="A158" s="30" t="inlineStr">
        <is>
          <t>RAYMOND</t>
        </is>
      </c>
      <c r="B158" s="30" t="inlineStr">
        <is>
          <t>Raymond Limited</t>
        </is>
      </c>
      <c r="C158" s="30" t="inlineStr">
        <is>
          <t>transportation</t>
        </is>
      </c>
      <c r="D158" s="30" t="inlineStr">
        <is>
          <t>transport - airlines</t>
        </is>
      </c>
      <c r="E158" s="30" t="inlineStr">
        <is>
          <t>smallcap</t>
        </is>
      </c>
      <c r="F158" s="30" t="n">
        <v>4093.95</v>
      </c>
      <c r="G158" s="30" t="n">
        <v>627</v>
      </c>
      <c r="H158" s="30" t="n">
        <v>1.96</v>
      </c>
      <c r="I158" s="30" t="n">
        <v>928797</v>
      </c>
      <c r="J158" s="30" t="inlineStr">
        <is>
          <t>500330</t>
        </is>
      </c>
    </row>
    <row r="159">
      <c r="A159" s="30" t="inlineStr">
        <is>
          <t>PPLPHARMA</t>
        </is>
      </c>
      <c r="B159" s="30" t="inlineStr">
        <is>
          <t>Piramal Pharma Ltd</t>
        </is>
      </c>
      <c r="C159" s="30" t="inlineStr">
        <is>
          <t>healthcare</t>
        </is>
      </c>
      <c r="D159" s="30" t="inlineStr">
        <is>
          <t>pharmaceuticals - indian - bulk drugs &amp; formln</t>
        </is>
      </c>
      <c r="E159" s="30" t="inlineStr">
        <is>
          <t>largecap</t>
        </is>
      </c>
      <c r="F159" s="30" t="n">
        <v>27898.4</v>
      </c>
      <c r="G159" s="30" t="n">
        <v>213.61</v>
      </c>
      <c r="H159" s="30" t="n">
        <v>1.94</v>
      </c>
      <c r="I159" s="30" t="n">
        <v>9027984</v>
      </c>
      <c r="J159" s="30" t="inlineStr">
        <is>
          <t>543635</t>
        </is>
      </c>
    </row>
    <row r="160">
      <c r="A160" s="30" t="inlineStr">
        <is>
          <t>CAPLIPOINT</t>
        </is>
      </c>
      <c r="B160" s="30" t="inlineStr">
        <is>
          <t>Caplin Point Laboratories Limited</t>
        </is>
      </c>
      <c r="C160" s="30" t="inlineStr">
        <is>
          <t>healthcare</t>
        </is>
      </c>
      <c r="D160" s="30" t="inlineStr">
        <is>
          <t>pharmaceuticals - indian - formulations</t>
        </is>
      </c>
      <c r="E160" s="30" t="inlineStr">
        <is>
          <t>midcap</t>
        </is>
      </c>
      <c r="F160" s="30" t="n">
        <v>19566.17</v>
      </c>
      <c r="G160" s="30" t="n">
        <v>2623.8</v>
      </c>
      <c r="H160" s="30" t="n">
        <v>1.93</v>
      </c>
      <c r="I160" s="30" t="n">
        <v>128453</v>
      </c>
      <c r="J160" s="30" t="inlineStr">
        <is>
          <t>524742</t>
        </is>
      </c>
    </row>
    <row r="161">
      <c r="A161" s="30" t="inlineStr">
        <is>
          <t>COFORGE</t>
        </is>
      </c>
      <c r="B161" s="30" t="inlineStr">
        <is>
          <t>Coforge (Niit Tech) Ltd</t>
        </is>
      </c>
      <c r="C161" s="30" t="inlineStr">
        <is>
          <t>i.t</t>
        </is>
      </c>
      <c r="D161" s="30" t="inlineStr">
        <is>
          <t>computers - software - large</t>
        </is>
      </c>
      <c r="E161" s="30" t="inlineStr">
        <is>
          <t>largecap</t>
        </is>
      </c>
      <c r="F161" s="30" t="n">
        <v>78621.89</v>
      </c>
      <c r="G161" s="30" t="n">
        <v>1810</v>
      </c>
      <c r="H161" s="30" t="n">
        <v>1.91</v>
      </c>
      <c r="I161" s="30" t="n">
        <v>5238081</v>
      </c>
      <c r="J161" s="30" t="inlineStr">
        <is>
          <t>532541</t>
        </is>
      </c>
    </row>
    <row r="162">
      <c r="A162" s="30" t="inlineStr">
        <is>
          <t>NSLNISP</t>
        </is>
      </c>
      <c r="B162" s="30" t="inlineStr">
        <is>
          <t>NMDC Steel Ltd</t>
        </is>
      </c>
      <c r="C162" s="30" t="inlineStr">
        <is>
          <t>metals &amp; mining</t>
        </is>
      </c>
      <c r="D162" s="30" t="inlineStr">
        <is>
          <t>steel - large</t>
        </is>
      </c>
      <c r="E162" s="30" t="inlineStr">
        <is>
          <t>midcap</t>
        </is>
      </c>
      <c r="F162" s="30" t="n">
        <v>12847.78</v>
      </c>
      <c r="G162" s="30" t="n">
        <v>44.67</v>
      </c>
      <c r="H162" s="30" t="n">
        <v>1.89</v>
      </c>
      <c r="I162" s="30" t="n">
        <v>4122023</v>
      </c>
      <c r="J162" s="30" t="inlineStr">
        <is>
          <t>543768</t>
        </is>
      </c>
    </row>
    <row r="163">
      <c r="A163" s="30" t="inlineStr">
        <is>
          <t>CEATLTD</t>
        </is>
      </c>
      <c r="B163" s="30" t="inlineStr">
        <is>
          <t>Ceat Limited</t>
        </is>
      </c>
      <c r="C163" s="30" t="inlineStr">
        <is>
          <t>auto</t>
        </is>
      </c>
      <c r="D163" s="30" t="inlineStr">
        <is>
          <t>tyres</t>
        </is>
      </c>
      <c r="E163" s="30" t="inlineStr">
        <is>
          <t>midcap</t>
        </is>
      </c>
      <c r="F163" s="30" t="n">
        <v>15059.97</v>
      </c>
      <c r="G163" s="30" t="n">
        <v>3793.6</v>
      </c>
      <c r="H163" s="30" t="n">
        <v>1.89</v>
      </c>
      <c r="I163" s="30" t="n">
        <v>92750</v>
      </c>
      <c r="J163" s="30" t="inlineStr">
        <is>
          <t>500878</t>
        </is>
      </c>
    </row>
    <row r="164">
      <c r="A164" s="30" t="inlineStr">
        <is>
          <t>JSWINFRA</t>
        </is>
      </c>
      <c r="B164" s="30" t="inlineStr">
        <is>
          <t>JSW Infrastructure Ltd</t>
        </is>
      </c>
      <c r="C164" s="30" t="inlineStr">
        <is>
          <t>transportation</t>
        </is>
      </c>
      <c r="D164" s="30" t="inlineStr">
        <is>
          <t>miscellaneous</t>
        </is>
      </c>
      <c r="E164" s="30" t="inlineStr">
        <is>
          <t>largecap</t>
        </is>
      </c>
      <c r="F164" s="30" t="n">
        <v>78229.8</v>
      </c>
      <c r="G164" s="30" t="n">
        <v>342</v>
      </c>
      <c r="H164" s="30" t="n">
        <v>1.86</v>
      </c>
      <c r="I164" s="30" t="n">
        <v>4403432</v>
      </c>
      <c r="J164" s="30" t="inlineStr">
        <is>
          <t>543994</t>
        </is>
      </c>
    </row>
    <row r="165">
      <c r="A165" s="30" t="inlineStr">
        <is>
          <t>GODREJPROP</t>
        </is>
      </c>
      <c r="B165" s="30" t="inlineStr">
        <is>
          <t>Godrej Properties Limited</t>
        </is>
      </c>
      <c r="C165" s="30" t="inlineStr">
        <is>
          <t>realty</t>
        </is>
      </c>
      <c r="D165" s="30" t="inlineStr">
        <is>
          <t>construction</t>
        </is>
      </c>
      <c r="E165" s="30" t="inlineStr">
        <is>
          <t>largecap</t>
        </is>
      </c>
      <c r="F165" s="30" t="n">
        <v>62353.77</v>
      </c>
      <c r="G165" s="30" t="n">
        <v>2108.4</v>
      </c>
      <c r="H165" s="30" t="n">
        <v>1.86</v>
      </c>
      <c r="I165" s="30" t="n">
        <v>719473</v>
      </c>
      <c r="J165" s="30" t="inlineStr">
        <is>
          <t>533150</t>
        </is>
      </c>
    </row>
    <row r="166">
      <c r="A166" s="30" t="inlineStr">
        <is>
          <t>DPABHUSHAN</t>
        </is>
      </c>
      <c r="B166" s="30" t="inlineStr">
        <is>
          <t>D.P. Abhushan Ltd</t>
        </is>
      </c>
      <c r="C166" s="30" t="inlineStr">
        <is>
          <t>consumer discretionary</t>
        </is>
      </c>
      <c r="D166" s="30" t="inlineStr">
        <is>
          <t>diamond cutting / jewellery</t>
        </is>
      </c>
      <c r="E166" s="30" t="inlineStr">
        <is>
          <t>smallcap</t>
        </is>
      </c>
      <c r="F166" s="30" t="n">
        <v>3294.98</v>
      </c>
      <c r="G166" s="30" t="n">
        <v>1470.1</v>
      </c>
      <c r="H166" s="30" t="n">
        <v>1.85</v>
      </c>
      <c r="I166" s="30" t="n">
        <v>28158</v>
      </c>
      <c r="J166" s="30" t="inlineStr">
        <is>
          <t>535026</t>
        </is>
      </c>
    </row>
    <row r="167">
      <c r="A167" s="30" t="inlineStr">
        <is>
          <t>BELRISE</t>
        </is>
      </c>
      <c r="B167" s="30" t="inlineStr">
        <is>
          <t>Belrise Industries Ltd</t>
        </is>
      </c>
      <c r="C167" s="30" t="inlineStr">
        <is>
          <t>auto</t>
        </is>
      </c>
      <c r="D167" s="30" t="inlineStr">
        <is>
          <t>auto ancillaries</t>
        </is>
      </c>
      <c r="E167" s="30" t="inlineStr">
        <is>
          <t>largecap</t>
        </is>
      </c>
      <c r="F167" s="30" t="n">
        <v>24005.68</v>
      </c>
      <c r="G167" s="30" t="n">
        <v>252.77</v>
      </c>
      <c r="H167" s="30" t="n">
        <v>1.84</v>
      </c>
      <c r="I167" s="30" t="n">
        <v>6590771</v>
      </c>
      <c r="J167" s="30" t="n"/>
    </row>
    <row r="168">
      <c r="A168" s="30" t="inlineStr">
        <is>
          <t>ETHOSLTD</t>
        </is>
      </c>
      <c r="B168" s="30" t="inlineStr">
        <is>
          <t>Ethos Ltd</t>
        </is>
      </c>
      <c r="C168" s="30" t="inlineStr">
        <is>
          <t>consumer discretionary</t>
        </is>
      </c>
      <c r="D168" s="30" t="inlineStr">
        <is>
          <t>trading</t>
        </is>
      </c>
      <c r="E168" s="30" t="inlineStr">
        <is>
          <t>midcap</t>
        </is>
      </c>
      <c r="F168" s="30" t="n">
        <v>7444.26</v>
      </c>
      <c r="G168" s="30" t="n">
        <v>2833.1</v>
      </c>
      <c r="H168" s="30" t="n">
        <v>1.83</v>
      </c>
      <c r="I168" s="30" t="n">
        <v>31526</v>
      </c>
      <c r="J168" s="30" t="inlineStr">
        <is>
          <t>543532</t>
        </is>
      </c>
    </row>
    <row r="169">
      <c r="A169" s="30" t="inlineStr">
        <is>
          <t>GRAPHITE</t>
        </is>
      </c>
      <c r="B169" s="30" t="inlineStr">
        <is>
          <t>Graphite India Limited</t>
        </is>
      </c>
      <c r="C169" s="30" t="inlineStr">
        <is>
          <t>industrials</t>
        </is>
      </c>
      <c r="D169" s="30" t="inlineStr">
        <is>
          <t>electrodes - graphites</t>
        </is>
      </c>
      <c r="E169" s="30" t="inlineStr">
        <is>
          <t>midcap</t>
        </is>
      </c>
      <c r="F169" s="30" t="n">
        <v>13870.69</v>
      </c>
      <c r="G169" s="30" t="n">
        <v>722.9</v>
      </c>
      <c r="H169" s="30" t="n">
        <v>1.82</v>
      </c>
      <c r="I169" s="30" t="n">
        <v>966513</v>
      </c>
      <c r="J169" s="30" t="inlineStr">
        <is>
          <t>509488</t>
        </is>
      </c>
    </row>
    <row r="170">
      <c r="A170" s="30" t="inlineStr">
        <is>
          <t>VARROC</t>
        </is>
      </c>
      <c r="B170" s="30" t="inlineStr">
        <is>
          <t>Varroc Engineering Ltd</t>
        </is>
      </c>
      <c r="C170" s="30" t="inlineStr">
        <is>
          <t>auto</t>
        </is>
      </c>
      <c r="D170" s="30" t="inlineStr">
        <is>
          <t>auto ancillaries</t>
        </is>
      </c>
      <c r="E170" s="30" t="inlineStr">
        <is>
          <t>midcap</t>
        </is>
      </c>
      <c r="F170" s="30" t="n">
        <v>12394.03</v>
      </c>
      <c r="G170" s="30" t="n">
        <v>825.95</v>
      </c>
      <c r="H170" s="30" t="n">
        <v>1.82</v>
      </c>
      <c r="I170" s="30" t="n">
        <v>1417670</v>
      </c>
      <c r="J170" s="30" t="inlineStr">
        <is>
          <t>541578</t>
        </is>
      </c>
    </row>
    <row r="171">
      <c r="A171" s="30" t="inlineStr">
        <is>
          <t>CONFIPET</t>
        </is>
      </c>
      <c r="B171" s="30" t="inlineStr">
        <is>
          <t>Confidence Petroleum India Ltd</t>
        </is>
      </c>
      <c r="C171" s="30" t="inlineStr">
        <is>
          <t>miscellaneous</t>
        </is>
      </c>
      <c r="D171" s="30" t="inlineStr">
        <is>
          <t>miscellaneous</t>
        </is>
      </c>
      <c r="E171" s="30" t="inlineStr">
        <is>
          <t>smallcap</t>
        </is>
      </c>
      <c r="F171" s="30" t="n">
        <v>2700.46</v>
      </c>
      <c r="G171" s="30" t="n">
        <v>82.73999999999999</v>
      </c>
      <c r="H171" s="30" t="n">
        <v>1.8</v>
      </c>
      <c r="I171" s="30" t="n">
        <v>5858829</v>
      </c>
      <c r="J171" s="30" t="inlineStr">
        <is>
          <t>526829</t>
        </is>
      </c>
    </row>
    <row r="172">
      <c r="A172" s="30" t="inlineStr">
        <is>
          <t>GEECEE</t>
        </is>
      </c>
      <c r="B172" s="30" t="inlineStr">
        <is>
          <t>Geecee Ventures Limited</t>
        </is>
      </c>
      <c r="C172" s="30" t="inlineStr">
        <is>
          <t>financials</t>
        </is>
      </c>
      <c r="D172" s="30" t="inlineStr">
        <is>
          <t>finance &amp; investments</t>
        </is>
      </c>
      <c r="E172" s="30" t="inlineStr">
        <is>
          <t>smallcap</t>
        </is>
      </c>
      <c r="F172" s="30" t="n">
        <v>760.04</v>
      </c>
      <c r="G172" s="30" t="n">
        <v>370</v>
      </c>
      <c r="H172" s="30" t="n">
        <v>1.8</v>
      </c>
      <c r="I172" s="30" t="n">
        <v>7109</v>
      </c>
      <c r="J172" s="30" t="inlineStr">
        <is>
          <t>532764</t>
        </is>
      </c>
    </row>
    <row r="173">
      <c r="A173" s="30" t="inlineStr">
        <is>
          <t>NAHARINDUS</t>
        </is>
      </c>
      <c r="B173" s="30" t="inlineStr">
        <is>
          <t>Nahar Industrial Enterprises Limited</t>
        </is>
      </c>
      <c r="C173" s="30" t="inlineStr">
        <is>
          <t>textiles</t>
        </is>
      </c>
      <c r="D173" s="30" t="inlineStr">
        <is>
          <t>textiles - cotton/blended</t>
        </is>
      </c>
      <c r="E173" s="30" t="inlineStr">
        <is>
          <t>smallcap</t>
        </is>
      </c>
      <c r="F173" s="30" t="n">
        <v>551.8200000000001</v>
      </c>
      <c r="G173" s="30" t="n">
        <v>130</v>
      </c>
      <c r="H173" s="30" t="n">
        <v>1.79</v>
      </c>
      <c r="I173" s="30" t="n">
        <v>147014</v>
      </c>
      <c r="J173" s="30" t="inlineStr">
        <is>
          <t>519136</t>
        </is>
      </c>
    </row>
    <row r="174">
      <c r="A174" s="30" t="inlineStr">
        <is>
          <t>ACE</t>
        </is>
      </c>
      <c r="B174" s="30" t="inlineStr">
        <is>
          <t>Action Construction Equipment Limited</t>
        </is>
      </c>
      <c r="C174" s="30" t="inlineStr">
        <is>
          <t>industrials</t>
        </is>
      </c>
      <c r="D174" s="30" t="inlineStr">
        <is>
          <t>engineering</t>
        </is>
      </c>
      <c r="E174" s="30" t="inlineStr">
        <is>
          <t>midcap</t>
        </is>
      </c>
      <c r="F174" s="30" t="n">
        <v>13031.27</v>
      </c>
      <c r="G174" s="30" t="n">
        <v>1113.6</v>
      </c>
      <c r="H174" s="30" t="n">
        <v>1.76</v>
      </c>
      <c r="I174" s="30" t="n">
        <v>305830</v>
      </c>
      <c r="J174" s="30" t="inlineStr">
        <is>
          <t>532762</t>
        </is>
      </c>
    </row>
    <row r="175">
      <c r="A175" s="30" t="inlineStr">
        <is>
          <t>SHANTIGOLD</t>
        </is>
      </c>
      <c r="B175" s="30" t="inlineStr">
        <is>
          <t>Shanti Gold International Ltd</t>
        </is>
      </c>
      <c r="C175" s="30" t="inlineStr">
        <is>
          <t>consumer discretionary</t>
        </is>
      </c>
      <c r="D175" s="30" t="inlineStr">
        <is>
          <t>diamond cutting / jewellery</t>
        </is>
      </c>
      <c r="E175" s="30" t="inlineStr">
        <is>
          <t>smallcap</t>
        </is>
      </c>
      <c r="F175" s="30" t="n">
        <v>1615.02</v>
      </c>
      <c r="G175" s="30" t="n">
        <v>227.91</v>
      </c>
      <c r="H175" s="30" t="n">
        <v>1.74</v>
      </c>
      <c r="I175" s="30" t="n">
        <v>704322</v>
      </c>
      <c r="J175" s="30" t="inlineStr">
        <is>
          <t>544459</t>
        </is>
      </c>
    </row>
    <row r="176">
      <c r="A176" s="30" t="inlineStr">
        <is>
          <t>FILATEX</t>
        </is>
      </c>
      <c r="B176" s="30" t="inlineStr">
        <is>
          <t>Filatex India Limited</t>
        </is>
      </c>
      <c r="C176" s="30" t="inlineStr">
        <is>
          <t>textiles</t>
        </is>
      </c>
      <c r="D176" s="30" t="inlineStr">
        <is>
          <t>textiles - manmade</t>
        </is>
      </c>
      <c r="E176" s="30" t="inlineStr">
        <is>
          <t>smallcap</t>
        </is>
      </c>
      <c r="F176" s="30" t="n">
        <v>3700.34</v>
      </c>
      <c r="G176" s="30" t="n">
        <v>84.78</v>
      </c>
      <c r="H176" s="30" t="n">
        <v>1.74</v>
      </c>
      <c r="I176" s="30" t="n">
        <v>4575349</v>
      </c>
      <c r="J176" s="30" t="inlineStr">
        <is>
          <t>526227</t>
        </is>
      </c>
    </row>
    <row r="177">
      <c r="A177" s="30" t="inlineStr">
        <is>
          <t>GRASIM</t>
        </is>
      </c>
      <c r="B177" s="30" t="inlineStr">
        <is>
          <t>Grasim Industries Limited</t>
        </is>
      </c>
      <c r="C177" s="30" t="inlineStr">
        <is>
          <t>textiles</t>
        </is>
      </c>
      <c r="D177" s="30" t="inlineStr">
        <is>
          <t>textiles - manmade</t>
        </is>
      </c>
      <c r="E177" s="30" t="inlineStr">
        <is>
          <t>largecap</t>
        </is>
      </c>
      <c r="F177" s="30" t="n">
        <v>226156.93</v>
      </c>
      <c r="G177" s="30" t="n">
        <v>3380.5</v>
      </c>
      <c r="H177" s="30" t="n">
        <v>1.73</v>
      </c>
      <c r="I177" s="30" t="n">
        <v>5122421</v>
      </c>
      <c r="J177" s="30" t="inlineStr">
        <is>
          <t>500300</t>
        </is>
      </c>
    </row>
    <row r="178">
      <c r="A178" s="30" t="inlineStr">
        <is>
          <t>HNDFDS</t>
        </is>
      </c>
      <c r="B178" s="30" t="inlineStr">
        <is>
          <t>Hindustan Foods Ltd</t>
        </is>
      </c>
      <c r="C178" s="30" t="inlineStr">
        <is>
          <t>fmcg</t>
        </is>
      </c>
      <c r="D178" s="30" t="inlineStr">
        <is>
          <t>diversified - large</t>
        </is>
      </c>
      <c r="E178" s="30" t="inlineStr">
        <is>
          <t>midcap</t>
        </is>
      </c>
      <c r="F178" s="30" t="n">
        <v>6981.39</v>
      </c>
      <c r="G178" s="30" t="n">
        <v>586</v>
      </c>
      <c r="H178" s="30" t="n">
        <v>1.7</v>
      </c>
      <c r="I178" s="30" t="n">
        <v>74737</v>
      </c>
      <c r="J178" s="30" t="inlineStr">
        <is>
          <t>519126</t>
        </is>
      </c>
    </row>
    <row r="179">
      <c r="A179" s="30" t="inlineStr">
        <is>
          <t>TMB</t>
        </is>
      </c>
      <c r="B179" s="30" t="inlineStr">
        <is>
          <t>Tamilnad Mercantile Bank Ltd</t>
        </is>
      </c>
      <c r="C179" s="30" t="inlineStr">
        <is>
          <t>bank</t>
        </is>
      </c>
      <c r="D179" s="30" t="inlineStr">
        <is>
          <t>banks - private sector</t>
        </is>
      </c>
      <c r="E179" s="30" t="inlineStr">
        <is>
          <t>midcap</t>
        </is>
      </c>
      <c r="F179" s="30" t="n">
        <v>13870.8</v>
      </c>
      <c r="G179" s="30" t="n">
        <v>890.2</v>
      </c>
      <c r="H179" s="30" t="n">
        <v>1.63</v>
      </c>
      <c r="I179" s="30" t="n">
        <v>181662</v>
      </c>
      <c r="J179" s="30" t="inlineStr">
        <is>
          <t>543596</t>
        </is>
      </c>
    </row>
    <row r="180">
      <c r="A180" s="30" t="inlineStr">
        <is>
          <t>KROSS</t>
        </is>
      </c>
      <c r="B180" s="30" t="inlineStr">
        <is>
          <t>Kross Ltd</t>
        </is>
      </c>
      <c r="C180" s="30" t="inlineStr">
        <is>
          <t>auto</t>
        </is>
      </c>
      <c r="D180" s="30" t="inlineStr">
        <is>
          <t>auto ancillaries</t>
        </is>
      </c>
      <c r="E180" s="30" t="inlineStr">
        <is>
          <t>smallcap</t>
        </is>
      </c>
      <c r="F180" s="30" t="n">
        <v>1307.93</v>
      </c>
      <c r="G180" s="30" t="n">
        <v>206.06</v>
      </c>
      <c r="H180" s="30" t="n">
        <v>1.63</v>
      </c>
      <c r="I180" s="30" t="n">
        <v>308066</v>
      </c>
      <c r="J180" s="30" t="inlineStr">
        <is>
          <t>544253</t>
        </is>
      </c>
    </row>
    <row r="181">
      <c r="A181" s="30" t="inlineStr">
        <is>
          <t>GNFC</t>
        </is>
      </c>
      <c r="B181" s="30" t="inlineStr">
        <is>
          <t>Gujarat Narmada Valley Fertilizers And Chemicals Limited</t>
        </is>
      </c>
      <c r="C181" s="30" t="inlineStr">
        <is>
          <t>chemicals</t>
        </is>
      </c>
      <c r="D181" s="30" t="inlineStr">
        <is>
          <t>chemicals</t>
        </is>
      </c>
      <c r="E181" s="30" t="inlineStr">
        <is>
          <t>midcap</t>
        </is>
      </c>
      <c r="F181" s="30" t="n">
        <v>7868.67</v>
      </c>
      <c r="G181" s="30" t="n">
        <v>544.1</v>
      </c>
      <c r="H181" s="30" t="n">
        <v>1.61</v>
      </c>
      <c r="I181" s="30" t="n">
        <v>272440</v>
      </c>
      <c r="J181" s="30" t="inlineStr">
        <is>
          <t>500670</t>
        </is>
      </c>
    </row>
    <row r="182">
      <c r="A182" s="30" t="inlineStr">
        <is>
          <t>BORANA</t>
        </is>
      </c>
      <c r="B182" s="30" t="inlineStr">
        <is>
          <t>Borana Weaves Ltd</t>
        </is>
      </c>
      <c r="C182" s="30" t="inlineStr">
        <is>
          <t>textiles</t>
        </is>
      </c>
      <c r="D182" s="30" t="inlineStr">
        <is>
          <t>textiles - processing</t>
        </is>
      </c>
      <c r="E182" s="30" t="inlineStr">
        <is>
          <t>smallcap</t>
        </is>
      </c>
      <c r="F182" s="30" t="n">
        <v>904.87</v>
      </c>
      <c r="G182" s="30" t="n">
        <v>345</v>
      </c>
      <c r="H182" s="30" t="n">
        <v>1.59</v>
      </c>
      <c r="I182" s="30" t="n">
        <v>39480</v>
      </c>
      <c r="J182" s="30" t="n"/>
    </row>
    <row r="183">
      <c r="A183" s="30" t="inlineStr">
        <is>
          <t>NGLFINE</t>
        </is>
      </c>
      <c r="B183" s="30" t="inlineStr">
        <is>
          <t>NGL Fine Chem Ltd</t>
        </is>
      </c>
      <c r="C183" s="30" t="inlineStr">
        <is>
          <t>healthcare</t>
        </is>
      </c>
      <c r="D183" s="30" t="inlineStr">
        <is>
          <t>pharmaceuticals - indian - bulk drugs</t>
        </is>
      </c>
      <c r="E183" s="30" t="inlineStr">
        <is>
          <t>smallcap</t>
        </is>
      </c>
      <c r="F183" s="30" t="n">
        <v>2102.75</v>
      </c>
      <c r="G183" s="30" t="n">
        <v>3457.8</v>
      </c>
      <c r="H183" s="30" t="n">
        <v>1.59</v>
      </c>
      <c r="I183" s="30" t="n">
        <v>7370</v>
      </c>
      <c r="J183" s="30" t="inlineStr">
        <is>
          <t>524774</t>
        </is>
      </c>
    </row>
    <row r="184">
      <c r="A184" s="30" t="inlineStr">
        <is>
          <t>VRLLOG</t>
        </is>
      </c>
      <c r="B184" s="30" t="inlineStr">
        <is>
          <t>Vrl Logistics Limited</t>
        </is>
      </c>
      <c r="C184" s="30" t="inlineStr">
        <is>
          <t>transportation</t>
        </is>
      </c>
      <c r="D184" s="30" t="inlineStr">
        <is>
          <t>miscellaneous</t>
        </is>
      </c>
      <c r="E184" s="30" t="inlineStr">
        <is>
          <t>smallcap</t>
        </is>
      </c>
      <c r="F184" s="30" t="n">
        <v>4921.85</v>
      </c>
      <c r="G184" s="30" t="n">
        <v>285.8</v>
      </c>
      <c r="H184" s="30" t="n">
        <v>1.58</v>
      </c>
      <c r="I184" s="30" t="n">
        <v>324876</v>
      </c>
      <c r="J184" s="30" t="inlineStr">
        <is>
          <t>539118</t>
        </is>
      </c>
    </row>
    <row r="185">
      <c r="A185" s="30" t="inlineStr">
        <is>
          <t>KANSAINER</t>
        </is>
      </c>
      <c r="B185" s="30" t="inlineStr">
        <is>
          <t>Kansai Nerolac Paints Limited</t>
        </is>
      </c>
      <c r="C185" s="30" t="inlineStr">
        <is>
          <t>building materials</t>
        </is>
      </c>
      <c r="D185" s="30" t="inlineStr">
        <is>
          <t>paints / varnishes</t>
        </is>
      </c>
      <c r="E185" s="30" t="inlineStr">
        <is>
          <t>midcap</t>
        </is>
      </c>
      <c r="F185" s="30" t="n">
        <v>17173.05</v>
      </c>
      <c r="G185" s="30" t="n">
        <v>215.65</v>
      </c>
      <c r="H185" s="30" t="n">
        <v>1.55</v>
      </c>
      <c r="I185" s="30" t="n">
        <v>547826</v>
      </c>
      <c r="J185" s="30" t="inlineStr">
        <is>
          <t>500165</t>
        </is>
      </c>
    </row>
    <row r="186">
      <c r="A186" s="30" t="inlineStr">
        <is>
          <t>PTCIL</t>
        </is>
      </c>
      <c r="B186" s="30" t="inlineStr">
        <is>
          <t>PTC Industries Ltd</t>
        </is>
      </c>
      <c r="C186" s="30" t="inlineStr">
        <is>
          <t>industrials</t>
        </is>
      </c>
      <c r="D186" s="30" t="inlineStr">
        <is>
          <t>castings &amp; forgings</t>
        </is>
      </c>
      <c r="E186" s="30" t="inlineStr">
        <is>
          <t>largecap</t>
        </is>
      </c>
      <c r="F186" s="30" t="n">
        <v>28599.79</v>
      </c>
      <c r="G186" s="30" t="n">
        <v>19370</v>
      </c>
      <c r="H186" s="30" t="n">
        <v>1.54</v>
      </c>
      <c r="I186" s="30" t="n">
        <v>18285</v>
      </c>
      <c r="J186" s="30" t="inlineStr">
        <is>
          <t>539006</t>
        </is>
      </c>
    </row>
    <row r="187">
      <c r="A187" s="30" t="inlineStr">
        <is>
          <t>SHARDAMOTR</t>
        </is>
      </c>
      <c r="B187" s="30" t="inlineStr">
        <is>
          <t>Sharda Motor Industries Limited</t>
        </is>
      </c>
      <c r="C187" s="30" t="inlineStr">
        <is>
          <t>auto</t>
        </is>
      </c>
      <c r="D187" s="30" t="inlineStr">
        <is>
          <t>auto ancillaries</t>
        </is>
      </c>
      <c r="E187" s="30" t="inlineStr">
        <is>
          <t>midcap</t>
        </is>
      </c>
      <c r="F187" s="30" t="n">
        <v>5403.79</v>
      </c>
      <c r="G187" s="30" t="n">
        <v>955.7</v>
      </c>
      <c r="H187" s="30" t="n">
        <v>1.53</v>
      </c>
      <c r="I187" s="30" t="n">
        <v>99362</v>
      </c>
      <c r="J187" s="30" t="inlineStr">
        <is>
          <t>535602</t>
        </is>
      </c>
    </row>
    <row r="188">
      <c r="A188" s="30" t="inlineStr">
        <is>
          <t>RATNAVEER</t>
        </is>
      </c>
      <c r="B188" s="30" t="inlineStr">
        <is>
          <t>Ratnaveer Precision Engineering Ltd</t>
        </is>
      </c>
      <c r="C188" s="30" t="inlineStr">
        <is>
          <t>metals &amp; mining</t>
        </is>
      </c>
      <c r="D188" s="30" t="inlineStr">
        <is>
          <t>steel - medium / small</t>
        </is>
      </c>
      <c r="E188" s="30" t="inlineStr">
        <is>
          <t>smallcap</t>
        </is>
      </c>
      <c r="F188" s="30" t="n">
        <v>1472.1</v>
      </c>
      <c r="G188" s="30" t="n">
        <v>209.25</v>
      </c>
      <c r="H188" s="30" t="n">
        <v>1.53</v>
      </c>
      <c r="I188" s="30" t="n">
        <v>4225309</v>
      </c>
      <c r="J188" s="30" t="inlineStr">
        <is>
          <t>543978</t>
        </is>
      </c>
    </row>
    <row r="189">
      <c r="A189" s="30" t="inlineStr">
        <is>
          <t>PIDILITIND</t>
        </is>
      </c>
      <c r="B189" s="30" t="inlineStr">
        <is>
          <t>Pidilite Industries Limited</t>
        </is>
      </c>
      <c r="C189" s="30" t="inlineStr">
        <is>
          <t>chemicals</t>
        </is>
      </c>
      <c r="D189" s="30" t="inlineStr">
        <is>
          <t>chemicals</t>
        </is>
      </c>
      <c r="E189" s="30" t="inlineStr">
        <is>
          <t>largecap</t>
        </is>
      </c>
      <c r="F189" s="30" t="n">
        <v>168950.71</v>
      </c>
      <c r="G189" s="30" t="n">
        <v>1685</v>
      </c>
      <c r="H189" s="30" t="n">
        <v>1.51</v>
      </c>
      <c r="I189" s="30" t="n">
        <v>1714117</v>
      </c>
      <c r="J189" s="30" t="inlineStr">
        <is>
          <t>500331</t>
        </is>
      </c>
    </row>
    <row r="190">
      <c r="A190" s="30" t="inlineStr">
        <is>
          <t>APCOTEXIND</t>
        </is>
      </c>
      <c r="B190" s="30" t="inlineStr">
        <is>
          <t>Apcotex Industries Limited</t>
        </is>
      </c>
      <c r="C190" s="30" t="inlineStr">
        <is>
          <t>chemicals</t>
        </is>
      </c>
      <c r="D190" s="30" t="inlineStr">
        <is>
          <t>miscellaneous</t>
        </is>
      </c>
      <c r="E190" s="30" t="inlineStr">
        <is>
          <t>smallcap</t>
        </is>
      </c>
      <c r="F190" s="30" t="n">
        <v>3187.43</v>
      </c>
      <c r="G190" s="30" t="n">
        <v>624.05</v>
      </c>
      <c r="H190" s="30" t="n">
        <v>1.5</v>
      </c>
      <c r="I190" s="30" t="n">
        <v>271630</v>
      </c>
      <c r="J190" s="30" t="inlineStr">
        <is>
          <t>523694</t>
        </is>
      </c>
    </row>
    <row r="191">
      <c r="A191" s="30" t="inlineStr">
        <is>
          <t>INOXINDIA</t>
        </is>
      </c>
      <c r="B191" s="30" t="inlineStr">
        <is>
          <t>Inox India Ltd</t>
        </is>
      </c>
      <c r="C191" s="30" t="inlineStr">
        <is>
          <t>industrials</t>
        </is>
      </c>
      <c r="D191" s="30" t="inlineStr">
        <is>
          <t>packaging</t>
        </is>
      </c>
      <c r="E191" s="30" t="inlineStr">
        <is>
          <t>midcap</t>
        </is>
      </c>
      <c r="F191" s="30" t="n">
        <v>17741.54</v>
      </c>
      <c r="G191" s="30" t="n">
        <v>1984.1</v>
      </c>
      <c r="H191" s="30" t="n">
        <v>1.5</v>
      </c>
      <c r="I191" s="30" t="n">
        <v>142077</v>
      </c>
      <c r="J191" s="30" t="inlineStr">
        <is>
          <t>544046</t>
        </is>
      </c>
    </row>
    <row r="192">
      <c r="A192" s="30" t="inlineStr">
        <is>
          <t>JKPAPER</t>
        </is>
      </c>
      <c r="B192" s="30" t="inlineStr">
        <is>
          <t>Jk Paper Limited</t>
        </is>
      </c>
      <c r="C192" s="30" t="inlineStr">
        <is>
          <t>building materials</t>
        </is>
      </c>
      <c r="D192" s="30" t="inlineStr">
        <is>
          <t>paper</t>
        </is>
      </c>
      <c r="E192" s="30" t="inlineStr">
        <is>
          <t>midcap</t>
        </is>
      </c>
      <c r="F192" s="30" t="n">
        <v>7017.94</v>
      </c>
      <c r="G192" s="30" t="n">
        <v>392.7</v>
      </c>
      <c r="H192" s="30" t="n">
        <v>1.46</v>
      </c>
      <c r="I192" s="30" t="n">
        <v>453034</v>
      </c>
      <c r="J192" s="30" t="inlineStr">
        <is>
          <t>532162</t>
        </is>
      </c>
    </row>
    <row r="193">
      <c r="A193" s="30" t="inlineStr">
        <is>
          <t>DOLPHIN</t>
        </is>
      </c>
      <c r="B193" s="30" t="inlineStr">
        <is>
          <t>Dolphin Offshore Enterprises (India) Ltd</t>
        </is>
      </c>
      <c r="C193" s="30" t="inlineStr">
        <is>
          <t>energy</t>
        </is>
      </c>
      <c r="D193" s="30" t="inlineStr">
        <is>
          <t>oil drilling / allied services</t>
        </is>
      </c>
      <c r="E193" s="30" t="inlineStr">
        <is>
          <t>smallcap</t>
        </is>
      </c>
      <c r="F193" s="30" t="n">
        <v>1644.39</v>
      </c>
      <c r="G193" s="30" t="n">
        <v>417.05</v>
      </c>
      <c r="H193" s="30" t="n">
        <v>1.46</v>
      </c>
      <c r="I193" s="30" t="n">
        <v>30109</v>
      </c>
      <c r="J193" s="30" t="inlineStr">
        <is>
          <t>522261</t>
        </is>
      </c>
    </row>
    <row r="194">
      <c r="A194" s="30" t="inlineStr">
        <is>
          <t>HARSHA</t>
        </is>
      </c>
      <c r="B194" s="30" t="inlineStr">
        <is>
          <t>Harsha Engineers International Ltd</t>
        </is>
      </c>
      <c r="C194" s="30" t="inlineStr">
        <is>
          <t>industrials</t>
        </is>
      </c>
      <c r="D194" s="30" t="inlineStr">
        <is>
          <t>engineering</t>
        </is>
      </c>
      <c r="E194" s="30" t="inlineStr">
        <is>
          <t>smallcap</t>
        </is>
      </c>
      <c r="F194" s="30" t="n">
        <v>3882.12</v>
      </c>
      <c r="G194" s="30" t="n">
        <v>432.6</v>
      </c>
      <c r="H194" s="30" t="n">
        <v>1.45</v>
      </c>
      <c r="I194" s="30" t="n">
        <v>424599</v>
      </c>
      <c r="J194" s="30" t="inlineStr">
        <is>
          <t>543600</t>
        </is>
      </c>
    </row>
    <row r="195">
      <c r="A195" s="30" t="inlineStr">
        <is>
          <t>ANANDRATHI</t>
        </is>
      </c>
      <c r="B195" s="30" t="inlineStr">
        <is>
          <t>Anand Rathi Wealth Ltd</t>
        </is>
      </c>
      <c r="C195" s="30" t="inlineStr">
        <is>
          <t>financials</t>
        </is>
      </c>
      <c r="D195" s="30" t="inlineStr">
        <is>
          <t>finance &amp; investments</t>
        </is>
      </c>
      <c r="E195" s="30" t="inlineStr">
        <is>
          <t>largecap</t>
        </is>
      </c>
      <c r="F195" s="30" t="n">
        <v>34893.57</v>
      </c>
      <c r="G195" s="30" t="n">
        <v>2131.5</v>
      </c>
      <c r="H195" s="30" t="n">
        <v>1.43</v>
      </c>
      <c r="I195" s="30" t="n">
        <v>268620</v>
      </c>
      <c r="J195" s="30" t="inlineStr">
        <is>
          <t>543415</t>
        </is>
      </c>
    </row>
    <row r="196">
      <c r="A196" s="30" t="inlineStr">
        <is>
          <t>SUPRAJIT</t>
        </is>
      </c>
      <c r="B196" s="30" t="inlineStr">
        <is>
          <t>Suprajit Engineering Limited</t>
        </is>
      </c>
      <c r="C196" s="30" t="inlineStr">
        <is>
          <t>auto</t>
        </is>
      </c>
      <c r="D196" s="30" t="inlineStr">
        <is>
          <t>auto ancillaries</t>
        </is>
      </c>
      <c r="E196" s="30" t="inlineStr">
        <is>
          <t>midcap</t>
        </is>
      </c>
      <c r="F196" s="30" t="n">
        <v>7157.59</v>
      </c>
      <c r="G196" s="30" t="n">
        <v>529.25</v>
      </c>
      <c r="H196" s="30" t="n">
        <v>1.43</v>
      </c>
      <c r="I196" s="30" t="n">
        <v>613984</v>
      </c>
      <c r="J196" s="30" t="inlineStr">
        <is>
          <t>532509</t>
        </is>
      </c>
    </row>
    <row r="197">
      <c r="A197" s="30" t="inlineStr">
        <is>
          <t>ANTHEM</t>
        </is>
      </c>
      <c r="B197" s="30" t="inlineStr">
        <is>
          <t>Anthem Biosciences Ltd</t>
        </is>
      </c>
      <c r="C197" s="30" t="inlineStr">
        <is>
          <t>healthcare</t>
        </is>
      </c>
      <c r="D197" s="30" t="inlineStr">
        <is>
          <t>pharmaceuticals - indian - bulk drugs &amp; formln</t>
        </is>
      </c>
      <c r="E197" s="30" t="inlineStr">
        <is>
          <t>largecap</t>
        </is>
      </c>
      <c r="F197" s="30" t="n">
        <v>47380.66</v>
      </c>
      <c r="G197" s="30" t="n">
        <v>853</v>
      </c>
      <c r="H197" s="30" t="n">
        <v>1.43</v>
      </c>
      <c r="I197" s="30" t="n">
        <v>1250850</v>
      </c>
      <c r="J197" s="30" t="inlineStr">
        <is>
          <t>544449</t>
        </is>
      </c>
    </row>
    <row r="198">
      <c r="A198" s="30" t="inlineStr">
        <is>
          <t>MEDANTA</t>
        </is>
      </c>
      <c r="B198" s="30" t="inlineStr">
        <is>
          <t>Global Health Ltd</t>
        </is>
      </c>
      <c r="C198" s="30" t="inlineStr">
        <is>
          <t>healthcare</t>
        </is>
      </c>
      <c r="D198" s="30" t="inlineStr">
        <is>
          <t>healthcare</t>
        </is>
      </c>
      <c r="E198" s="30" t="inlineStr">
        <is>
          <t>largecap</t>
        </is>
      </c>
      <c r="F198" s="30" t="n">
        <v>39136.98</v>
      </c>
      <c r="G198" s="30" t="n">
        <v>1476.2</v>
      </c>
      <c r="H198" s="30" t="n">
        <v>1.42</v>
      </c>
      <c r="I198" s="30" t="n">
        <v>306259</v>
      </c>
      <c r="J198" s="30" t="inlineStr">
        <is>
          <t>543654</t>
        </is>
      </c>
    </row>
    <row r="199">
      <c r="A199" s="30" t="inlineStr">
        <is>
          <t>STOVEKRAFT</t>
        </is>
      </c>
      <c r="B199" s="30" t="inlineStr">
        <is>
          <t>Stove Kraft Ltd</t>
        </is>
      </c>
      <c r="C199" s="30" t="inlineStr">
        <is>
          <t>consumer discretionary</t>
        </is>
      </c>
      <c r="D199" s="30" t="inlineStr">
        <is>
          <t>domestic appliances</t>
        </is>
      </c>
      <c r="E199" s="30" t="inlineStr">
        <is>
          <t>smallcap</t>
        </is>
      </c>
      <c r="F199" s="30" t="n">
        <v>2640.47</v>
      </c>
      <c r="G199" s="30" t="n">
        <v>808.85</v>
      </c>
      <c r="H199" s="30" t="n">
        <v>1.42</v>
      </c>
      <c r="I199" s="30" t="n">
        <v>534797</v>
      </c>
      <c r="J199" s="30" t="inlineStr">
        <is>
          <t>543260</t>
        </is>
      </c>
    </row>
    <row r="200">
      <c r="A200" s="30" t="inlineStr">
        <is>
          <t>DEEPINDS</t>
        </is>
      </c>
      <c r="B200" s="30" t="inlineStr">
        <is>
          <t>Deep Industries Ltd</t>
        </is>
      </c>
      <c r="C200" s="30" t="inlineStr">
        <is>
          <t>energy</t>
        </is>
      </c>
      <c r="D200" s="30" t="inlineStr">
        <is>
          <t>oil drilling / allied services</t>
        </is>
      </c>
      <c r="E200" s="30" t="inlineStr">
        <is>
          <t>smallcap</t>
        </is>
      </c>
      <c r="F200" s="30" t="n">
        <v>4088.96</v>
      </c>
      <c r="G200" s="30" t="n">
        <v>647.95</v>
      </c>
      <c r="H200" s="30" t="n">
        <v>1.42</v>
      </c>
      <c r="I200" s="30" t="n">
        <v>248088</v>
      </c>
      <c r="J200" s="30" t="inlineStr">
        <is>
          <t>543288</t>
        </is>
      </c>
    </row>
    <row r="201">
      <c r="A201" s="30" t="inlineStr">
        <is>
          <t>HEG</t>
        </is>
      </c>
      <c r="B201" s="30" t="inlineStr">
        <is>
          <t>Heg Limited</t>
        </is>
      </c>
      <c r="C201" s="30" t="inlineStr">
        <is>
          <t>industrials</t>
        </is>
      </c>
      <c r="D201" s="30" t="inlineStr">
        <is>
          <t>electrodes - graphites</t>
        </is>
      </c>
      <c r="E201" s="30" t="inlineStr">
        <is>
          <t>midcap</t>
        </is>
      </c>
      <c r="F201" s="30" t="n">
        <v>13006.69</v>
      </c>
      <c r="G201" s="30" t="n">
        <v>683.6</v>
      </c>
      <c r="H201" s="30" t="n">
        <v>1.42</v>
      </c>
      <c r="I201" s="30" t="n">
        <v>900225</v>
      </c>
      <c r="J201" s="30" t="inlineStr">
        <is>
          <t>509631</t>
        </is>
      </c>
    </row>
    <row r="202">
      <c r="A202" s="30" t="inlineStr">
        <is>
          <t>RKFORGE</t>
        </is>
      </c>
      <c r="B202" s="30" t="inlineStr">
        <is>
          <t>Ramkrishna Forgings Limited</t>
        </is>
      </c>
      <c r="C202" s="30" t="inlineStr">
        <is>
          <t>industrials</t>
        </is>
      </c>
      <c r="D202" s="30" t="inlineStr">
        <is>
          <t>castings &amp; forgings</t>
        </is>
      </c>
      <c r="E202" s="30" t="inlineStr">
        <is>
          <t>midcap</t>
        </is>
      </c>
      <c r="F202" s="30" t="n">
        <v>13235.56</v>
      </c>
      <c r="G202" s="30" t="n">
        <v>736.2</v>
      </c>
      <c r="H202" s="30" t="n">
        <v>1.33</v>
      </c>
      <c r="I202" s="30" t="n">
        <v>3366664</v>
      </c>
      <c r="J202" s="30" t="inlineStr">
        <is>
          <t>532527</t>
        </is>
      </c>
    </row>
    <row r="203">
      <c r="A203" s="30" t="inlineStr">
        <is>
          <t>MPHASIS</t>
        </is>
      </c>
      <c r="B203" s="30" t="inlineStr">
        <is>
          <t>Mphasis Limited</t>
        </is>
      </c>
      <c r="C203" s="30" t="inlineStr">
        <is>
          <t>i.t</t>
        </is>
      </c>
      <c r="D203" s="30" t="inlineStr">
        <is>
          <t>computers - software - large</t>
        </is>
      </c>
      <c r="E203" s="30" t="inlineStr">
        <is>
          <t>largecap</t>
        </is>
      </c>
      <c r="F203" s="30" t="n">
        <v>47241.1</v>
      </c>
      <c r="G203" s="30" t="n">
        <v>2508</v>
      </c>
      <c r="H203" s="30" t="n">
        <v>1.33</v>
      </c>
      <c r="I203" s="30" t="n">
        <v>1183801</v>
      </c>
      <c r="J203" s="30" t="inlineStr">
        <is>
          <t>526299</t>
        </is>
      </c>
    </row>
    <row r="204">
      <c r="A204" s="30" t="inlineStr">
        <is>
          <t>BFINVEST</t>
        </is>
      </c>
      <c r="B204" s="30" t="inlineStr">
        <is>
          <t>Bf Investment Limited</t>
        </is>
      </c>
      <c r="C204" s="30" t="inlineStr">
        <is>
          <t>financials</t>
        </is>
      </c>
      <c r="D204" s="30" t="inlineStr">
        <is>
          <t>finance &amp; investments</t>
        </is>
      </c>
      <c r="E204" s="30" t="inlineStr">
        <is>
          <t>smallcap</t>
        </is>
      </c>
      <c r="F204" s="30" t="n">
        <v>1768.68</v>
      </c>
      <c r="G204" s="30" t="n">
        <v>475.65</v>
      </c>
      <c r="H204" s="30" t="n">
        <v>1.3</v>
      </c>
      <c r="I204" s="30" t="n">
        <v>52032</v>
      </c>
      <c r="J204" s="30" t="inlineStr">
        <is>
          <t>533303</t>
        </is>
      </c>
    </row>
    <row r="205">
      <c r="A205" s="30" t="inlineStr">
        <is>
          <t>BOSCHLTD</t>
        </is>
      </c>
      <c r="B205" s="30" t="inlineStr">
        <is>
          <t>Bosch Limited</t>
        </is>
      </c>
      <c r="C205" s="30" t="inlineStr">
        <is>
          <t>auto</t>
        </is>
      </c>
      <c r="D205" s="30" t="inlineStr">
        <is>
          <t>auto ancillaries</t>
        </is>
      </c>
      <c r="E205" s="30" t="inlineStr">
        <is>
          <t>largecap</t>
        </is>
      </c>
      <c r="F205" s="30" t="n">
        <v>126685.75</v>
      </c>
      <c r="G205" s="30" t="n">
        <v>43505</v>
      </c>
      <c r="H205" s="30" t="n">
        <v>1.29</v>
      </c>
      <c r="I205" s="30" t="n">
        <v>78613</v>
      </c>
      <c r="J205" s="30" t="inlineStr">
        <is>
          <t>500530</t>
        </is>
      </c>
    </row>
    <row r="206">
      <c r="A206" s="30" t="inlineStr">
        <is>
          <t>INDIGOPNTS</t>
        </is>
      </c>
      <c r="B206" s="30" t="inlineStr">
        <is>
          <t>Indigo Paints Ltd</t>
        </is>
      </c>
      <c r="C206" s="30" t="inlineStr">
        <is>
          <t>building materials</t>
        </is>
      </c>
      <c r="D206" s="30" t="inlineStr">
        <is>
          <t>paints / varnishes</t>
        </is>
      </c>
      <c r="E206" s="30" t="inlineStr">
        <is>
          <t>midcap</t>
        </is>
      </c>
      <c r="F206" s="30" t="n">
        <v>5342.06</v>
      </c>
      <c r="G206" s="30" t="n">
        <v>1135</v>
      </c>
      <c r="H206" s="30" t="n">
        <v>1.29</v>
      </c>
      <c r="I206" s="30" t="n">
        <v>73030</v>
      </c>
      <c r="J206" s="30" t="inlineStr">
        <is>
          <t>543258</t>
        </is>
      </c>
    </row>
    <row r="207">
      <c r="A207" s="30" t="inlineStr">
        <is>
          <t>TIMETECHNO</t>
        </is>
      </c>
      <c r="B207" s="30" t="inlineStr">
        <is>
          <t>Time Technoplast Limited</t>
        </is>
      </c>
      <c r="C207" s="30" t="inlineStr">
        <is>
          <t>plastic products</t>
        </is>
      </c>
      <c r="D207" s="30" t="inlineStr">
        <is>
          <t>plastics products</t>
        </is>
      </c>
      <c r="E207" s="30" t="inlineStr">
        <is>
          <t>midcap</t>
        </is>
      </c>
      <c r="F207" s="30" t="n">
        <v>10113.6</v>
      </c>
      <c r="G207" s="30" t="n">
        <v>207.51</v>
      </c>
      <c r="H207" s="30" t="n">
        <v>1.28</v>
      </c>
      <c r="I207" s="30" t="n">
        <v>3367756</v>
      </c>
      <c r="J207" s="30" t="inlineStr">
        <is>
          <t>532856</t>
        </is>
      </c>
    </row>
    <row r="208">
      <c r="A208" s="30" t="inlineStr">
        <is>
          <t>KINGFA</t>
        </is>
      </c>
      <c r="B208" s="30" t="inlineStr">
        <is>
          <t>Kingfa Science &amp; Technology (india) Limited</t>
        </is>
      </c>
      <c r="C208" s="30" t="inlineStr">
        <is>
          <t>plastic products</t>
        </is>
      </c>
      <c r="D208" s="30" t="inlineStr">
        <is>
          <t>plastics products</t>
        </is>
      </c>
      <c r="E208" s="30" t="inlineStr">
        <is>
          <t>midcap</t>
        </is>
      </c>
      <c r="F208" s="30" t="n">
        <v>7520.34</v>
      </c>
      <c r="G208" s="30" t="n">
        <v>5620</v>
      </c>
      <c r="H208" s="30" t="n">
        <v>1.27</v>
      </c>
      <c r="I208" s="30" t="n">
        <v>17758</v>
      </c>
      <c r="J208" s="30" t="inlineStr">
        <is>
          <t>524019</t>
        </is>
      </c>
    </row>
    <row r="209">
      <c r="A209" s="30" t="inlineStr">
        <is>
          <t>ARVSMART</t>
        </is>
      </c>
      <c r="B209" s="30" t="inlineStr">
        <is>
          <t>Arvind Smartspaces Limited</t>
        </is>
      </c>
      <c r="C209" s="30" t="inlineStr">
        <is>
          <t>realty</t>
        </is>
      </c>
      <c r="D209" s="30" t="inlineStr">
        <is>
          <t>construction</t>
        </is>
      </c>
      <c r="E209" s="30" t="inlineStr">
        <is>
          <t>smallcap</t>
        </is>
      </c>
      <c r="F209" s="30" t="n">
        <v>2984.79</v>
      </c>
      <c r="G209" s="30" t="n">
        <v>658.95</v>
      </c>
      <c r="H209" s="30" t="n">
        <v>1.26</v>
      </c>
      <c r="I209" s="30" t="n">
        <v>1145761</v>
      </c>
      <c r="J209" s="30" t="inlineStr">
        <is>
          <t>539301</t>
        </is>
      </c>
    </row>
    <row r="210">
      <c r="A210" s="30" t="inlineStr">
        <is>
          <t>HATSUN</t>
        </is>
      </c>
      <c r="B210" s="30" t="inlineStr">
        <is>
          <t>Hatsun Agro Product Limited</t>
        </is>
      </c>
      <c r="C210" s="30" t="inlineStr">
        <is>
          <t>fmcg</t>
        </is>
      </c>
      <c r="D210" s="30" t="inlineStr">
        <is>
          <t>food - processing - indian</t>
        </is>
      </c>
      <c r="E210" s="30" t="inlineStr">
        <is>
          <t>largecap</t>
        </is>
      </c>
      <c r="F210" s="30" t="n">
        <v>20962.84</v>
      </c>
      <c r="G210" s="30" t="n">
        <v>952.9</v>
      </c>
      <c r="H210" s="30" t="n">
        <v>1.25</v>
      </c>
      <c r="I210" s="30" t="n">
        <v>54435</v>
      </c>
      <c r="J210" s="30" t="inlineStr">
        <is>
          <t>531531</t>
        </is>
      </c>
    </row>
    <row r="211">
      <c r="A211" s="30" t="inlineStr">
        <is>
          <t>DIVGIITTS</t>
        </is>
      </c>
      <c r="B211" s="30" t="inlineStr">
        <is>
          <t>Divgi Torqtransfer Systems Ltd</t>
        </is>
      </c>
      <c r="C211" s="30" t="inlineStr">
        <is>
          <t>auto</t>
        </is>
      </c>
      <c r="D211" s="30" t="inlineStr">
        <is>
          <t>auto ancillaries</t>
        </is>
      </c>
      <c r="E211" s="30" t="inlineStr">
        <is>
          <t>smallcap</t>
        </is>
      </c>
      <c r="F211" s="30" t="n">
        <v>3202.8</v>
      </c>
      <c r="G211" s="30" t="n">
        <v>1060</v>
      </c>
      <c r="H211" s="30" t="n">
        <v>1.22</v>
      </c>
      <c r="I211" s="30" t="n">
        <v>123875</v>
      </c>
      <c r="J211" s="30" t="inlineStr">
        <is>
          <t>543812</t>
        </is>
      </c>
    </row>
    <row r="212">
      <c r="A212" s="30" t="inlineStr">
        <is>
          <t>ATUL</t>
        </is>
      </c>
      <c r="B212" s="30" t="inlineStr">
        <is>
          <t>Atul Limited</t>
        </is>
      </c>
      <c r="C212" s="30" t="inlineStr">
        <is>
          <t>chemicals</t>
        </is>
      </c>
      <c r="D212" s="30" t="inlineStr">
        <is>
          <t>chemicals</t>
        </is>
      </c>
      <c r="E212" s="30" t="inlineStr">
        <is>
          <t>midcap</t>
        </is>
      </c>
      <c r="F212" s="30" t="n">
        <v>19943.84</v>
      </c>
      <c r="G212" s="30" t="n">
        <v>6854</v>
      </c>
      <c r="H212" s="30" t="n">
        <v>1.18</v>
      </c>
      <c r="I212" s="30" t="n">
        <v>53837</v>
      </c>
      <c r="J212" s="30" t="inlineStr">
        <is>
          <t>500027</t>
        </is>
      </c>
    </row>
    <row r="213">
      <c r="A213" s="30" t="inlineStr">
        <is>
          <t>YASHO</t>
        </is>
      </c>
      <c r="B213" s="30" t="inlineStr">
        <is>
          <t>Yasho Industries Ltd</t>
        </is>
      </c>
      <c r="C213" s="30" t="inlineStr">
        <is>
          <t>chemicals</t>
        </is>
      </c>
      <c r="D213" s="30" t="inlineStr">
        <is>
          <t>chemicals</t>
        </is>
      </c>
      <c r="E213" s="30" t="inlineStr">
        <is>
          <t>midcap</t>
        </is>
      </c>
      <c r="F213" s="30" t="n">
        <v>5006.95</v>
      </c>
      <c r="G213" s="30" t="n">
        <v>4201.3</v>
      </c>
      <c r="H213" s="30" t="n">
        <v>1.17</v>
      </c>
      <c r="I213" s="30" t="n">
        <v>28604</v>
      </c>
      <c r="J213" s="30" t="inlineStr">
        <is>
          <t>541167</t>
        </is>
      </c>
    </row>
    <row r="214">
      <c r="A214" s="30" t="inlineStr">
        <is>
          <t>LALPATHLAB</t>
        </is>
      </c>
      <c r="B214" s="30" t="inlineStr">
        <is>
          <t>Dr. Lal Path Labs Ltd.</t>
        </is>
      </c>
      <c r="C214" s="30" t="inlineStr">
        <is>
          <t>healthcare</t>
        </is>
      </c>
      <c r="D214" s="30" t="inlineStr">
        <is>
          <t>healthcare</t>
        </is>
      </c>
      <c r="E214" s="30" t="inlineStr">
        <is>
          <t>largecap</t>
        </is>
      </c>
      <c r="F214" s="30" t="n">
        <v>32380.91</v>
      </c>
      <c r="G214" s="30" t="n">
        <v>1954</v>
      </c>
      <c r="H214" s="30" t="n">
        <v>1.16</v>
      </c>
      <c r="I214" s="30" t="n">
        <v>290743</v>
      </c>
      <c r="J214" s="30" t="inlineStr">
        <is>
          <t>539524</t>
        </is>
      </c>
    </row>
    <row r="215">
      <c r="A215" s="30" t="inlineStr">
        <is>
          <t>FOSECOIND</t>
        </is>
      </c>
      <c r="B215" s="30" t="inlineStr">
        <is>
          <t>Foseco India Limited</t>
        </is>
      </c>
      <c r="C215" s="30" t="inlineStr">
        <is>
          <t>chemicals</t>
        </is>
      </c>
      <c r="D215" s="30" t="inlineStr">
        <is>
          <t>chemicals</t>
        </is>
      </c>
      <c r="E215" s="30" t="inlineStr">
        <is>
          <t>smallcap</t>
        </is>
      </c>
      <c r="F215" s="30" t="n">
        <v>4145.87</v>
      </c>
      <c r="G215" s="30" t="n">
        <v>5562.5</v>
      </c>
      <c r="H215" s="30" t="n">
        <v>1.13</v>
      </c>
      <c r="I215" s="30" t="n">
        <v>6659</v>
      </c>
      <c r="J215" s="30" t="inlineStr">
        <is>
          <t>500150</t>
        </is>
      </c>
    </row>
    <row r="216">
      <c r="A216" s="30" t="inlineStr">
        <is>
          <t>RADICO</t>
        </is>
      </c>
      <c r="B216" s="30" t="inlineStr">
        <is>
          <t>Radico Khaitan Limited</t>
        </is>
      </c>
      <c r="C216" s="30" t="inlineStr">
        <is>
          <t>fmcg</t>
        </is>
      </c>
      <c r="D216" s="30" t="inlineStr">
        <is>
          <t>breweries &amp; distilleries</t>
        </is>
      </c>
      <c r="E216" s="30" t="inlineStr">
        <is>
          <t>largecap</t>
        </is>
      </c>
      <c r="F216" s="30" t="n">
        <v>60255.71</v>
      </c>
      <c r="G216" s="30" t="n">
        <v>4550</v>
      </c>
      <c r="H216" s="30" t="n">
        <v>1.13</v>
      </c>
      <c r="I216" s="30" t="n">
        <v>751749</v>
      </c>
      <c r="J216" s="30" t="inlineStr">
        <is>
          <t>532497</t>
        </is>
      </c>
    </row>
    <row r="217">
      <c r="A217" s="30" t="inlineStr">
        <is>
          <t>TBZ</t>
        </is>
      </c>
      <c r="B217" s="30" t="inlineStr">
        <is>
          <t>Tribhovandas Bhimji Zaveri Limited</t>
        </is>
      </c>
      <c r="C217" s="30" t="inlineStr">
        <is>
          <t>consumer discretionary</t>
        </is>
      </c>
      <c r="D217" s="30" t="inlineStr">
        <is>
          <t>diamond cutting / jewellery</t>
        </is>
      </c>
      <c r="E217" s="30" t="inlineStr">
        <is>
          <t>smallcap</t>
        </is>
      </c>
      <c r="F217" s="30" t="n">
        <v>1821.75</v>
      </c>
      <c r="G217" s="30" t="n">
        <v>276.05</v>
      </c>
      <c r="H217" s="30" t="n">
        <v>1.12</v>
      </c>
      <c r="I217" s="30" t="n">
        <v>1294882</v>
      </c>
      <c r="J217" s="30" t="inlineStr">
        <is>
          <t>534369</t>
        </is>
      </c>
    </row>
    <row r="218">
      <c r="A218" s="30" t="inlineStr">
        <is>
          <t>GUJALKALI</t>
        </is>
      </c>
      <c r="B218" s="30" t="inlineStr">
        <is>
          <t>Gujarat Alkalies And Chemicals Limited</t>
        </is>
      </c>
      <c r="C218" s="30" t="inlineStr">
        <is>
          <t>chemicals</t>
        </is>
      </c>
      <c r="D218" s="30" t="inlineStr">
        <is>
          <t>chemicals</t>
        </is>
      </c>
      <c r="E218" s="30" t="inlineStr">
        <is>
          <t>smallcap</t>
        </is>
      </c>
      <c r="F218" s="30" t="n">
        <v>4949.65</v>
      </c>
      <c r="G218" s="30" t="n">
        <v>681.5</v>
      </c>
      <c r="H218" s="30" t="n">
        <v>1.11</v>
      </c>
      <c r="I218" s="30" t="n">
        <v>43051</v>
      </c>
      <c r="J218" s="30" t="inlineStr">
        <is>
          <t>530001</t>
        </is>
      </c>
    </row>
    <row r="219">
      <c r="A219" s="30" t="inlineStr">
        <is>
          <t>BLSE</t>
        </is>
      </c>
      <c r="B219" s="30" t="inlineStr">
        <is>
          <t>BLS E-Services Ltd</t>
        </is>
      </c>
      <c r="C219" s="30" t="inlineStr">
        <is>
          <t>i.t</t>
        </is>
      </c>
      <c r="D219" s="30" t="inlineStr">
        <is>
          <t>computers - software - medium / small</t>
        </is>
      </c>
      <c r="E219" s="30" t="inlineStr">
        <is>
          <t>smallcap</t>
        </is>
      </c>
      <c r="F219" s="30" t="n">
        <v>2821.55</v>
      </c>
      <c r="G219" s="30" t="n">
        <v>314</v>
      </c>
      <c r="H219" s="30" t="n">
        <v>1.11</v>
      </c>
      <c r="I219" s="30" t="n">
        <v>400568</v>
      </c>
      <c r="J219" s="30" t="inlineStr">
        <is>
          <t>544107</t>
        </is>
      </c>
    </row>
    <row r="220">
      <c r="A220" s="30" t="inlineStr">
        <is>
          <t>KEI</t>
        </is>
      </c>
      <c r="B220" s="30" t="inlineStr">
        <is>
          <t>Kei Industries Limited</t>
        </is>
      </c>
      <c r="C220" s="30" t="inlineStr">
        <is>
          <t>industrials</t>
        </is>
      </c>
      <c r="D220" s="30" t="inlineStr">
        <is>
          <t>cables - power</t>
        </is>
      </c>
      <c r="E220" s="30" t="inlineStr">
        <is>
          <t>largecap</t>
        </is>
      </c>
      <c r="F220" s="30" t="n">
        <v>53536.33</v>
      </c>
      <c r="G220" s="30" t="n">
        <v>5659.8</v>
      </c>
      <c r="H220" s="30" t="n">
        <v>1.07</v>
      </c>
      <c r="I220" s="30" t="n">
        <v>736899</v>
      </c>
      <c r="J220" s="30" t="inlineStr">
        <is>
          <t>517569</t>
        </is>
      </c>
    </row>
    <row r="221">
      <c r="A221" s="30" t="inlineStr">
        <is>
          <t>UNIPARTS</t>
        </is>
      </c>
      <c r="B221" s="30" t="inlineStr">
        <is>
          <t>Uniparts India Ltd</t>
        </is>
      </c>
      <c r="C221" s="30" t="inlineStr">
        <is>
          <t>industrials</t>
        </is>
      </c>
      <c r="D221" s="30" t="inlineStr">
        <is>
          <t>engineering</t>
        </is>
      </c>
      <c r="E221" s="30" t="inlineStr">
        <is>
          <t>smallcap</t>
        </is>
      </c>
      <c r="F221" s="30" t="n">
        <v>3677.36</v>
      </c>
      <c r="G221" s="30" t="n">
        <v>823.2</v>
      </c>
      <c r="H221" s="30" t="n">
        <v>1.06</v>
      </c>
      <c r="I221" s="30" t="n">
        <v>284761</v>
      </c>
      <c r="J221" s="30" t="inlineStr">
        <is>
          <t>543689</t>
        </is>
      </c>
    </row>
    <row r="222">
      <c r="A222" s="30" t="inlineStr">
        <is>
          <t>HAPPYFORGE</t>
        </is>
      </c>
      <c r="B222" s="30" t="inlineStr">
        <is>
          <t>Happy Forgings Ltd</t>
        </is>
      </c>
      <c r="C222" s="30" t="inlineStr">
        <is>
          <t>industrials</t>
        </is>
      </c>
      <c r="D222" s="30" t="inlineStr">
        <is>
          <t>castings &amp; forgings</t>
        </is>
      </c>
      <c r="E222" s="30" t="inlineStr">
        <is>
          <t>midcap</t>
        </is>
      </c>
      <c r="F222" s="30" t="n">
        <v>17990.47</v>
      </c>
      <c r="G222" s="30" t="n">
        <v>1926</v>
      </c>
      <c r="H222" s="30" t="n">
        <v>1.04</v>
      </c>
      <c r="I222" s="30" t="n">
        <v>116488</v>
      </c>
      <c r="J222" s="30" t="inlineStr">
        <is>
          <t>544057</t>
        </is>
      </c>
    </row>
    <row r="223">
      <c r="A223" s="30" t="inlineStr">
        <is>
          <t>KIMS</t>
        </is>
      </c>
      <c r="B223" s="30" t="inlineStr">
        <is>
          <t>Krishna Institute of Medical Sciences Ltd</t>
        </is>
      </c>
      <c r="C223" s="30" t="inlineStr">
        <is>
          <t>healthcare</t>
        </is>
      </c>
      <c r="D223" s="30" t="inlineStr">
        <is>
          <t>healthcare</t>
        </is>
      </c>
      <c r="E223" s="30" t="inlineStr">
        <is>
          <t>largecap</t>
        </is>
      </c>
      <c r="F223" s="30" t="n">
        <v>34066.73</v>
      </c>
      <c r="G223" s="30" t="n">
        <v>819.5</v>
      </c>
      <c r="H223" s="30" t="n">
        <v>1.04</v>
      </c>
      <c r="I223" s="30" t="n">
        <v>441893</v>
      </c>
      <c r="J223" s="30" t="inlineStr">
        <is>
          <t>543307</t>
        </is>
      </c>
    </row>
    <row r="224">
      <c r="A224" s="30" t="inlineStr">
        <is>
          <t>STEELCAS</t>
        </is>
      </c>
      <c r="B224" s="30" t="inlineStr">
        <is>
          <t>Steelcast Ltd</t>
        </is>
      </c>
      <c r="C224" s="30" t="inlineStr">
        <is>
          <t>industrials</t>
        </is>
      </c>
      <c r="D224" s="30" t="inlineStr">
        <is>
          <t>castings &amp; forgings</t>
        </is>
      </c>
      <c r="E224" s="30" t="inlineStr">
        <is>
          <t>smallcap</t>
        </is>
      </c>
      <c r="F224" s="30" t="n">
        <v>3355.79</v>
      </c>
      <c r="G224" s="30" t="n">
        <v>335</v>
      </c>
      <c r="H224" s="30" t="n">
        <v>1.03</v>
      </c>
      <c r="I224" s="30" t="n">
        <v>61456</v>
      </c>
      <c r="J224" s="30" t="inlineStr">
        <is>
          <t>513517</t>
        </is>
      </c>
    </row>
    <row r="225">
      <c r="A225" s="30" t="inlineStr">
        <is>
          <t>BCLIND</t>
        </is>
      </c>
      <c r="B225" s="30" t="inlineStr">
        <is>
          <t>BCL Industries Ltd</t>
        </is>
      </c>
      <c r="C225" s="30" t="inlineStr">
        <is>
          <t>fmcg</t>
        </is>
      </c>
      <c r="D225" s="30" t="inlineStr">
        <is>
          <t>breweries &amp; distilleries</t>
        </is>
      </c>
      <c r="E225" s="30" t="inlineStr">
        <is>
          <t>smallcap</t>
        </is>
      </c>
      <c r="F225" s="30" t="n">
        <v>1090.92</v>
      </c>
      <c r="G225" s="30" t="n">
        <v>37.34</v>
      </c>
      <c r="H225" s="30" t="n">
        <v>1.03</v>
      </c>
      <c r="I225" s="30" t="n">
        <v>965806</v>
      </c>
      <c r="J225" s="30" t="inlineStr">
        <is>
          <t>524332</t>
        </is>
      </c>
    </row>
    <row r="226">
      <c r="A226" s="30" t="inlineStr">
        <is>
          <t>SETL</t>
        </is>
      </c>
      <c r="B226" s="30" t="inlineStr">
        <is>
          <t>Standard Enginnering Technology Ltd</t>
        </is>
      </c>
      <c r="C226" s="30" t="inlineStr">
        <is>
          <t>industrials</t>
        </is>
      </c>
      <c r="D226" s="30" t="inlineStr">
        <is>
          <t>engineering</t>
        </is>
      </c>
      <c r="E226" s="30" t="inlineStr">
        <is>
          <t>midcap</t>
        </is>
      </c>
      <c r="F226" s="30" t="n">
        <v>5605.72</v>
      </c>
      <c r="G226" s="30" t="n">
        <v>283.75</v>
      </c>
      <c r="H226" s="30" t="n">
        <v>0.98</v>
      </c>
      <c r="I226" s="30" t="n">
        <v>423549</v>
      </c>
      <c r="J226" s="30" t="inlineStr">
        <is>
          <t>544333</t>
        </is>
      </c>
    </row>
    <row r="227">
      <c r="A227" s="30" t="inlineStr">
        <is>
          <t>KAMDHENU</t>
        </is>
      </c>
      <c r="B227" s="30" t="inlineStr">
        <is>
          <t>Kamdhenu Limited</t>
        </is>
      </c>
      <c r="C227" s="30" t="inlineStr">
        <is>
          <t>metals &amp; mining</t>
        </is>
      </c>
      <c r="D227" s="30" t="inlineStr">
        <is>
          <t>steel - medium / small</t>
        </is>
      </c>
      <c r="E227" s="30" t="inlineStr">
        <is>
          <t>smallcap</t>
        </is>
      </c>
      <c r="F227" s="30" t="n">
        <v>991.66</v>
      </c>
      <c r="G227" s="30" t="n">
        <v>35.52</v>
      </c>
      <c r="H227" s="30" t="n">
        <v>0.97</v>
      </c>
      <c r="I227" s="30" t="n">
        <v>205364</v>
      </c>
      <c r="J227" s="30" t="inlineStr">
        <is>
          <t>532741</t>
        </is>
      </c>
    </row>
    <row r="228">
      <c r="A228" s="30" t="inlineStr">
        <is>
          <t>M&amp;MFIN</t>
        </is>
      </c>
      <c r="B228" s="30" t="inlineStr">
        <is>
          <t>Mahindra &amp; Mahindra Financial Services Limited</t>
        </is>
      </c>
      <c r="C228" s="30" t="inlineStr">
        <is>
          <t>financials</t>
        </is>
      </c>
      <c r="D228" s="30" t="inlineStr">
        <is>
          <t>finance &amp; investments</t>
        </is>
      </c>
      <c r="E228" s="30" t="inlineStr">
        <is>
          <t>largecap</t>
        </is>
      </c>
      <c r="F228" s="30" t="n">
        <v>56773.37</v>
      </c>
      <c r="G228" s="30" t="n">
        <v>412.3</v>
      </c>
      <c r="H228" s="30" t="n">
        <v>0.9399999999999999</v>
      </c>
      <c r="I228" s="30" t="n">
        <v>3517041</v>
      </c>
      <c r="J228" s="30" t="inlineStr">
        <is>
          <t>532720</t>
        </is>
      </c>
    </row>
    <row r="229">
      <c r="A229" s="30" t="inlineStr">
        <is>
          <t>SHRIPISTON</t>
        </is>
      </c>
      <c r="B229" s="30" t="inlineStr">
        <is>
          <t>Shriram Pistons &amp; Rings Limited</t>
        </is>
      </c>
      <c r="C229" s="30" t="inlineStr">
        <is>
          <t>auto</t>
        </is>
      </c>
      <c r="D229" s="30" t="inlineStr">
        <is>
          <t>auto ancillaries</t>
        </is>
      </c>
      <c r="E229" s="30" t="inlineStr">
        <is>
          <t>midcap</t>
        </is>
      </c>
      <c r="F229" s="30" t="n">
        <v>19350.21</v>
      </c>
      <c r="G229" s="30" t="n">
        <v>4434</v>
      </c>
      <c r="H229" s="30" t="n">
        <v>0.9399999999999999</v>
      </c>
      <c r="I229" s="30" t="n">
        <v>55392</v>
      </c>
      <c r="J229" s="30" t="n"/>
    </row>
    <row r="230">
      <c r="A230" s="30" t="inlineStr">
        <is>
          <t>LUMAXTECH</t>
        </is>
      </c>
      <c r="B230" s="30" t="inlineStr">
        <is>
          <t>Lumax Auto Technologies Limited</t>
        </is>
      </c>
      <c r="C230" s="30" t="inlineStr">
        <is>
          <t>auto</t>
        </is>
      </c>
      <c r="D230" s="30" t="inlineStr">
        <is>
          <t>auto ancillaries</t>
        </is>
      </c>
      <c r="E230" s="30" t="inlineStr">
        <is>
          <t>midcap</t>
        </is>
      </c>
      <c r="F230" s="30" t="n">
        <v>11739.48</v>
      </c>
      <c r="G230" s="30" t="n">
        <v>1738.2</v>
      </c>
      <c r="H230" s="30" t="n">
        <v>0.92</v>
      </c>
      <c r="I230" s="30" t="n">
        <v>181394</v>
      </c>
      <c r="J230" s="30" t="inlineStr">
        <is>
          <t>532796</t>
        </is>
      </c>
    </row>
    <row r="231">
      <c r="A231" s="30" t="inlineStr">
        <is>
          <t>SOLARINDS</t>
        </is>
      </c>
      <c r="B231" s="30" t="inlineStr">
        <is>
          <t>Solar Industries India Limited</t>
        </is>
      </c>
      <c r="C231" s="30" t="inlineStr">
        <is>
          <t>aerospace &amp; defence</t>
        </is>
      </c>
      <c r="D231" s="30" t="inlineStr">
        <is>
          <t>chemicals</t>
        </is>
      </c>
      <c r="E231" s="30" t="inlineStr">
        <is>
          <t>largecap</t>
        </is>
      </c>
      <c r="F231" s="30" t="n">
        <v>168763.95</v>
      </c>
      <c r="G231" s="30" t="n">
        <v>18820</v>
      </c>
      <c r="H231" s="30" t="n">
        <v>0.91</v>
      </c>
      <c r="I231" s="30" t="n">
        <v>83343</v>
      </c>
      <c r="J231" s="30" t="inlineStr">
        <is>
          <t>532725</t>
        </is>
      </c>
    </row>
    <row r="232">
      <c r="A232" s="30" t="inlineStr">
        <is>
          <t>TINNARUBR</t>
        </is>
      </c>
      <c r="B232" s="30" t="inlineStr">
        <is>
          <t>Tinna Rubber &amp; Infrastructure Ltd</t>
        </is>
      </c>
      <c r="C232" s="30" t="inlineStr">
        <is>
          <t>fmcg</t>
        </is>
      </c>
      <c r="D232" s="30" t="inlineStr">
        <is>
          <t>miscellaneous</t>
        </is>
      </c>
      <c r="E232" s="30" t="inlineStr">
        <is>
          <t>smallcap</t>
        </is>
      </c>
      <c r="F232" s="30" t="n">
        <v>1996.33</v>
      </c>
      <c r="G232" s="30" t="n">
        <v>1118</v>
      </c>
      <c r="H232" s="30" t="n">
        <v>0.89</v>
      </c>
      <c r="I232" s="30" t="n">
        <v>64083</v>
      </c>
      <c r="J232" s="30" t="inlineStr">
        <is>
          <t>530475</t>
        </is>
      </c>
    </row>
    <row r="233">
      <c r="A233" s="30" t="inlineStr">
        <is>
          <t>CYIENTDLM</t>
        </is>
      </c>
      <c r="B233" s="30" t="inlineStr">
        <is>
          <t>Cyient DLM Ltd</t>
        </is>
      </c>
      <c r="C233" s="30" t="inlineStr">
        <is>
          <t>consumer discretionary</t>
        </is>
      </c>
      <c r="D233" s="30" t="inlineStr">
        <is>
          <t>electronics - components</t>
        </is>
      </c>
      <c r="E233" s="30" t="inlineStr">
        <is>
          <t>midcap</t>
        </is>
      </c>
      <c r="F233" s="30" t="n">
        <v>5442.13</v>
      </c>
      <c r="G233" s="30" t="n">
        <v>691.5</v>
      </c>
      <c r="H233" s="30" t="n">
        <v>0.87</v>
      </c>
      <c r="I233" s="30" t="n">
        <v>965338</v>
      </c>
      <c r="J233" s="30" t="inlineStr">
        <is>
          <t>543933</t>
        </is>
      </c>
    </row>
    <row r="234">
      <c r="A234" s="30" t="inlineStr">
        <is>
          <t>BOSCH-HCIL</t>
        </is>
      </c>
      <c r="B234" s="30" t="inlineStr">
        <is>
          <t>Bosch Home Comfort India Ltd</t>
        </is>
      </c>
      <c r="C234" s="30" t="inlineStr">
        <is>
          <t>consumer discretionary</t>
        </is>
      </c>
      <c r="D234" s="30" t="inlineStr">
        <is>
          <t>air-conditioners</t>
        </is>
      </c>
      <c r="E234" s="30" t="inlineStr">
        <is>
          <t>smallcap</t>
        </is>
      </c>
      <c r="F234" s="30" t="n">
        <v>4574.59</v>
      </c>
      <c r="G234" s="30" t="n">
        <v>1696.8</v>
      </c>
      <c r="H234" s="30" t="n">
        <v>0.86</v>
      </c>
      <c r="I234" s="30" t="n">
        <v>75096</v>
      </c>
      <c r="J234" s="30" t="inlineStr">
        <is>
          <t>523398</t>
        </is>
      </c>
    </row>
    <row r="235">
      <c r="A235" s="30" t="inlineStr">
        <is>
          <t>EMCURE</t>
        </is>
      </c>
      <c r="B235" s="30" t="inlineStr">
        <is>
          <t>Emcure Pharmaceuticals Ltd</t>
        </is>
      </c>
      <c r="C235" s="30" t="inlineStr">
        <is>
          <t>healthcare</t>
        </is>
      </c>
      <c r="D235" s="30" t="inlineStr">
        <is>
          <t>pharmaceuticals - indian - bulk drugs &amp; formln</t>
        </is>
      </c>
      <c r="E235" s="30" t="inlineStr">
        <is>
          <t>largecap</t>
        </is>
      </c>
      <c r="F235" s="30" t="n">
        <v>37526.32</v>
      </c>
      <c r="G235" s="30" t="n">
        <v>1995.2</v>
      </c>
      <c r="H235" s="30" t="n">
        <v>0.85</v>
      </c>
      <c r="I235" s="30" t="n">
        <v>205967</v>
      </c>
      <c r="J235" s="30" t="inlineStr">
        <is>
          <t>544210</t>
        </is>
      </c>
    </row>
    <row r="236">
      <c r="A236" s="30" t="inlineStr">
        <is>
          <t>KENNAMET</t>
        </is>
      </c>
      <c r="B236" s="30" t="inlineStr">
        <is>
          <t>Kennametal India Ltd</t>
        </is>
      </c>
      <c r="C236" s="30" t="inlineStr">
        <is>
          <t>industrials</t>
        </is>
      </c>
      <c r="D236" s="30" t="inlineStr">
        <is>
          <t>castings &amp; forgings</t>
        </is>
      </c>
      <c r="E236" s="30" t="inlineStr">
        <is>
          <t>midcap</t>
        </is>
      </c>
      <c r="F236" s="30" t="n">
        <v>7274.58</v>
      </c>
      <c r="G236" s="30" t="n">
        <v>3335.6</v>
      </c>
      <c r="H236" s="30" t="n">
        <v>0.78</v>
      </c>
      <c r="I236" s="30" t="n">
        <v>33912</v>
      </c>
      <c r="J236" s="30" t="inlineStr">
        <is>
          <t>505890</t>
        </is>
      </c>
    </row>
    <row r="237">
      <c r="A237" s="30" t="inlineStr">
        <is>
          <t>UFLEX</t>
        </is>
      </c>
      <c r="B237" s="30" t="inlineStr">
        <is>
          <t>Uflex Limited</t>
        </is>
      </c>
      <c r="C237" s="30" t="inlineStr">
        <is>
          <t>industrials</t>
        </is>
      </c>
      <c r="D237" s="30" t="inlineStr">
        <is>
          <t>packaging</t>
        </is>
      </c>
      <c r="E237" s="30" t="inlineStr">
        <is>
          <t>smallcap</t>
        </is>
      </c>
      <c r="F237" s="30" t="n">
        <v>3528.98</v>
      </c>
      <c r="G237" s="30" t="n">
        <v>492.45</v>
      </c>
      <c r="H237" s="30" t="n">
        <v>0.77</v>
      </c>
      <c r="I237" s="30" t="n">
        <v>64372</v>
      </c>
      <c r="J237" s="30" t="inlineStr">
        <is>
          <t>500148</t>
        </is>
      </c>
    </row>
    <row r="238">
      <c r="A238" s="30" t="inlineStr">
        <is>
          <t>SIRCA</t>
        </is>
      </c>
      <c r="B238" s="30" t="inlineStr">
        <is>
          <t>Sirca Paints India Ltd</t>
        </is>
      </c>
      <c r="C238" s="30" t="inlineStr">
        <is>
          <t>building materials</t>
        </is>
      </c>
      <c r="D238" s="30" t="inlineStr">
        <is>
          <t>paints / varnishes</t>
        </is>
      </c>
      <c r="E238" s="30" t="inlineStr">
        <is>
          <t>smallcap</t>
        </is>
      </c>
      <c r="F238" s="30" t="n">
        <v>2555.11</v>
      </c>
      <c r="G238" s="30" t="n">
        <v>453.2</v>
      </c>
      <c r="H238" s="30" t="n">
        <v>0.73</v>
      </c>
      <c r="I238" s="30" t="n">
        <v>395993</v>
      </c>
      <c r="J238" s="30" t="inlineStr">
        <is>
          <t>535083</t>
        </is>
      </c>
    </row>
    <row r="239">
      <c r="A239" s="30" t="inlineStr">
        <is>
          <t>TATATECH</t>
        </is>
      </c>
      <c r="B239" s="30" t="inlineStr">
        <is>
          <t>Tata Technologies Ltd</t>
        </is>
      </c>
      <c r="C239" s="30" t="inlineStr">
        <is>
          <t>i.t</t>
        </is>
      </c>
      <c r="D239" s="30" t="inlineStr">
        <is>
          <t>computers - software - medium / small</t>
        </is>
      </c>
      <c r="E239" s="30" t="inlineStr">
        <is>
          <t>largecap</t>
        </is>
      </c>
      <c r="F239" s="30" t="n">
        <v>35440.2</v>
      </c>
      <c r="G239" s="30" t="n">
        <v>879.15</v>
      </c>
      <c r="H239" s="30" t="n">
        <v>0.73</v>
      </c>
      <c r="I239" s="30" t="n">
        <v>4640112</v>
      </c>
      <c r="J239" s="30" t="inlineStr">
        <is>
          <t>544028</t>
        </is>
      </c>
    </row>
    <row r="240">
      <c r="A240" s="30" t="inlineStr">
        <is>
          <t>RBZJEWEL</t>
        </is>
      </c>
      <c r="B240" s="30" t="inlineStr">
        <is>
          <t>RBZ Jewellers Ltd</t>
        </is>
      </c>
      <c r="C240" s="30" t="inlineStr">
        <is>
          <t>consumer discretionary</t>
        </is>
      </c>
      <c r="D240" s="30" t="inlineStr">
        <is>
          <t>diamond cutting / jewellery</t>
        </is>
      </c>
      <c r="E240" s="30" t="inlineStr">
        <is>
          <t>smallcap</t>
        </is>
      </c>
      <c r="F240" s="30" t="n">
        <v>603.64</v>
      </c>
      <c r="G240" s="30" t="n">
        <v>152</v>
      </c>
      <c r="H240" s="30" t="n">
        <v>0.72</v>
      </c>
      <c r="I240" s="30" t="n">
        <v>67934</v>
      </c>
      <c r="J240" s="30" t="inlineStr">
        <is>
          <t>544060</t>
        </is>
      </c>
    </row>
    <row r="241">
      <c r="A241" s="30" t="inlineStr">
        <is>
          <t>OFSS</t>
        </is>
      </c>
      <c r="B241" s="30" t="inlineStr">
        <is>
          <t>Oracle Financial Services Software Limited</t>
        </is>
      </c>
      <c r="C241" s="30" t="inlineStr">
        <is>
          <t>i.t</t>
        </is>
      </c>
      <c r="D241" s="30" t="inlineStr">
        <is>
          <t>computers - software - large</t>
        </is>
      </c>
      <c r="E241" s="30" t="inlineStr">
        <is>
          <t>largecap</t>
        </is>
      </c>
      <c r="F241" s="30" t="n">
        <v>102788.66</v>
      </c>
      <c r="G241" s="30" t="n">
        <v>11890</v>
      </c>
      <c r="H241" s="30" t="n">
        <v>0.72</v>
      </c>
      <c r="I241" s="30" t="n">
        <v>239490</v>
      </c>
      <c r="J241" s="30" t="inlineStr">
        <is>
          <t>532466</t>
        </is>
      </c>
    </row>
    <row r="242">
      <c r="A242" s="30" t="inlineStr">
        <is>
          <t>MANAPPURAM</t>
        </is>
      </c>
      <c r="B242" s="30" t="inlineStr">
        <is>
          <t>Manappuram Finance Limited</t>
        </is>
      </c>
      <c r="C242" s="30" t="inlineStr">
        <is>
          <t>financials</t>
        </is>
      </c>
      <c r="D242" s="30" t="inlineStr">
        <is>
          <t>finance &amp; investments</t>
        </is>
      </c>
      <c r="E242" s="30" t="inlineStr">
        <is>
          <t>largecap</t>
        </is>
      </c>
      <c r="F242" s="30" t="n">
        <v>34450.15</v>
      </c>
      <c r="G242" s="30" t="n">
        <v>369.3</v>
      </c>
      <c r="H242" s="30" t="n">
        <v>0.7</v>
      </c>
      <c r="I242" s="30" t="n">
        <v>5708346</v>
      </c>
      <c r="J242" s="30" t="inlineStr">
        <is>
          <t>531213</t>
        </is>
      </c>
    </row>
    <row r="243">
      <c r="A243" s="30" t="inlineStr">
        <is>
          <t>CASTROLIND</t>
        </is>
      </c>
      <c r="B243" s="30" t="inlineStr">
        <is>
          <t>Castrol India Limited</t>
        </is>
      </c>
      <c r="C243" s="30" t="inlineStr">
        <is>
          <t>chemicals</t>
        </is>
      </c>
      <c r="D243" s="30" t="inlineStr">
        <is>
          <t>chemicals</t>
        </is>
      </c>
      <c r="E243" s="30" t="inlineStr">
        <is>
          <t>midcap</t>
        </is>
      </c>
      <c r="F243" s="30" t="n">
        <v>18999.06</v>
      </c>
      <c r="G243" s="30" t="n">
        <v>193.43</v>
      </c>
      <c r="H243" s="30" t="n">
        <v>0.7</v>
      </c>
      <c r="I243" s="30" t="n">
        <v>6485492</v>
      </c>
      <c r="J243" s="30" t="inlineStr">
        <is>
          <t>500870</t>
        </is>
      </c>
    </row>
    <row r="244">
      <c r="A244" s="30" t="inlineStr">
        <is>
          <t>ABB</t>
        </is>
      </c>
      <c r="B244" s="30" t="inlineStr">
        <is>
          <t>Abb India Limited</t>
        </is>
      </c>
      <c r="C244" s="30" t="inlineStr">
        <is>
          <t>industrials</t>
        </is>
      </c>
      <c r="D244" s="30" t="inlineStr">
        <is>
          <t>electric equipment</t>
        </is>
      </c>
      <c r="E244" s="30" t="inlineStr">
        <is>
          <t>largecap</t>
        </is>
      </c>
      <c r="F244" s="30" t="n">
        <v>161050.37</v>
      </c>
      <c r="G244" s="30" t="n">
        <v>7649.5</v>
      </c>
      <c r="H244" s="30" t="n">
        <v>0.65</v>
      </c>
      <c r="I244" s="30" t="n">
        <v>399696</v>
      </c>
      <c r="J244" s="30" t="inlineStr">
        <is>
          <t>500002</t>
        </is>
      </c>
    </row>
    <row r="245">
      <c r="A245" s="30" t="inlineStr">
        <is>
          <t>AETHER</t>
        </is>
      </c>
      <c r="B245" s="30" t="inlineStr">
        <is>
          <t>Aether Industries Ltd</t>
        </is>
      </c>
      <c r="C245" s="30" t="inlineStr">
        <is>
          <t>chemicals</t>
        </is>
      </c>
      <c r="D245" s="30" t="inlineStr">
        <is>
          <t>chemicals</t>
        </is>
      </c>
      <c r="E245" s="30" t="inlineStr">
        <is>
          <t>largecap</t>
        </is>
      </c>
      <c r="F245" s="30" t="n">
        <v>21122.53</v>
      </c>
      <c r="G245" s="30" t="n">
        <v>1602</v>
      </c>
      <c r="H245" s="30" t="n">
        <v>0.65</v>
      </c>
      <c r="I245" s="30" t="n">
        <v>131288</v>
      </c>
      <c r="J245" s="30" t="inlineStr">
        <is>
          <t>543534</t>
        </is>
      </c>
    </row>
    <row r="246">
      <c r="A246" s="30" t="inlineStr">
        <is>
          <t>MONARCH</t>
        </is>
      </c>
      <c r="B246" s="30" t="inlineStr">
        <is>
          <t>Monarch Networth Capital Ltd</t>
        </is>
      </c>
      <c r="C246" s="30" t="inlineStr">
        <is>
          <t>financials</t>
        </is>
      </c>
      <c r="D246" s="30" t="inlineStr">
        <is>
          <t>finance &amp; investments</t>
        </is>
      </c>
      <c r="E246" s="30" t="inlineStr">
        <is>
          <t>smallcap</t>
        </is>
      </c>
      <c r="F246" s="30" t="n">
        <v>3098.18</v>
      </c>
      <c r="G246" s="30" t="n">
        <v>393.15</v>
      </c>
      <c r="H246" s="30" t="n">
        <v>0.64</v>
      </c>
      <c r="I246" s="30" t="n">
        <v>197141</v>
      </c>
      <c r="J246" s="30" t="inlineStr">
        <is>
          <t>511551</t>
        </is>
      </c>
    </row>
    <row r="247">
      <c r="A247" s="30" t="inlineStr">
        <is>
          <t>360ONE</t>
        </is>
      </c>
      <c r="B247" s="30" t="inlineStr">
        <is>
          <t>360 ONE WAM Ltd</t>
        </is>
      </c>
      <c r="C247" s="30" t="inlineStr">
        <is>
          <t>financials</t>
        </is>
      </c>
      <c r="D247" s="30" t="inlineStr">
        <is>
          <t>finance &amp; investments</t>
        </is>
      </c>
      <c r="E247" s="30" t="inlineStr">
        <is>
          <t>largecap</t>
        </is>
      </c>
      <c r="F247" s="30" t="n">
        <v>47504.88</v>
      </c>
      <c r="G247" s="30" t="n">
        <v>1175.6</v>
      </c>
      <c r="H247" s="30" t="n">
        <v>0.64</v>
      </c>
      <c r="I247" s="30" t="n">
        <v>1042275</v>
      </c>
      <c r="J247" s="30" t="inlineStr">
        <is>
          <t>542772</t>
        </is>
      </c>
    </row>
    <row r="248">
      <c r="A248" s="30" t="inlineStr">
        <is>
          <t>SHALPAINTS</t>
        </is>
      </c>
      <c r="B248" s="30" t="inlineStr">
        <is>
          <t>Shalimar Paints Limited</t>
        </is>
      </c>
      <c r="C248" s="30" t="inlineStr">
        <is>
          <t>building materials</t>
        </is>
      </c>
      <c r="D248" s="30" t="inlineStr">
        <is>
          <t>paints / varnishes</t>
        </is>
      </c>
      <c r="E248" s="30" t="inlineStr">
        <is>
          <t>smallcap</t>
        </is>
      </c>
      <c r="F248" s="30" t="n">
        <v>707.11</v>
      </c>
      <c r="G248" s="30" t="n">
        <v>85</v>
      </c>
      <c r="H248" s="30" t="n">
        <v>0.63</v>
      </c>
      <c r="I248" s="30" t="n">
        <v>230058</v>
      </c>
      <c r="J248" s="30" t="inlineStr">
        <is>
          <t>509874</t>
        </is>
      </c>
    </row>
    <row r="249">
      <c r="A249" s="30" t="inlineStr">
        <is>
          <t>UNITDSPR</t>
        </is>
      </c>
      <c r="B249" s="30" t="inlineStr">
        <is>
          <t>United Spirits Ltd</t>
        </is>
      </c>
      <c r="C249" s="30" t="inlineStr">
        <is>
          <t>fmcg</t>
        </is>
      </c>
      <c r="D249" s="30" t="inlineStr">
        <is>
          <t>breweries &amp; distilleries</t>
        </is>
      </c>
      <c r="E249" s="30" t="inlineStr">
        <is>
          <t>largecap</t>
        </is>
      </c>
      <c r="F249" s="30" t="n">
        <v>110004.54</v>
      </c>
      <c r="G249" s="30" t="n">
        <v>1522</v>
      </c>
      <c r="H249" s="30" t="n">
        <v>0.63</v>
      </c>
      <c r="I249" s="30" t="n">
        <v>1151926</v>
      </c>
      <c r="J249" s="30" t="inlineStr">
        <is>
          <t>532432</t>
        </is>
      </c>
    </row>
    <row r="250">
      <c r="A250" s="30" t="inlineStr">
        <is>
          <t>BAJAJFINSV</t>
        </is>
      </c>
      <c r="B250" s="30" t="inlineStr">
        <is>
          <t>Bajaj Finserv Limited</t>
        </is>
      </c>
      <c r="C250" s="30" t="inlineStr">
        <is>
          <t>financials</t>
        </is>
      </c>
      <c r="D250" s="30" t="inlineStr">
        <is>
          <t>finance &amp; investments</t>
        </is>
      </c>
      <c r="E250" s="30" t="inlineStr">
        <is>
          <t>largecap</t>
        </is>
      </c>
      <c r="F250" s="30" t="n">
        <v>321534.49</v>
      </c>
      <c r="G250" s="30" t="n">
        <v>2021.3</v>
      </c>
      <c r="H250" s="30" t="n">
        <v>0.62</v>
      </c>
      <c r="I250" s="30" t="n">
        <v>1868822</v>
      </c>
      <c r="J250" s="30" t="inlineStr">
        <is>
          <t>532978</t>
        </is>
      </c>
    </row>
    <row r="251">
      <c r="A251" s="30" t="inlineStr">
        <is>
          <t>CRISIL</t>
        </is>
      </c>
      <c r="B251" s="30" t="inlineStr">
        <is>
          <t>Crisil Limited</t>
        </is>
      </c>
      <c r="C251" s="30" t="inlineStr">
        <is>
          <t>financials</t>
        </is>
      </c>
      <c r="D251" s="30" t="inlineStr">
        <is>
          <t>miscellaneous</t>
        </is>
      </c>
      <c r="E251" s="30" t="inlineStr">
        <is>
          <t>largecap</t>
        </is>
      </c>
      <c r="F251" s="30" t="n">
        <v>33691</v>
      </c>
      <c r="G251" s="30" t="n">
        <v>4635.4</v>
      </c>
      <c r="H251" s="30" t="n">
        <v>0.62</v>
      </c>
      <c r="I251" s="30" t="n">
        <v>62423</v>
      </c>
      <c r="J251" s="30" t="inlineStr">
        <is>
          <t>500092</t>
        </is>
      </c>
    </row>
    <row r="252">
      <c r="A252" s="30" t="inlineStr">
        <is>
          <t>NAZARA</t>
        </is>
      </c>
      <c r="B252" s="30" t="inlineStr">
        <is>
          <t>Nazara Technologies Ltd</t>
        </is>
      </c>
      <c r="C252" s="30" t="inlineStr">
        <is>
          <t>i.t</t>
        </is>
      </c>
      <c r="D252" s="30" t="inlineStr">
        <is>
          <t>telecommunications - service provider</t>
        </is>
      </c>
      <c r="E252" s="30" t="inlineStr">
        <is>
          <t>midcap</t>
        </is>
      </c>
      <c r="F252" s="30" t="n">
        <v>13053.34</v>
      </c>
      <c r="G252" s="30" t="n">
        <v>354.5</v>
      </c>
      <c r="H252" s="30" t="n">
        <v>0.61</v>
      </c>
      <c r="I252" s="30" t="n">
        <v>3596579</v>
      </c>
      <c r="J252" s="30" t="inlineStr">
        <is>
          <t>543280</t>
        </is>
      </c>
    </row>
    <row r="253">
      <c r="A253" s="30" t="inlineStr">
        <is>
          <t>FEDERALBNK</t>
        </is>
      </c>
      <c r="B253" s="30" t="inlineStr">
        <is>
          <t>The Federal Bank  Limited</t>
        </is>
      </c>
      <c r="C253" s="30" t="inlineStr">
        <is>
          <t>bank</t>
        </is>
      </c>
      <c r="D253" s="30" t="inlineStr">
        <is>
          <t>banks - private sector</t>
        </is>
      </c>
      <c r="E253" s="30" t="inlineStr">
        <is>
          <t>largecap</t>
        </is>
      </c>
      <c r="F253" s="30" t="n">
        <v>87923.89</v>
      </c>
      <c r="G253" s="30" t="n">
        <v>358.35</v>
      </c>
      <c r="H253" s="30" t="n">
        <v>0.59</v>
      </c>
      <c r="I253" s="30" t="n">
        <v>5439195</v>
      </c>
      <c r="J253" s="30" t="inlineStr">
        <is>
          <t>500469</t>
        </is>
      </c>
    </row>
    <row r="254">
      <c r="A254" s="30" t="inlineStr">
        <is>
          <t>LT</t>
        </is>
      </c>
      <c r="B254" s="30" t="inlineStr">
        <is>
          <t>Larsen &amp; Toubro Limited</t>
        </is>
      </c>
      <c r="C254" s="30" t="inlineStr">
        <is>
          <t>realty</t>
        </is>
      </c>
      <c r="D254" s="30" t="inlineStr">
        <is>
          <t>engineering - turnkey services</t>
        </is>
      </c>
      <c r="E254" s="30" t="inlineStr">
        <is>
          <t>largecap</t>
        </is>
      </c>
      <c r="F254" s="30" t="n">
        <v>557995.75</v>
      </c>
      <c r="G254" s="30" t="n">
        <v>4080</v>
      </c>
      <c r="H254" s="30" t="n">
        <v>0.59</v>
      </c>
      <c r="I254" s="30" t="n">
        <v>2117376</v>
      </c>
      <c r="J254" s="30" t="inlineStr">
        <is>
          <t>500510</t>
        </is>
      </c>
    </row>
    <row r="255">
      <c r="A255" s="30" t="inlineStr">
        <is>
          <t>IDFCFIRSTB</t>
        </is>
      </c>
      <c r="B255" s="30" t="inlineStr">
        <is>
          <t>IDFC First Bank Ltd</t>
        </is>
      </c>
      <c r="C255" s="30" t="inlineStr">
        <is>
          <t>bank</t>
        </is>
      </c>
      <c r="D255" s="30" t="inlineStr">
        <is>
          <t>banks - private sector</t>
        </is>
      </c>
      <c r="E255" s="30" t="inlineStr">
        <is>
          <t>largecap</t>
        </is>
      </c>
      <c r="F255" s="30" t="n">
        <v>72897.89</v>
      </c>
      <c r="G255" s="30" t="n">
        <v>85.09999999999999</v>
      </c>
      <c r="H255" s="30" t="n">
        <v>0.57</v>
      </c>
      <c r="I255" s="30" t="n">
        <v>23863808</v>
      </c>
      <c r="J255" s="30" t="inlineStr">
        <is>
          <t>539437</t>
        </is>
      </c>
    </row>
    <row r="256">
      <c r="A256" s="30" t="inlineStr">
        <is>
          <t>SANATHAN</t>
        </is>
      </c>
      <c r="B256" s="30" t="inlineStr">
        <is>
          <t>Sanathan Textiles Ltd</t>
        </is>
      </c>
      <c r="C256" s="30" t="inlineStr">
        <is>
          <t>textiles</t>
        </is>
      </c>
      <c r="D256" s="30" t="inlineStr">
        <is>
          <t>textiles - cotton/blended</t>
        </is>
      </c>
      <c r="E256" s="30" t="inlineStr">
        <is>
          <t>smallcap</t>
        </is>
      </c>
      <c r="F256" s="30" t="n">
        <v>4032.83</v>
      </c>
      <c r="G256" s="30" t="n">
        <v>480.5</v>
      </c>
      <c r="H256" s="30" t="n">
        <v>0.57</v>
      </c>
      <c r="I256" s="30" t="n">
        <v>41336</v>
      </c>
      <c r="J256" s="30" t="inlineStr">
        <is>
          <t>544314</t>
        </is>
      </c>
    </row>
    <row r="257">
      <c r="A257" s="30" t="inlineStr">
        <is>
          <t>TVSMOTOR</t>
        </is>
      </c>
      <c r="B257" s="30" t="inlineStr">
        <is>
          <t>Tvs Motor Company Limited</t>
        </is>
      </c>
      <c r="C257" s="30" t="inlineStr">
        <is>
          <t>auto</t>
        </is>
      </c>
      <c r="D257" s="30" t="inlineStr">
        <is>
          <t>automobiles - motorcycles / mopeds</t>
        </is>
      </c>
      <c r="E257" s="30" t="inlineStr">
        <is>
          <t>largecap</t>
        </is>
      </c>
      <c r="F257" s="30" t="n">
        <v>210981.44</v>
      </c>
      <c r="G257" s="30" t="n">
        <v>4466.2</v>
      </c>
      <c r="H257" s="30" t="n">
        <v>0.57</v>
      </c>
      <c r="I257" s="30" t="n">
        <v>1423804</v>
      </c>
      <c r="J257" s="30" t="inlineStr">
        <is>
          <t>532343</t>
        </is>
      </c>
    </row>
    <row r="258">
      <c r="A258" s="30" t="inlineStr">
        <is>
          <t>PNBHOUSING</t>
        </is>
      </c>
      <c r="B258" s="30" t="inlineStr">
        <is>
          <t>Pnb Housing Finance Limited</t>
        </is>
      </c>
      <c r="C258" s="30" t="inlineStr">
        <is>
          <t>financials</t>
        </is>
      </c>
      <c r="D258" s="30" t="inlineStr">
        <is>
          <t>finance - housing</t>
        </is>
      </c>
      <c r="E258" s="30" t="inlineStr">
        <is>
          <t>largecap</t>
        </is>
      </c>
      <c r="F258" s="30" t="n">
        <v>29785.43</v>
      </c>
      <c r="G258" s="30" t="n">
        <v>1149.3</v>
      </c>
      <c r="H258" s="30" t="n">
        <v>0.55</v>
      </c>
      <c r="I258" s="30" t="n">
        <v>2396413</v>
      </c>
      <c r="J258" s="30" t="inlineStr">
        <is>
          <t>540173</t>
        </is>
      </c>
    </row>
    <row r="259">
      <c r="A259" s="30" t="inlineStr">
        <is>
          <t>ASIANPAINT</t>
        </is>
      </c>
      <c r="B259" s="30" t="inlineStr">
        <is>
          <t>Asian Paints Limited</t>
        </is>
      </c>
      <c r="C259" s="30" t="inlineStr">
        <is>
          <t>building materials</t>
        </is>
      </c>
      <c r="D259" s="30" t="inlineStr">
        <is>
          <t>paints / varnishes</t>
        </is>
      </c>
      <c r="E259" s="30" t="inlineStr">
        <is>
          <t>largecap</t>
        </is>
      </c>
      <c r="F259" s="30" t="n">
        <v>262340.6</v>
      </c>
      <c r="G259" s="30" t="n">
        <v>2750</v>
      </c>
      <c r="H259" s="30" t="n">
        <v>0.55</v>
      </c>
      <c r="I259" s="30" t="n">
        <v>1929383</v>
      </c>
      <c r="J259" s="30" t="inlineStr">
        <is>
          <t>500820</t>
        </is>
      </c>
    </row>
    <row r="260">
      <c r="A260" s="30" t="inlineStr">
        <is>
          <t>LAURUSLABS</t>
        </is>
      </c>
      <c r="B260" s="30" t="inlineStr">
        <is>
          <t>Laurus Labs Limited</t>
        </is>
      </c>
      <c r="C260" s="30" t="inlineStr">
        <is>
          <t>healthcare</t>
        </is>
      </c>
      <c r="D260" s="30" t="inlineStr">
        <is>
          <t>pharmaceuticals - indian - bulk drugs &amp; formln</t>
        </is>
      </c>
      <c r="E260" s="30" t="inlineStr">
        <is>
          <t>largecap</t>
        </is>
      </c>
      <c r="F260" s="30" t="n">
        <v>99638.23</v>
      </c>
      <c r="G260" s="30" t="n">
        <v>1854</v>
      </c>
      <c r="H260" s="30" t="n">
        <v>0.53</v>
      </c>
      <c r="I260" s="30" t="n">
        <v>2754151</v>
      </c>
      <c r="J260" s="30" t="inlineStr">
        <is>
          <t>540222</t>
        </is>
      </c>
    </row>
    <row r="261">
      <c r="A261" s="30" t="inlineStr">
        <is>
          <t>INDUSINDBK</t>
        </is>
      </c>
      <c r="B261" s="30" t="inlineStr">
        <is>
          <t>Indusind Bank Limited</t>
        </is>
      </c>
      <c r="C261" s="30" t="inlineStr">
        <is>
          <t>bank</t>
        </is>
      </c>
      <c r="D261" s="30" t="inlineStr">
        <is>
          <t>banks - private sector</t>
        </is>
      </c>
      <c r="E261" s="30" t="inlineStr">
        <is>
          <t>largecap</t>
        </is>
      </c>
      <c r="F261" s="30" t="n">
        <v>79627.37</v>
      </c>
      <c r="G261" s="30" t="n">
        <v>1027.3</v>
      </c>
      <c r="H261" s="30" t="n">
        <v>0.52</v>
      </c>
      <c r="I261" s="30" t="n">
        <v>2062731</v>
      </c>
      <c r="J261" s="30" t="inlineStr">
        <is>
          <t>532187</t>
        </is>
      </c>
    </row>
    <row r="262">
      <c r="A262" s="30" t="inlineStr">
        <is>
          <t>SUPRIYA</t>
        </is>
      </c>
      <c r="B262" s="30" t="inlineStr">
        <is>
          <t>Supriya Lifescience Ltd</t>
        </is>
      </c>
      <c r="C262" s="30" t="inlineStr">
        <is>
          <t>healthcare</t>
        </is>
      </c>
      <c r="D262" s="30" t="inlineStr">
        <is>
          <t>pharmaceuticals - indian - bulk drugs &amp; formln</t>
        </is>
      </c>
      <c r="E262" s="30" t="inlineStr">
        <is>
          <t>midcap</t>
        </is>
      </c>
      <c r="F262" s="30" t="n">
        <v>7432.18</v>
      </c>
      <c r="G262" s="30" t="n">
        <v>928.2</v>
      </c>
      <c r="H262" s="30" t="n">
        <v>0.51</v>
      </c>
      <c r="I262" s="30" t="n">
        <v>240832</v>
      </c>
      <c r="J262" s="30" t="inlineStr">
        <is>
          <t>543434</t>
        </is>
      </c>
    </row>
    <row r="263">
      <c r="A263" s="30" t="inlineStr">
        <is>
          <t>FAZE3Q</t>
        </is>
      </c>
      <c r="B263" s="30" t="inlineStr">
        <is>
          <t>Faze Three Ltd</t>
        </is>
      </c>
      <c r="C263" s="30" t="inlineStr">
        <is>
          <t>textiles</t>
        </is>
      </c>
      <c r="D263" s="30" t="inlineStr">
        <is>
          <t>textiles - processing</t>
        </is>
      </c>
      <c r="E263" s="30" t="inlineStr">
        <is>
          <t>smallcap</t>
        </is>
      </c>
      <c r="F263" s="30" t="n">
        <v>1384.24</v>
      </c>
      <c r="G263" s="30" t="n">
        <v>572</v>
      </c>
      <c r="H263" s="30" t="n">
        <v>0.49</v>
      </c>
      <c r="I263" s="30" t="n">
        <v>6415</v>
      </c>
      <c r="J263" s="30" t="inlineStr">
        <is>
          <t>530079</t>
        </is>
      </c>
    </row>
    <row r="264">
      <c r="A264" s="30" t="inlineStr">
        <is>
          <t>AJANTPHARM</t>
        </is>
      </c>
      <c r="B264" s="30" t="inlineStr">
        <is>
          <t>Ajanta Pharma Limited</t>
        </is>
      </c>
      <c r="C264" s="30" t="inlineStr">
        <is>
          <t>healthcare</t>
        </is>
      </c>
      <c r="D264" s="30" t="inlineStr">
        <is>
          <t>pharmaceuticals - indian - formulations</t>
        </is>
      </c>
      <c r="E264" s="30" t="inlineStr">
        <is>
          <t>largecap</t>
        </is>
      </c>
      <c r="F264" s="30" t="n">
        <v>43592.54</v>
      </c>
      <c r="G264" s="30" t="n">
        <v>3506.2</v>
      </c>
      <c r="H264" s="30" t="n">
        <v>0.49</v>
      </c>
      <c r="I264" s="30" t="n">
        <v>43415</v>
      </c>
      <c r="J264" s="30" t="inlineStr">
        <is>
          <t>532331</t>
        </is>
      </c>
    </row>
    <row r="265">
      <c r="A265" s="30" t="inlineStr">
        <is>
          <t>WELCORP</t>
        </is>
      </c>
      <c r="B265" s="30" t="inlineStr">
        <is>
          <t>Welspun Corp Limited</t>
        </is>
      </c>
      <c r="C265" s="30" t="inlineStr">
        <is>
          <t>industrials</t>
        </is>
      </c>
      <c r="D265" s="30" t="inlineStr">
        <is>
          <t>steel - large</t>
        </is>
      </c>
      <c r="E265" s="30" t="inlineStr">
        <is>
          <t>largecap</t>
        </is>
      </c>
      <c r="F265" s="30" t="n">
        <v>48532.2</v>
      </c>
      <c r="G265" s="30" t="n">
        <v>1848.5</v>
      </c>
      <c r="H265" s="30" t="n">
        <v>0.47</v>
      </c>
      <c r="I265" s="30" t="n">
        <v>446106</v>
      </c>
      <c r="J265" s="30" t="inlineStr">
        <is>
          <t>532144</t>
        </is>
      </c>
    </row>
    <row r="266">
      <c r="A266" s="30" t="inlineStr">
        <is>
          <t>APLLTD</t>
        </is>
      </c>
      <c r="B266" s="30" t="inlineStr">
        <is>
          <t>Alembic Pharmaceuticals Limited</t>
        </is>
      </c>
      <c r="C266" s="30" t="inlineStr">
        <is>
          <t>healthcare</t>
        </is>
      </c>
      <c r="D266" s="30" t="inlineStr">
        <is>
          <t>pharmaceuticals - indian - bulk drugs &amp; formln</t>
        </is>
      </c>
      <c r="E266" s="30" t="inlineStr">
        <is>
          <t>midcap</t>
        </is>
      </c>
      <c r="F266" s="30" t="n">
        <v>16316.7</v>
      </c>
      <c r="G266" s="30" t="n">
        <v>834</v>
      </c>
      <c r="H266" s="30" t="n">
        <v>0.47</v>
      </c>
      <c r="I266" s="30" t="n">
        <v>83817</v>
      </c>
      <c r="J266" s="30" t="inlineStr">
        <is>
          <t>533573</t>
        </is>
      </c>
    </row>
    <row r="267">
      <c r="A267" s="30" t="inlineStr">
        <is>
          <t>EMAMIPAP</t>
        </is>
      </c>
      <c r="B267" s="30" t="inlineStr">
        <is>
          <t>Emami Paper Mills Ltd</t>
        </is>
      </c>
      <c r="C267" s="30" t="inlineStr">
        <is>
          <t>building materials</t>
        </is>
      </c>
      <c r="D267" s="30" t="inlineStr">
        <is>
          <t>paper</t>
        </is>
      </c>
      <c r="E267" s="30" t="inlineStr">
        <is>
          <t>smallcap</t>
        </is>
      </c>
      <c r="F267" s="30" t="n">
        <v>670.87</v>
      </c>
      <c r="G267" s="30" t="n">
        <v>111.4</v>
      </c>
      <c r="H267" s="30" t="n">
        <v>0.46</v>
      </c>
      <c r="I267" s="30" t="n">
        <v>43098</v>
      </c>
      <c r="J267" s="30" t="inlineStr">
        <is>
          <t>533208</t>
        </is>
      </c>
    </row>
    <row r="268">
      <c r="A268" s="30" t="inlineStr">
        <is>
          <t>NATIONALUM</t>
        </is>
      </c>
      <c r="B268" s="30" t="inlineStr">
        <is>
          <t>National Aluminium Company Limited</t>
        </is>
      </c>
      <c r="C268" s="30" t="inlineStr">
        <is>
          <t>metals &amp; mining</t>
        </is>
      </c>
      <c r="D268" s="30" t="inlineStr">
        <is>
          <t>aluminium and aluminium products</t>
        </is>
      </c>
      <c r="E268" s="30" t="inlineStr">
        <is>
          <t>largecap</t>
        </is>
      </c>
      <c r="F268" s="30" t="n">
        <v>69975.67</v>
      </c>
      <c r="G268" s="30" t="n">
        <v>382.7</v>
      </c>
      <c r="H268" s="30" t="n">
        <v>0.45</v>
      </c>
      <c r="I268" s="30" t="n">
        <v>10508958</v>
      </c>
      <c r="J268" s="30" t="inlineStr">
        <is>
          <t>532234</t>
        </is>
      </c>
    </row>
    <row r="269">
      <c r="A269" s="30" t="inlineStr">
        <is>
          <t>MUFIN</t>
        </is>
      </c>
      <c r="B269" s="30" t="inlineStr">
        <is>
          <t>Mufin Green Finance Ltd</t>
        </is>
      </c>
      <c r="C269" s="30" t="inlineStr">
        <is>
          <t>financials</t>
        </is>
      </c>
      <c r="D269" s="30" t="inlineStr">
        <is>
          <t>finance &amp; investments</t>
        </is>
      </c>
      <c r="E269" s="30" t="inlineStr">
        <is>
          <t>smallcap</t>
        </is>
      </c>
      <c r="F269" s="30" t="n">
        <v>2718.59</v>
      </c>
      <c r="G269" s="30" t="n">
        <v>137.79</v>
      </c>
      <c r="H269" s="30" t="n">
        <v>0.44</v>
      </c>
      <c r="I269" s="30" t="n">
        <v>862614</v>
      </c>
      <c r="J269" s="30" t="inlineStr">
        <is>
          <t>542774</t>
        </is>
      </c>
    </row>
    <row r="270">
      <c r="A270" s="30" t="inlineStr">
        <is>
          <t>SIGMAADV</t>
        </is>
      </c>
      <c r="B270" s="30" t="inlineStr">
        <is>
          <t>Sigma Advanced System Ltd</t>
        </is>
      </c>
      <c r="C270" s="30" t="inlineStr">
        <is>
          <t>aerospace &amp; defence</t>
        </is>
      </c>
      <c r="D270" s="30" t="inlineStr">
        <is>
          <t>electronics - components</t>
        </is>
      </c>
      <c r="E270" s="30" t="inlineStr">
        <is>
          <t>midcap</t>
        </is>
      </c>
      <c r="F270" s="30" t="n">
        <v>13282.73</v>
      </c>
      <c r="G270" s="30" t="n">
        <v>703.95</v>
      </c>
      <c r="H270" s="30" t="n">
        <v>0.43</v>
      </c>
      <c r="I270" s="30" t="n">
        <v>145262</v>
      </c>
      <c r="J270" s="30" t="inlineStr">
        <is>
          <t>532408</t>
        </is>
      </c>
    </row>
    <row r="271">
      <c r="A271" s="30" t="inlineStr">
        <is>
          <t>CHOICEIN</t>
        </is>
      </c>
      <c r="B271" s="30" t="inlineStr">
        <is>
          <t>Choice International Ltd</t>
        </is>
      </c>
      <c r="C271" s="30" t="inlineStr">
        <is>
          <t>financials</t>
        </is>
      </c>
      <c r="D271" s="30" t="inlineStr">
        <is>
          <t>finance &amp; investments</t>
        </is>
      </c>
      <c r="E271" s="30" t="inlineStr">
        <is>
          <t>midcap</t>
        </is>
      </c>
      <c r="F271" s="30" t="n">
        <v>18738.85</v>
      </c>
      <c r="G271" s="30" t="n">
        <v>844.75</v>
      </c>
      <c r="H271" s="30" t="n">
        <v>0.43</v>
      </c>
      <c r="I271" s="30" t="n">
        <v>488977</v>
      </c>
      <c r="J271" s="30" t="inlineStr">
        <is>
          <t>531358</t>
        </is>
      </c>
    </row>
    <row r="272">
      <c r="A272" s="30" t="inlineStr">
        <is>
          <t>MARUTI</t>
        </is>
      </c>
      <c r="B272" s="30" t="inlineStr">
        <is>
          <t>Maruti Suzuki India Limited</t>
        </is>
      </c>
      <c r="C272" s="30" t="inlineStr">
        <is>
          <t>auto</t>
        </is>
      </c>
      <c r="D272" s="30" t="inlineStr">
        <is>
          <t>automobiles - passenger cars</t>
        </is>
      </c>
      <c r="E272" s="30" t="inlineStr">
        <is>
          <t>largecap</t>
        </is>
      </c>
      <c r="F272" s="30" t="n">
        <v>441326.89</v>
      </c>
      <c r="G272" s="30" t="n">
        <v>14097</v>
      </c>
      <c r="H272" s="30" t="n">
        <v>0.43</v>
      </c>
      <c r="I272" s="30" t="n">
        <v>589814</v>
      </c>
      <c r="J272" s="30" t="inlineStr">
        <is>
          <t>532500</t>
        </is>
      </c>
    </row>
    <row r="273">
      <c r="A273" s="30" t="inlineStr">
        <is>
          <t>M&amp;M</t>
        </is>
      </c>
      <c r="B273" s="30" t="inlineStr">
        <is>
          <t>Mahindra &amp; Mahindra Limited</t>
        </is>
      </c>
      <c r="C273" s="30" t="inlineStr">
        <is>
          <t>auto</t>
        </is>
      </c>
      <c r="D273" s="30" t="inlineStr">
        <is>
          <t>automobiles - passenger cars</t>
        </is>
      </c>
      <c r="E273" s="30" t="inlineStr">
        <is>
          <t>largecap</t>
        </is>
      </c>
      <c r="F273" s="30" t="n">
        <v>435483.8</v>
      </c>
      <c r="G273" s="30" t="n">
        <v>3517</v>
      </c>
      <c r="H273" s="30" t="n">
        <v>0.43</v>
      </c>
      <c r="I273" s="30" t="n">
        <v>4629329</v>
      </c>
      <c r="J273" s="30" t="inlineStr">
        <is>
          <t>500520</t>
        </is>
      </c>
    </row>
    <row r="274">
      <c r="A274" s="30" t="inlineStr">
        <is>
          <t>RAJRATAN</t>
        </is>
      </c>
      <c r="B274" s="30" t="inlineStr">
        <is>
          <t>Rajratan Global Wire Ltd</t>
        </is>
      </c>
      <c r="C274" s="30" t="inlineStr">
        <is>
          <t>metals &amp; mining</t>
        </is>
      </c>
      <c r="D274" s="30" t="inlineStr">
        <is>
          <t>steel - medium / small</t>
        </is>
      </c>
      <c r="E274" s="30" t="inlineStr">
        <is>
          <t>smallcap</t>
        </is>
      </c>
      <c r="F274" s="30" t="n">
        <v>2665.48</v>
      </c>
      <c r="G274" s="30" t="n">
        <v>527.2</v>
      </c>
      <c r="H274" s="30" t="n">
        <v>0.42</v>
      </c>
      <c r="I274" s="30" t="n">
        <v>101056</v>
      </c>
      <c r="J274" s="30" t="inlineStr">
        <is>
          <t>517522</t>
        </is>
      </c>
    </row>
    <row r="275">
      <c r="A275" s="30" t="inlineStr">
        <is>
          <t>UNIMECH</t>
        </is>
      </c>
      <c r="B275" s="30" t="inlineStr">
        <is>
          <t>Unimech Aerospace and Manufacturing Ltd</t>
        </is>
      </c>
      <c r="C275" s="30" t="inlineStr">
        <is>
          <t>aerospace &amp; defence</t>
        </is>
      </c>
      <c r="D275" s="30" t="inlineStr">
        <is>
          <t>engineering</t>
        </is>
      </c>
      <c r="E275" s="30" t="inlineStr">
        <is>
          <t>midcap</t>
        </is>
      </c>
      <c r="F275" s="30" t="n">
        <v>7357.47</v>
      </c>
      <c r="G275" s="30" t="n">
        <v>1452.3</v>
      </c>
      <c r="H275" s="30" t="n">
        <v>0.39</v>
      </c>
      <c r="I275" s="30" t="n">
        <v>245270</v>
      </c>
      <c r="J275" s="30" t="inlineStr">
        <is>
          <t>544322</t>
        </is>
      </c>
    </row>
    <row r="276">
      <c r="A276" s="30" t="inlineStr">
        <is>
          <t>63MOONS</t>
        </is>
      </c>
      <c r="B276" s="30" t="inlineStr">
        <is>
          <t>63 Moons Technologies Ltd</t>
        </is>
      </c>
      <c r="C276" s="30" t="inlineStr">
        <is>
          <t>i.t</t>
        </is>
      </c>
      <c r="D276" s="30" t="inlineStr">
        <is>
          <t>computers - software - medium / small</t>
        </is>
      </c>
      <c r="E276" s="30" t="inlineStr">
        <is>
          <t>smallcap</t>
        </is>
      </c>
      <c r="F276" s="30" t="n">
        <v>3952.39</v>
      </c>
      <c r="G276" s="30" t="n">
        <v>861.1</v>
      </c>
      <c r="H276" s="30" t="n">
        <v>0.39</v>
      </c>
      <c r="I276" s="30" t="n">
        <v>242854</v>
      </c>
      <c r="J276" s="30" t="inlineStr">
        <is>
          <t>526881</t>
        </is>
      </c>
    </row>
    <row r="277">
      <c r="A277" s="30" t="inlineStr">
        <is>
          <t>PLASTIBLEN</t>
        </is>
      </c>
      <c r="B277" s="30" t="inlineStr">
        <is>
          <t>Plastiblends India Limited</t>
        </is>
      </c>
      <c r="C277" s="30" t="inlineStr">
        <is>
          <t>chemicals</t>
        </is>
      </c>
      <c r="D277" s="30" t="inlineStr">
        <is>
          <t>chemicals</t>
        </is>
      </c>
      <c r="E277" s="30" t="inlineStr">
        <is>
          <t>smallcap</t>
        </is>
      </c>
      <c r="F277" s="30" t="n">
        <v>513.78</v>
      </c>
      <c r="G277" s="30" t="n">
        <v>198.44</v>
      </c>
      <c r="H277" s="30" t="n">
        <v>0.38</v>
      </c>
      <c r="I277" s="30" t="n">
        <v>58489</v>
      </c>
      <c r="J277" s="30" t="inlineStr">
        <is>
          <t>523648</t>
        </is>
      </c>
    </row>
    <row r="278">
      <c r="A278" s="30" t="inlineStr">
        <is>
          <t>TARSONS</t>
        </is>
      </c>
      <c r="B278" s="30" t="inlineStr">
        <is>
          <t>Tarsons Products Ltd</t>
        </is>
      </c>
      <c r="C278" s="30" t="inlineStr">
        <is>
          <t>healthcare</t>
        </is>
      </c>
      <c r="D278" s="30" t="inlineStr">
        <is>
          <t>miscellaneous</t>
        </is>
      </c>
      <c r="E278" s="30" t="inlineStr">
        <is>
          <t>smallcap</t>
        </is>
      </c>
      <c r="F278" s="30" t="n">
        <v>1661.63</v>
      </c>
      <c r="G278" s="30" t="n">
        <v>313.5</v>
      </c>
      <c r="H278" s="30" t="n">
        <v>0.38</v>
      </c>
      <c r="I278" s="30" t="n">
        <v>242083</v>
      </c>
      <c r="J278" s="30" t="inlineStr">
        <is>
          <t>543399</t>
        </is>
      </c>
    </row>
    <row r="279">
      <c r="A279" s="30" t="inlineStr">
        <is>
          <t>KRYSTAL</t>
        </is>
      </c>
      <c r="B279" s="30" t="inlineStr">
        <is>
          <t>Krystal Integrated Services Ltd</t>
        </is>
      </c>
      <c r="C279" s="30" t="inlineStr">
        <is>
          <t>miscellaneous</t>
        </is>
      </c>
      <c r="D279" s="30" t="inlineStr">
        <is>
          <t>miscellaneous</t>
        </is>
      </c>
      <c r="E279" s="30" t="inlineStr">
        <is>
          <t>smallcap</t>
        </is>
      </c>
      <c r="F279" s="30" t="n">
        <v>838.67</v>
      </c>
      <c r="G279" s="30" t="n">
        <v>602.55</v>
      </c>
      <c r="H279" s="30" t="n">
        <v>0.38</v>
      </c>
      <c r="I279" s="30" t="n">
        <v>63651</v>
      </c>
      <c r="J279" s="30" t="inlineStr">
        <is>
          <t>544149</t>
        </is>
      </c>
    </row>
    <row r="280">
      <c r="A280" s="30" t="inlineStr">
        <is>
          <t>HAL</t>
        </is>
      </c>
      <c r="B280" s="30" t="inlineStr">
        <is>
          <t>Hindustan Aeronautics Ltd</t>
        </is>
      </c>
      <c r="C280" s="30" t="inlineStr">
        <is>
          <t>aerospace &amp; defence</t>
        </is>
      </c>
      <c r="D280" s="30" t="inlineStr">
        <is>
          <t>engineering</t>
        </is>
      </c>
      <c r="E280" s="30" t="inlineStr">
        <is>
          <t>largecap</t>
        </is>
      </c>
      <c r="F280" s="30" t="n">
        <v>328368.53</v>
      </c>
      <c r="G280" s="30" t="n">
        <v>4928</v>
      </c>
      <c r="H280" s="30" t="n">
        <v>0.37</v>
      </c>
      <c r="I280" s="30" t="n">
        <v>1169161</v>
      </c>
      <c r="J280" s="30" t="inlineStr">
        <is>
          <t>541154</t>
        </is>
      </c>
    </row>
    <row r="281">
      <c r="A281" s="30" t="inlineStr">
        <is>
          <t>MOLDTECH</t>
        </is>
      </c>
      <c r="B281" s="30" t="inlineStr">
        <is>
          <t>Mold-tek Technologies Limited</t>
        </is>
      </c>
      <c r="C281" s="30" t="inlineStr">
        <is>
          <t>realty</t>
        </is>
      </c>
      <c r="D281" s="30" t="inlineStr">
        <is>
          <t>engineering - turnkey services</t>
        </is>
      </c>
      <c r="E281" s="30" t="inlineStr">
        <is>
          <t>smallcap</t>
        </is>
      </c>
      <c r="F281" s="30" t="n">
        <v>551.36</v>
      </c>
      <c r="G281" s="30" t="n">
        <v>192.09</v>
      </c>
      <c r="H281" s="30" t="n">
        <v>0.36</v>
      </c>
      <c r="I281" s="30" t="n">
        <v>575571</v>
      </c>
      <c r="J281" s="30" t="inlineStr">
        <is>
          <t>526263</t>
        </is>
      </c>
    </row>
    <row r="282">
      <c r="A282" s="30" t="inlineStr">
        <is>
          <t>USHAMART</t>
        </is>
      </c>
      <c r="B282" s="30" t="inlineStr">
        <is>
          <t>Usha Martin Limited</t>
        </is>
      </c>
      <c r="C282" s="30" t="inlineStr">
        <is>
          <t>metals &amp; mining</t>
        </is>
      </c>
      <c r="D282" s="30" t="inlineStr">
        <is>
          <t>steel - medium / small</t>
        </is>
      </c>
      <c r="E282" s="30" t="inlineStr">
        <is>
          <t>midcap</t>
        </is>
      </c>
      <c r="F282" s="30" t="n">
        <v>15695.74</v>
      </c>
      <c r="G282" s="30" t="n">
        <v>516.8</v>
      </c>
      <c r="H282" s="30" t="n">
        <v>0.34</v>
      </c>
      <c r="I282" s="30" t="n">
        <v>364278</v>
      </c>
      <c r="J282" s="30" t="inlineStr">
        <is>
          <t>517146</t>
        </is>
      </c>
    </row>
    <row r="283">
      <c r="A283" s="30" t="inlineStr">
        <is>
          <t>TECHM</t>
        </is>
      </c>
      <c r="B283" s="30" t="inlineStr">
        <is>
          <t>Tech Mahindra Limited</t>
        </is>
      </c>
      <c r="C283" s="30" t="inlineStr">
        <is>
          <t>i.t</t>
        </is>
      </c>
      <c r="D283" s="30" t="inlineStr">
        <is>
          <t>computers - software - large</t>
        </is>
      </c>
      <c r="E283" s="30" t="inlineStr">
        <is>
          <t>largecap</t>
        </is>
      </c>
      <c r="F283" s="30" t="n">
        <v>160239.48</v>
      </c>
      <c r="G283" s="30" t="n">
        <v>1640</v>
      </c>
      <c r="H283" s="30" t="n">
        <v>0.31</v>
      </c>
      <c r="I283" s="30" t="n">
        <v>5521427</v>
      </c>
      <c r="J283" s="30" t="inlineStr">
        <is>
          <t>532755</t>
        </is>
      </c>
    </row>
    <row r="284">
      <c r="A284" s="30" t="inlineStr">
        <is>
          <t>INDOTECH</t>
        </is>
      </c>
      <c r="B284" s="30" t="inlineStr">
        <is>
          <t>Indo Tech Transformers Limited</t>
        </is>
      </c>
      <c r="C284" s="30" t="inlineStr">
        <is>
          <t>industrials</t>
        </is>
      </c>
      <c r="D284" s="30" t="inlineStr">
        <is>
          <t>electric equipment</t>
        </is>
      </c>
      <c r="E284" s="30" t="inlineStr">
        <is>
          <t>smallcap</t>
        </is>
      </c>
      <c r="F284" s="30" t="n">
        <v>4027.74</v>
      </c>
      <c r="G284" s="30" t="n">
        <v>3804.4</v>
      </c>
      <c r="H284" s="30" t="n">
        <v>0.31</v>
      </c>
      <c r="I284" s="30" t="n">
        <v>14598</v>
      </c>
      <c r="J284" s="30" t="inlineStr">
        <is>
          <t>532717</t>
        </is>
      </c>
    </row>
    <row r="285">
      <c r="A285" s="30" t="inlineStr">
        <is>
          <t>RBLBANK</t>
        </is>
      </c>
      <c r="B285" s="30" t="inlineStr">
        <is>
          <t>Rbl Bank Limited</t>
        </is>
      </c>
      <c r="C285" s="30" t="inlineStr">
        <is>
          <t>bank</t>
        </is>
      </c>
      <c r="D285" s="30" t="inlineStr">
        <is>
          <t>banks - private sector</t>
        </is>
      </c>
      <c r="E285" s="30" t="inlineStr">
        <is>
          <t>largecap</t>
        </is>
      </c>
      <c r="F285" s="30" t="n">
        <v>60362.79</v>
      </c>
      <c r="G285" s="30" t="n">
        <v>391</v>
      </c>
      <c r="H285" s="30" t="n">
        <v>0.31</v>
      </c>
      <c r="I285" s="30" t="n">
        <v>3804712</v>
      </c>
      <c r="J285" s="30" t="inlineStr">
        <is>
          <t>540065</t>
        </is>
      </c>
    </row>
    <row r="286">
      <c r="A286" s="30" t="inlineStr">
        <is>
          <t>DIVISLAB</t>
        </is>
      </c>
      <c r="B286" s="30" t="inlineStr">
        <is>
          <t>Divi's Laboratories Limited</t>
        </is>
      </c>
      <c r="C286" s="30" t="inlineStr">
        <is>
          <t>healthcare</t>
        </is>
      </c>
      <c r="D286" s="30" t="inlineStr">
        <is>
          <t>pharmaceuticals - indian - bulk drugs</t>
        </is>
      </c>
      <c r="E286" s="30" t="inlineStr">
        <is>
          <t>largecap</t>
        </is>
      </c>
      <c r="F286" s="30" t="n">
        <v>219675.25</v>
      </c>
      <c r="G286" s="30" t="n">
        <v>8300</v>
      </c>
      <c r="H286" s="30" t="n">
        <v>0.3</v>
      </c>
      <c r="I286" s="30" t="n">
        <v>745378</v>
      </c>
      <c r="J286" s="30" t="inlineStr">
        <is>
          <t>532488</t>
        </is>
      </c>
    </row>
    <row r="287">
      <c r="A287" s="30" t="inlineStr">
        <is>
          <t>ORIENTELEC</t>
        </is>
      </c>
      <c r="B287" s="30" t="inlineStr">
        <is>
          <t>Orient Electric Ltd</t>
        </is>
      </c>
      <c r="C287" s="30" t="inlineStr">
        <is>
          <t>consumer discretionary</t>
        </is>
      </c>
      <c r="D287" s="30" t="inlineStr">
        <is>
          <t>domestic appliances</t>
        </is>
      </c>
      <c r="E287" s="30" t="inlineStr">
        <is>
          <t>smallcap</t>
        </is>
      </c>
      <c r="F287" s="30" t="n">
        <v>4036.46</v>
      </c>
      <c r="G287" s="30" t="n">
        <v>189.75</v>
      </c>
      <c r="H287" s="30" t="n">
        <v>0.3</v>
      </c>
      <c r="I287" s="30" t="n">
        <v>732061</v>
      </c>
      <c r="J287" s="30" t="inlineStr">
        <is>
          <t>541301</t>
        </is>
      </c>
    </row>
    <row r="288">
      <c r="A288" s="30" t="inlineStr">
        <is>
          <t>AIAENG</t>
        </is>
      </c>
      <c r="B288" s="30" t="inlineStr">
        <is>
          <t>Aia Engineering Limited</t>
        </is>
      </c>
      <c r="C288" s="30" t="inlineStr">
        <is>
          <t>industrials</t>
        </is>
      </c>
      <c r="D288" s="30" t="inlineStr">
        <is>
          <t>castings &amp; forgings</t>
        </is>
      </c>
      <c r="E288" s="30" t="inlineStr">
        <is>
          <t>largecap</t>
        </is>
      </c>
      <c r="F288" s="30" t="n">
        <v>44569.81</v>
      </c>
      <c r="G288" s="30" t="n">
        <v>4790</v>
      </c>
      <c r="H288" s="30" t="n">
        <v>0.29</v>
      </c>
      <c r="I288" s="30" t="n">
        <v>34703</v>
      </c>
      <c r="J288" s="30" t="inlineStr">
        <is>
          <t>532683</t>
        </is>
      </c>
    </row>
    <row r="289">
      <c r="A289" s="30" t="inlineStr">
        <is>
          <t>CIPLA</t>
        </is>
      </c>
      <c r="B289" s="30" t="inlineStr">
        <is>
          <t>Cipla Limited</t>
        </is>
      </c>
      <c r="C289" s="30" t="inlineStr">
        <is>
          <t>healthcare</t>
        </is>
      </c>
      <c r="D289" s="30" t="inlineStr">
        <is>
          <t>pharmaceuticals - indian - bulk drugs &amp; formln</t>
        </is>
      </c>
      <c r="E289" s="30" t="inlineStr">
        <is>
          <t>largecap</t>
        </is>
      </c>
      <c r="F289" s="30" t="n">
        <v>118252.4</v>
      </c>
      <c r="G289" s="30" t="n">
        <v>1467.7</v>
      </c>
      <c r="H289" s="30" t="n">
        <v>0.27</v>
      </c>
      <c r="I289" s="30" t="n">
        <v>1283015</v>
      </c>
      <c r="J289" s="30" t="inlineStr">
        <is>
          <t>500087</t>
        </is>
      </c>
    </row>
    <row r="290">
      <c r="A290" s="30" t="inlineStr">
        <is>
          <t>RELAXO</t>
        </is>
      </c>
      <c r="B290" s="30" t="inlineStr">
        <is>
          <t>Relaxo Footwears Limited</t>
        </is>
      </c>
      <c r="C290" s="30" t="inlineStr">
        <is>
          <t>consumer discretionary</t>
        </is>
      </c>
      <c r="D290" s="30" t="inlineStr">
        <is>
          <t>leather / leather products</t>
        </is>
      </c>
      <c r="E290" s="30" t="inlineStr">
        <is>
          <t>midcap</t>
        </is>
      </c>
      <c r="F290" s="30" t="n">
        <v>10541.3</v>
      </c>
      <c r="G290" s="30" t="n">
        <v>424.45</v>
      </c>
      <c r="H290" s="30" t="n">
        <v>0.24</v>
      </c>
      <c r="I290" s="30" t="n">
        <v>242396</v>
      </c>
      <c r="J290" s="30" t="inlineStr">
        <is>
          <t>530517</t>
        </is>
      </c>
    </row>
    <row r="291">
      <c r="A291" s="30" t="inlineStr">
        <is>
          <t>CENTUM</t>
        </is>
      </c>
      <c r="B291" s="30" t="inlineStr">
        <is>
          <t>Centum Electronics Limited</t>
        </is>
      </c>
      <c r="C291" s="30" t="inlineStr">
        <is>
          <t>aerospace &amp; defence</t>
        </is>
      </c>
      <c r="D291" s="30" t="inlineStr">
        <is>
          <t>electronics - components</t>
        </is>
      </c>
      <c r="E291" s="30" t="inlineStr">
        <is>
          <t>midcap</t>
        </is>
      </c>
      <c r="F291" s="30" t="n">
        <v>5684.88</v>
      </c>
      <c r="G291" s="30" t="n">
        <v>3861.2</v>
      </c>
      <c r="H291" s="30" t="n">
        <v>0.24</v>
      </c>
      <c r="I291" s="30" t="n">
        <v>57349</v>
      </c>
      <c r="J291" s="30" t="inlineStr">
        <is>
          <t>517544</t>
        </is>
      </c>
    </row>
    <row r="292">
      <c r="A292" s="30" t="inlineStr">
        <is>
          <t>UNOMINDA</t>
        </is>
      </c>
      <c r="B292" s="30" t="inlineStr">
        <is>
          <t>Uno Minda Ltd</t>
        </is>
      </c>
      <c r="C292" s="30" t="inlineStr">
        <is>
          <t>auto</t>
        </is>
      </c>
      <c r="D292" s="30" t="inlineStr">
        <is>
          <t>auto ancillaries</t>
        </is>
      </c>
      <c r="E292" s="30" t="inlineStr">
        <is>
          <t>largecap</t>
        </is>
      </c>
      <c r="F292" s="30" t="n">
        <v>74204.53999999999</v>
      </c>
      <c r="G292" s="30" t="n">
        <v>1288</v>
      </c>
      <c r="H292" s="30" t="n">
        <v>0.23</v>
      </c>
      <c r="I292" s="30" t="n">
        <v>1562266</v>
      </c>
      <c r="J292" s="30" t="inlineStr">
        <is>
          <t>532539</t>
        </is>
      </c>
    </row>
    <row r="293">
      <c r="A293" s="30" t="inlineStr">
        <is>
          <t>PRUDENT</t>
        </is>
      </c>
      <c r="B293" s="30" t="inlineStr">
        <is>
          <t>Prudent Corporate Advisory Services Ltd</t>
        </is>
      </c>
      <c r="C293" s="30" t="inlineStr">
        <is>
          <t>financials</t>
        </is>
      </c>
      <c r="D293" s="30" t="inlineStr">
        <is>
          <t>finance &amp; investments</t>
        </is>
      </c>
      <c r="E293" s="30" t="inlineStr">
        <is>
          <t>midcap</t>
        </is>
      </c>
      <c r="F293" s="30" t="n">
        <v>13961.5</v>
      </c>
      <c r="G293" s="30" t="n">
        <v>3379.7</v>
      </c>
      <c r="H293" s="30" t="n">
        <v>0.23</v>
      </c>
      <c r="I293" s="30" t="n">
        <v>19500</v>
      </c>
      <c r="J293" s="30" t="inlineStr">
        <is>
          <t>543527</t>
        </is>
      </c>
    </row>
    <row r="294">
      <c r="A294" s="30" t="inlineStr">
        <is>
          <t>RPTECH</t>
        </is>
      </c>
      <c r="B294" s="30" t="inlineStr">
        <is>
          <t>Rashi Peripherals Ltd</t>
        </is>
      </c>
      <c r="C294" s="30" t="inlineStr">
        <is>
          <t>services</t>
        </is>
      </c>
      <c r="D294" s="30" t="inlineStr">
        <is>
          <t>trading</t>
        </is>
      </c>
      <c r="E294" s="30" t="inlineStr">
        <is>
          <t>midcap</t>
        </is>
      </c>
      <c r="F294" s="30" t="n">
        <v>5895.71</v>
      </c>
      <c r="G294" s="30" t="n">
        <v>896.7</v>
      </c>
      <c r="H294" s="30" t="n">
        <v>0.23</v>
      </c>
      <c r="I294" s="30" t="n">
        <v>327277</v>
      </c>
      <c r="J294" s="30" t="n"/>
    </row>
    <row r="295">
      <c r="A295" s="30" t="inlineStr">
        <is>
          <t>HITECHCORP</t>
        </is>
      </c>
      <c r="B295" s="30" t="inlineStr">
        <is>
          <t>Hitech Corporation</t>
        </is>
      </c>
      <c r="C295" s="30" t="inlineStr">
        <is>
          <t>industrials</t>
        </is>
      </c>
      <c r="D295" s="30" t="inlineStr">
        <is>
          <t>packaging</t>
        </is>
      </c>
      <c r="E295" s="30" t="inlineStr">
        <is>
          <t>smallcap</t>
        </is>
      </c>
      <c r="F295" s="30" t="n">
        <v>553.5700000000001</v>
      </c>
      <c r="G295" s="30" t="n">
        <v>323</v>
      </c>
      <c r="H295" s="30" t="n">
        <v>0.22</v>
      </c>
      <c r="I295" s="30" t="n">
        <v>11964</v>
      </c>
      <c r="J295" s="30" t="inlineStr">
        <is>
          <t>526217</t>
        </is>
      </c>
    </row>
    <row r="296">
      <c r="A296" s="30" t="inlineStr">
        <is>
          <t>JUBLINGREA</t>
        </is>
      </c>
      <c r="B296" s="30" t="inlineStr">
        <is>
          <t>Jubilant Ingrevia Ltd</t>
        </is>
      </c>
      <c r="C296" s="30" t="inlineStr">
        <is>
          <t>chemicals</t>
        </is>
      </c>
      <c r="D296" s="30" t="inlineStr">
        <is>
          <t>chemicals</t>
        </is>
      </c>
      <c r="E296" s="30" t="inlineStr">
        <is>
          <t>midcap</t>
        </is>
      </c>
      <c r="F296" s="30" t="n">
        <v>11790.79</v>
      </c>
      <c r="G296" s="30" t="n">
        <v>741.85</v>
      </c>
      <c r="H296" s="30" t="n">
        <v>0.22</v>
      </c>
      <c r="I296" s="30" t="n">
        <v>384565</v>
      </c>
      <c r="J296" s="30" t="inlineStr">
        <is>
          <t>543271</t>
        </is>
      </c>
    </row>
    <row r="297">
      <c r="A297" s="30" t="inlineStr">
        <is>
          <t>CUPID</t>
        </is>
      </c>
      <c r="B297" s="30" t="inlineStr">
        <is>
          <t>Cupid Limited</t>
        </is>
      </c>
      <c r="C297" s="30" t="inlineStr">
        <is>
          <t>fmcg</t>
        </is>
      </c>
      <c r="D297" s="30" t="inlineStr">
        <is>
          <t>personal care - indian</t>
        </is>
      </c>
      <c r="E297" s="30" t="inlineStr">
        <is>
          <t>largecap</t>
        </is>
      </c>
      <c r="F297" s="30" t="n">
        <v>35247.59</v>
      </c>
      <c r="G297" s="30" t="n">
        <v>262.71</v>
      </c>
      <c r="H297" s="30" t="n">
        <v>0.22</v>
      </c>
      <c r="I297" s="30" t="n">
        <v>25888287</v>
      </c>
      <c r="J297" s="30" t="inlineStr">
        <is>
          <t>530843</t>
        </is>
      </c>
    </row>
    <row r="298">
      <c r="A298" s="30" t="inlineStr">
        <is>
          <t>APOLLOTYRE</t>
        </is>
      </c>
      <c r="B298" s="30" t="inlineStr">
        <is>
          <t>Apollo Tyres Limited</t>
        </is>
      </c>
      <c r="C298" s="30" t="inlineStr">
        <is>
          <t>auto</t>
        </is>
      </c>
      <c r="D298" s="30" t="inlineStr">
        <is>
          <t>tyres</t>
        </is>
      </c>
      <c r="E298" s="30" t="inlineStr">
        <is>
          <t>largecap</t>
        </is>
      </c>
      <c r="F298" s="30" t="n">
        <v>28261.99</v>
      </c>
      <c r="G298" s="30" t="n">
        <v>445.95</v>
      </c>
      <c r="H298" s="30" t="n">
        <v>0.21</v>
      </c>
      <c r="I298" s="30" t="n">
        <v>709497</v>
      </c>
      <c r="J298" s="30" t="inlineStr">
        <is>
          <t>500877</t>
        </is>
      </c>
    </row>
    <row r="299">
      <c r="A299" s="30" t="inlineStr">
        <is>
          <t>JSWSTEEL</t>
        </is>
      </c>
      <c r="B299" s="30" t="inlineStr">
        <is>
          <t>Jsw Steel Limited</t>
        </is>
      </c>
      <c r="C299" s="30" t="inlineStr">
        <is>
          <t>metals &amp; mining</t>
        </is>
      </c>
      <c r="D299" s="30" t="inlineStr">
        <is>
          <t>steel - large</t>
        </is>
      </c>
      <c r="E299" s="30" t="inlineStr">
        <is>
          <t>largecap</t>
        </is>
      </c>
      <c r="F299" s="30" t="n">
        <v>317786.74</v>
      </c>
      <c r="G299" s="30" t="n">
        <v>1302</v>
      </c>
      <c r="H299" s="30" t="n">
        <v>0.19</v>
      </c>
      <c r="I299" s="30" t="n">
        <v>3012479</v>
      </c>
      <c r="J299" s="30" t="inlineStr">
        <is>
          <t>500228</t>
        </is>
      </c>
    </row>
    <row r="300">
      <c r="A300" s="30" t="inlineStr">
        <is>
          <t>ROSSTECH</t>
        </is>
      </c>
      <c r="B300" s="30" t="inlineStr">
        <is>
          <t>Rossell Techsys Ltd</t>
        </is>
      </c>
      <c r="C300" s="30" t="inlineStr">
        <is>
          <t>aerospace &amp; defence</t>
        </is>
      </c>
      <c r="D300" s="30" t="inlineStr">
        <is>
          <t>engineering</t>
        </is>
      </c>
      <c r="E300" s="30" t="inlineStr">
        <is>
          <t>smallcap</t>
        </is>
      </c>
      <c r="F300" s="30" t="n">
        <v>4118.91</v>
      </c>
      <c r="G300" s="30" t="n">
        <v>1094.5</v>
      </c>
      <c r="H300" s="30" t="n">
        <v>0.17</v>
      </c>
      <c r="I300" s="30" t="n">
        <v>212662</v>
      </c>
      <c r="J300" s="30" t="inlineStr">
        <is>
          <t>544294</t>
        </is>
      </c>
    </row>
    <row r="301">
      <c r="A301" s="30" t="inlineStr">
        <is>
          <t>SEAMECLTD</t>
        </is>
      </c>
      <c r="B301" s="30" t="inlineStr">
        <is>
          <t>Seamec Limited</t>
        </is>
      </c>
      <c r="C301" s="30" t="inlineStr">
        <is>
          <t>miscellaneous</t>
        </is>
      </c>
      <c r="D301" s="30" t="inlineStr">
        <is>
          <t>miscellaneous</t>
        </is>
      </c>
      <c r="E301" s="30" t="inlineStr">
        <is>
          <t>smallcap</t>
        </is>
      </c>
      <c r="F301" s="30" t="n">
        <v>3884.18</v>
      </c>
      <c r="G301" s="30" t="n">
        <v>1530</v>
      </c>
      <c r="H301" s="30" t="n">
        <v>0.15</v>
      </c>
      <c r="I301" s="30" t="n">
        <v>36450</v>
      </c>
      <c r="J301" s="30" t="inlineStr">
        <is>
          <t>526807</t>
        </is>
      </c>
    </row>
    <row r="302">
      <c r="A302" s="30" t="inlineStr">
        <is>
          <t>FMGOETZE</t>
        </is>
      </c>
      <c r="B302" s="30" t="inlineStr">
        <is>
          <t>Federal-mogul Goetze (india) Limited.</t>
        </is>
      </c>
      <c r="C302" s="30" t="inlineStr">
        <is>
          <t>auto</t>
        </is>
      </c>
      <c r="D302" s="30" t="inlineStr">
        <is>
          <t>auto ancillaries</t>
        </is>
      </c>
      <c r="E302" s="30" t="inlineStr">
        <is>
          <t>smallcap</t>
        </is>
      </c>
      <c r="F302" s="30" t="n">
        <v>2738.49</v>
      </c>
      <c r="G302" s="30" t="n">
        <v>492.95</v>
      </c>
      <c r="H302" s="30" t="n">
        <v>0.14</v>
      </c>
      <c r="I302" s="30" t="n">
        <v>44378</v>
      </c>
      <c r="J302" s="30" t="inlineStr">
        <is>
          <t>505744</t>
        </is>
      </c>
    </row>
    <row r="303">
      <c r="A303" s="30" t="inlineStr">
        <is>
          <t>BAJAJ-AUTO</t>
        </is>
      </c>
      <c r="B303" s="30" t="inlineStr">
        <is>
          <t>Bajaj Auto Limited</t>
        </is>
      </c>
      <c r="C303" s="30" t="inlineStr">
        <is>
          <t>auto</t>
        </is>
      </c>
      <c r="D303" s="30" t="inlineStr">
        <is>
          <t>automobiles - scooters and 3 - wheelers</t>
        </is>
      </c>
      <c r="E303" s="30" t="inlineStr">
        <is>
          <t>largecap</t>
        </is>
      </c>
      <c r="F303" s="30" t="n">
        <v>325950.38</v>
      </c>
      <c r="G303" s="30" t="n">
        <v>11677</v>
      </c>
      <c r="H303" s="30" t="n">
        <v>0.13</v>
      </c>
      <c r="I303" s="30" t="n">
        <v>389839</v>
      </c>
      <c r="J303" s="30" t="inlineStr">
        <is>
          <t>532977</t>
        </is>
      </c>
    </row>
    <row r="304">
      <c r="A304" s="30" t="inlineStr">
        <is>
          <t>ARIHANT</t>
        </is>
      </c>
      <c r="B304" s="30" t="inlineStr">
        <is>
          <t>Arihant Foundations &amp; Housing Limited</t>
        </is>
      </c>
      <c r="C304" s="30" t="inlineStr">
        <is>
          <t>realty</t>
        </is>
      </c>
      <c r="D304" s="30" t="inlineStr">
        <is>
          <t>construction</t>
        </is>
      </c>
      <c r="E304" s="30" t="inlineStr">
        <is>
          <t>smallcap</t>
        </is>
      </c>
      <c r="F304" s="30" t="n">
        <v>1120.73</v>
      </c>
      <c r="G304" s="30" t="n">
        <v>1126</v>
      </c>
      <c r="H304" s="30" t="n">
        <v>0.12</v>
      </c>
      <c r="I304" s="30" t="n">
        <v>774</v>
      </c>
      <c r="J304" s="30" t="inlineStr">
        <is>
          <t>531381</t>
        </is>
      </c>
    </row>
    <row r="305">
      <c r="A305" s="30" t="inlineStr">
        <is>
          <t>AUBANK</t>
        </is>
      </c>
      <c r="B305" s="30" t="inlineStr">
        <is>
          <t>AU Small Finance Bank Ltd</t>
        </is>
      </c>
      <c r="C305" s="30" t="inlineStr">
        <is>
          <t>bank</t>
        </is>
      </c>
      <c r="D305" s="30" t="inlineStr">
        <is>
          <t>banks - private sector</t>
        </is>
      </c>
      <c r="E305" s="30" t="inlineStr">
        <is>
          <t>largecap</t>
        </is>
      </c>
      <c r="F305" s="30" t="n">
        <v>79915.31</v>
      </c>
      <c r="G305" s="30" t="n">
        <v>1068</v>
      </c>
      <c r="H305" s="30" t="n">
        <v>0.09</v>
      </c>
      <c r="I305" s="30" t="n">
        <v>1602756</v>
      </c>
      <c r="J305" s="30" t="inlineStr">
        <is>
          <t>540611</t>
        </is>
      </c>
    </row>
    <row r="306">
      <c r="A306" s="30" t="inlineStr">
        <is>
          <t>MAHLIFE</t>
        </is>
      </c>
      <c r="B306" s="30" t="inlineStr">
        <is>
          <t>Mahindra Lifespace Developers Limited</t>
        </is>
      </c>
      <c r="C306" s="30" t="inlineStr">
        <is>
          <t>realty</t>
        </is>
      </c>
      <c r="D306" s="30" t="inlineStr">
        <is>
          <t>construction</t>
        </is>
      </c>
      <c r="E306" s="30" t="inlineStr">
        <is>
          <t>midcap</t>
        </is>
      </c>
      <c r="F306" s="30" t="n">
        <v>8246.76</v>
      </c>
      <c r="G306" s="30" t="n">
        <v>386.85</v>
      </c>
      <c r="H306" s="30" t="n">
        <v>0.08</v>
      </c>
      <c r="I306" s="30" t="n">
        <v>141750</v>
      </c>
      <c r="J306" s="30" t="inlineStr">
        <is>
          <t>532313</t>
        </is>
      </c>
    </row>
    <row r="307">
      <c r="A307" s="30" t="inlineStr">
        <is>
          <t>GLAXO</t>
        </is>
      </c>
      <c r="B307" s="30" t="inlineStr">
        <is>
          <t>Glaxosmithkline Pharmaceuticals Limited</t>
        </is>
      </c>
      <c r="C307" s="30" t="inlineStr">
        <is>
          <t>healthcare</t>
        </is>
      </c>
      <c r="D307" s="30" t="inlineStr">
        <is>
          <t>pharmaceuticals - multinational</t>
        </is>
      </c>
      <c r="E307" s="30" t="inlineStr">
        <is>
          <t>largecap</t>
        </is>
      </c>
      <c r="F307" s="30" t="n">
        <v>44040.49</v>
      </c>
      <c r="G307" s="30" t="n">
        <v>2601</v>
      </c>
      <c r="H307" s="30" t="n">
        <v>0.05</v>
      </c>
      <c r="I307" s="30" t="n">
        <v>29273</v>
      </c>
      <c r="J307" s="30" t="inlineStr">
        <is>
          <t>500660</t>
        </is>
      </c>
    </row>
    <row r="308">
      <c r="A308" s="30" t="inlineStr">
        <is>
          <t>WINDMACHIN</t>
        </is>
      </c>
      <c r="B308" s="30" t="inlineStr">
        <is>
          <t>Windsor Machines Limited</t>
        </is>
      </c>
      <c r="C308" s="30" t="inlineStr">
        <is>
          <t>industrials</t>
        </is>
      </c>
      <c r="D308" s="30" t="inlineStr">
        <is>
          <t>engineering</t>
        </is>
      </c>
      <c r="E308" s="30" t="inlineStr">
        <is>
          <t>smallcap</t>
        </is>
      </c>
      <c r="F308" s="30" t="n">
        <v>3087.92</v>
      </c>
      <c r="G308" s="30" t="n">
        <v>303.65</v>
      </c>
      <c r="H308" s="30" t="n">
        <v>0.03</v>
      </c>
      <c r="I308" s="30" t="n">
        <v>324957</v>
      </c>
      <c r="J308" s="30" t="inlineStr">
        <is>
          <t>522029</t>
        </is>
      </c>
    </row>
    <row r="309">
      <c r="A309" s="30" t="inlineStr">
        <is>
          <t>CENTENKA</t>
        </is>
      </c>
      <c r="B309" s="30" t="inlineStr">
        <is>
          <t>Century Enka Limited</t>
        </is>
      </c>
      <c r="C309" s="30" t="inlineStr">
        <is>
          <t>textiles</t>
        </is>
      </c>
      <c r="D309" s="30" t="inlineStr">
        <is>
          <t>textiles - manmade</t>
        </is>
      </c>
      <c r="E309" s="30" t="inlineStr">
        <is>
          <t>smallcap</t>
        </is>
      </c>
      <c r="F309" s="30" t="n">
        <v>1333.43</v>
      </c>
      <c r="G309" s="30" t="n">
        <v>610.45</v>
      </c>
      <c r="H309" s="30" t="n">
        <v>0.03</v>
      </c>
      <c r="I309" s="30" t="n">
        <v>44959</v>
      </c>
      <c r="J309" s="30" t="inlineStr">
        <is>
          <t>500280</t>
        </is>
      </c>
    </row>
    <row r="310">
      <c r="A310" s="30" t="inlineStr">
        <is>
          <t>INDIGO</t>
        </is>
      </c>
      <c r="B310" s="30" t="inlineStr">
        <is>
          <t>Interglobe Aviation Limited</t>
        </is>
      </c>
      <c r="C310" s="30" t="inlineStr">
        <is>
          <t>transportation</t>
        </is>
      </c>
      <c r="D310" s="30" t="inlineStr">
        <is>
          <t>transport - airlines</t>
        </is>
      </c>
      <c r="E310" s="30" t="inlineStr">
        <is>
          <t>largecap</t>
        </is>
      </c>
      <c r="F310" s="30" t="n">
        <v>206204.44</v>
      </c>
      <c r="G310" s="30" t="n">
        <v>5333.5</v>
      </c>
      <c r="H310" s="30" t="n">
        <v>0.01</v>
      </c>
      <c r="I310" s="30" t="n">
        <v>693245</v>
      </c>
      <c r="J310" s="30" t="inlineStr">
        <is>
          <t>539448</t>
        </is>
      </c>
    </row>
    <row r="311">
      <c r="A311" s="30" t="inlineStr">
        <is>
          <t>VHL</t>
        </is>
      </c>
      <c r="B311" s="30" t="inlineStr">
        <is>
          <t>Vardhman Holdings Limited</t>
        </is>
      </c>
      <c r="C311" s="30" t="inlineStr">
        <is>
          <t>financials</t>
        </is>
      </c>
      <c r="D311" s="30" t="inlineStr">
        <is>
          <t>finance &amp; investments</t>
        </is>
      </c>
      <c r="E311" s="30" t="inlineStr">
        <is>
          <t>smallcap</t>
        </is>
      </c>
      <c r="F311" s="30" t="n">
        <v>1138.96</v>
      </c>
      <c r="G311" s="30" t="n">
        <v>3568</v>
      </c>
      <c r="H311" s="30" t="n">
        <v>-0.02</v>
      </c>
      <c r="I311" s="30" t="n">
        <v>1009</v>
      </c>
      <c r="J311" s="30" t="inlineStr">
        <is>
          <t>500439</t>
        </is>
      </c>
    </row>
    <row r="312">
      <c r="A312" s="30" t="inlineStr">
        <is>
          <t>PERSISTENT</t>
        </is>
      </c>
      <c r="B312" s="30" t="inlineStr">
        <is>
          <t>Persistent Systems Limited</t>
        </is>
      </c>
      <c r="C312" s="30" t="inlineStr">
        <is>
          <t>i.t</t>
        </is>
      </c>
      <c r="D312" s="30" t="inlineStr">
        <is>
          <t>computers - software - large</t>
        </is>
      </c>
      <c r="E312" s="30" t="inlineStr">
        <is>
          <t>largecap</t>
        </is>
      </c>
      <c r="F312" s="30" t="n">
        <v>86368.13</v>
      </c>
      <c r="G312" s="30" t="n">
        <v>5474</v>
      </c>
      <c r="H312" s="30" t="n">
        <v>-0.02</v>
      </c>
      <c r="I312" s="30" t="n">
        <v>830642</v>
      </c>
      <c r="J312" s="30" t="inlineStr">
        <is>
          <t>533179</t>
        </is>
      </c>
    </row>
    <row r="313">
      <c r="A313" s="30" t="inlineStr">
        <is>
          <t>GANESHBE</t>
        </is>
      </c>
      <c r="B313" s="30" t="inlineStr">
        <is>
          <t>Ganesh Benzoplast Ltd</t>
        </is>
      </c>
      <c r="C313" s="30" t="inlineStr">
        <is>
          <t>miscellaneous</t>
        </is>
      </c>
      <c r="D313" s="30" t="inlineStr">
        <is>
          <t>miscellaneous</t>
        </is>
      </c>
      <c r="E313" s="30" t="inlineStr">
        <is>
          <t>smallcap</t>
        </is>
      </c>
      <c r="F313" s="30" t="n">
        <v>866.8200000000001</v>
      </c>
      <c r="G313" s="30" t="n">
        <v>120.36</v>
      </c>
      <c r="H313" s="30" t="n">
        <v>-0.04</v>
      </c>
      <c r="I313" s="30" t="n">
        <v>69136</v>
      </c>
      <c r="J313" s="30" t="inlineStr">
        <is>
          <t>500153</t>
        </is>
      </c>
    </row>
    <row r="314">
      <c r="A314" s="30" t="inlineStr">
        <is>
          <t>THEJO</t>
        </is>
      </c>
      <c r="B314" s="30" t="inlineStr">
        <is>
          <t>Thejo Engineering Ltd</t>
        </is>
      </c>
      <c r="C314" s="30" t="inlineStr">
        <is>
          <t>industrials</t>
        </is>
      </c>
      <c r="D314" s="30" t="inlineStr">
        <is>
          <t>engineering</t>
        </is>
      </c>
      <c r="E314" s="30" t="inlineStr">
        <is>
          <t>smallcap</t>
        </is>
      </c>
      <c r="F314" s="30" t="n">
        <v>2412.37</v>
      </c>
      <c r="G314" s="30" t="n">
        <v>2223</v>
      </c>
      <c r="H314" s="30" t="n">
        <v>-0.04</v>
      </c>
      <c r="I314" s="30" t="n">
        <v>9520</v>
      </c>
      <c r="J314" s="30" t="inlineStr">
        <is>
          <t>500492</t>
        </is>
      </c>
    </row>
    <row r="315">
      <c r="A315" s="30" t="inlineStr">
        <is>
          <t>TBOTEK</t>
        </is>
      </c>
      <c r="B315" s="30" t="inlineStr">
        <is>
          <t>TBO Tek Ltd</t>
        </is>
      </c>
      <c r="C315" s="30" t="inlineStr">
        <is>
          <t>i.t</t>
        </is>
      </c>
      <c r="D315" s="30" t="inlineStr">
        <is>
          <t>travel agencies</t>
        </is>
      </c>
      <c r="E315" s="30" t="inlineStr">
        <is>
          <t>midcap</t>
        </is>
      </c>
      <c r="F315" s="30" t="n">
        <v>17492.41</v>
      </c>
      <c r="G315" s="30" t="n">
        <v>1610</v>
      </c>
      <c r="H315" s="30" t="n">
        <v>-0.06</v>
      </c>
      <c r="I315" s="30" t="n">
        <v>76263</v>
      </c>
      <c r="J315" s="30" t="inlineStr">
        <is>
          <t>544174</t>
        </is>
      </c>
    </row>
    <row r="316">
      <c r="A316" s="30" t="inlineStr">
        <is>
          <t>PFIZER</t>
        </is>
      </c>
      <c r="B316" s="30" t="inlineStr">
        <is>
          <t>Pfizer Limited</t>
        </is>
      </c>
      <c r="C316" s="30" t="inlineStr">
        <is>
          <t>healthcare</t>
        </is>
      </c>
      <c r="D316" s="30" t="inlineStr">
        <is>
          <t>pharmaceuticals - multinational</t>
        </is>
      </c>
      <c r="E316" s="30" t="inlineStr">
        <is>
          <t>largecap</t>
        </is>
      </c>
      <c r="F316" s="30" t="n">
        <v>22327.64</v>
      </c>
      <c r="G316" s="30" t="n">
        <v>4877.6</v>
      </c>
      <c r="H316" s="30" t="n">
        <v>-0.06</v>
      </c>
      <c r="I316" s="30" t="n">
        <v>51745</v>
      </c>
      <c r="J316" s="30" t="inlineStr">
        <is>
          <t>500680</t>
        </is>
      </c>
    </row>
    <row r="317">
      <c r="A317" s="30" t="inlineStr">
        <is>
          <t>RRKABEL</t>
        </is>
      </c>
      <c r="B317" s="30" t="inlineStr">
        <is>
          <t>R R Kabel Ltd</t>
        </is>
      </c>
      <c r="C317" s="30" t="inlineStr">
        <is>
          <t>industrials</t>
        </is>
      </c>
      <c r="D317" s="30" t="inlineStr">
        <is>
          <t>cables - power</t>
        </is>
      </c>
      <c r="E317" s="30" t="inlineStr">
        <is>
          <t>largecap</t>
        </is>
      </c>
      <c r="F317" s="30" t="n">
        <v>31211.46</v>
      </c>
      <c r="G317" s="30" t="n">
        <v>2756.9</v>
      </c>
      <c r="H317" s="30" t="n">
        <v>-0.09</v>
      </c>
      <c r="I317" s="30" t="n">
        <v>216591</v>
      </c>
      <c r="J317" s="30" t="inlineStr">
        <is>
          <t>543981</t>
        </is>
      </c>
    </row>
    <row r="318">
      <c r="A318" s="30" t="inlineStr">
        <is>
          <t>BHAGCHEM</t>
        </is>
      </c>
      <c r="B318" s="30" t="inlineStr">
        <is>
          <t>Bhagiradha Chemicals &amp; Industries Ltd</t>
        </is>
      </c>
      <c r="C318" s="30" t="inlineStr">
        <is>
          <t>chemicals</t>
        </is>
      </c>
      <c r="D318" s="30" t="inlineStr">
        <is>
          <t>pesticides / agrochemicals - indian</t>
        </is>
      </c>
      <c r="E318" s="30" t="inlineStr">
        <is>
          <t>smallcap</t>
        </is>
      </c>
      <c r="F318" s="30" t="n">
        <v>3703.35</v>
      </c>
      <c r="G318" s="30" t="n">
        <v>285.35</v>
      </c>
      <c r="H318" s="30" t="n">
        <v>-0.09</v>
      </c>
      <c r="I318" s="30" t="n">
        <v>118049</v>
      </c>
      <c r="J318" s="30" t="inlineStr">
        <is>
          <t>531719</t>
        </is>
      </c>
    </row>
    <row r="319">
      <c r="A319" s="30" t="inlineStr">
        <is>
          <t>HONASA</t>
        </is>
      </c>
      <c r="B319" s="30" t="inlineStr">
        <is>
          <t>Honasa Consumer Ltd</t>
        </is>
      </c>
      <c r="C319" s="30" t="inlineStr">
        <is>
          <t>services</t>
        </is>
      </c>
      <c r="D319" s="30" t="inlineStr">
        <is>
          <t>trading</t>
        </is>
      </c>
      <c r="E319" s="30" t="inlineStr">
        <is>
          <t>midcap</t>
        </is>
      </c>
      <c r="F319" s="30" t="n">
        <v>15570.92</v>
      </c>
      <c r="G319" s="30" t="n">
        <v>477.1</v>
      </c>
      <c r="H319" s="30" t="n">
        <v>-0.1</v>
      </c>
      <c r="I319" s="30" t="n">
        <v>743001</v>
      </c>
      <c r="J319" s="30" t="inlineStr">
        <is>
          <t>544014</t>
        </is>
      </c>
    </row>
    <row r="320">
      <c r="A320" s="30" t="inlineStr">
        <is>
          <t>ARTEMISMED</t>
        </is>
      </c>
      <c r="B320" s="30" t="inlineStr">
        <is>
          <t>Artemis Medicare Services Ltd</t>
        </is>
      </c>
      <c r="C320" s="30" t="inlineStr">
        <is>
          <t>healthcare</t>
        </is>
      </c>
      <c r="D320" s="30" t="inlineStr">
        <is>
          <t>healthcare</t>
        </is>
      </c>
      <c r="E320" s="30" t="inlineStr">
        <is>
          <t>midcap</t>
        </is>
      </c>
      <c r="F320" s="30" t="n">
        <v>5007.23</v>
      </c>
      <c r="G320" s="30" t="n">
        <v>315.95</v>
      </c>
      <c r="H320" s="30" t="n">
        <v>-0.11</v>
      </c>
      <c r="I320" s="30" t="n">
        <v>479872</v>
      </c>
      <c r="J320" s="30" t="inlineStr">
        <is>
          <t>542919</t>
        </is>
      </c>
    </row>
    <row r="321">
      <c r="A321" s="30" t="inlineStr">
        <is>
          <t>MATRIMONY</t>
        </is>
      </c>
      <c r="B321" s="30" t="inlineStr">
        <is>
          <t>Matrimony.com Ltd</t>
        </is>
      </c>
      <c r="C321" s="30" t="inlineStr">
        <is>
          <t>miscellaneous</t>
        </is>
      </c>
      <c r="D321" s="30" t="inlineStr">
        <is>
          <t>miscellaneous</t>
        </is>
      </c>
      <c r="E321" s="30" t="inlineStr">
        <is>
          <t>smallcap</t>
        </is>
      </c>
      <c r="F321" s="30" t="n">
        <v>993.98</v>
      </c>
      <c r="G321" s="30" t="n">
        <v>480</v>
      </c>
      <c r="H321" s="30" t="n">
        <v>-0.17</v>
      </c>
      <c r="I321" s="30" t="n">
        <v>111358</v>
      </c>
      <c r="J321" s="30" t="inlineStr">
        <is>
          <t>540704</t>
        </is>
      </c>
    </row>
    <row r="322">
      <c r="A322" s="30" t="inlineStr">
        <is>
          <t>STLTECH</t>
        </is>
      </c>
      <c r="B322" s="30" t="inlineStr">
        <is>
          <t>Sterlite Technologies Limited</t>
        </is>
      </c>
      <c r="C322" s="30" t="inlineStr">
        <is>
          <t>industrials</t>
        </is>
      </c>
      <c r="D322" s="30" t="inlineStr">
        <is>
          <t>cables - telephone</t>
        </is>
      </c>
      <c r="E322" s="30" t="inlineStr">
        <is>
          <t>largecap</t>
        </is>
      </c>
      <c r="F322" s="30" t="n">
        <v>32832.82</v>
      </c>
      <c r="G322" s="30" t="n">
        <v>637.75</v>
      </c>
      <c r="H322" s="30" t="n">
        <v>-0.18</v>
      </c>
      <c r="I322" s="30" t="n">
        <v>1312264</v>
      </c>
      <c r="J322" s="30" t="inlineStr">
        <is>
          <t>532374</t>
        </is>
      </c>
    </row>
    <row r="323">
      <c r="A323" s="30" t="inlineStr">
        <is>
          <t>SMCGLOBAL</t>
        </is>
      </c>
      <c r="B323" s="30" t="inlineStr">
        <is>
          <t>SMC Global Securities Ltd</t>
        </is>
      </c>
      <c r="C323" s="30" t="inlineStr">
        <is>
          <t>financials</t>
        </is>
      </c>
      <c r="D323" s="30" t="inlineStr">
        <is>
          <t>finance &amp; investments</t>
        </is>
      </c>
      <c r="E323" s="30" t="inlineStr">
        <is>
          <t>smallcap</t>
        </is>
      </c>
      <c r="F323" s="30" t="n">
        <v>1665.57</v>
      </c>
      <c r="G323" s="30" t="n">
        <v>79.39</v>
      </c>
      <c r="H323" s="30" t="n">
        <v>-0.19</v>
      </c>
      <c r="I323" s="30" t="n">
        <v>607516</v>
      </c>
      <c r="J323" s="30" t="inlineStr">
        <is>
          <t>543263</t>
        </is>
      </c>
    </row>
    <row r="324">
      <c r="A324" s="30" t="inlineStr">
        <is>
          <t>PVP</t>
        </is>
      </c>
      <c r="B324" s="30" t="inlineStr">
        <is>
          <t>Pvp Ventures Limited</t>
        </is>
      </c>
      <c r="C324" s="30" t="inlineStr">
        <is>
          <t>realty</t>
        </is>
      </c>
      <c r="D324" s="30" t="inlineStr">
        <is>
          <t>construction</t>
        </is>
      </c>
      <c r="E324" s="30" t="inlineStr">
        <is>
          <t>smallcap</t>
        </is>
      </c>
      <c r="F324" s="30" t="n">
        <v>904.64</v>
      </c>
      <c r="G324" s="30" t="n">
        <v>34.67</v>
      </c>
      <c r="H324" s="30" t="n">
        <v>-0.2</v>
      </c>
      <c r="I324" s="30" t="n">
        <v>4972921</v>
      </c>
      <c r="J324" s="30" t="inlineStr">
        <is>
          <t>517556</t>
        </is>
      </c>
    </row>
    <row r="325">
      <c r="A325" s="30" t="inlineStr">
        <is>
          <t>KDDL</t>
        </is>
      </c>
      <c r="B325" s="30" t="inlineStr">
        <is>
          <t>Kddl Limited</t>
        </is>
      </c>
      <c r="C325" s="30" t="inlineStr">
        <is>
          <t>consumer discretionary</t>
        </is>
      </c>
      <c r="D325" s="30" t="inlineStr">
        <is>
          <t>miscellaneous</t>
        </is>
      </c>
      <c r="E325" s="30" t="inlineStr">
        <is>
          <t>smallcap</t>
        </is>
      </c>
      <c r="F325" s="30" t="n">
        <v>4727.72</v>
      </c>
      <c r="G325" s="30" t="n">
        <v>3835.8</v>
      </c>
      <c r="H325" s="30" t="n">
        <v>-0.21</v>
      </c>
      <c r="I325" s="30" t="n">
        <v>53094</v>
      </c>
      <c r="J325" s="30" t="inlineStr">
        <is>
          <t>532054</t>
        </is>
      </c>
    </row>
    <row r="326">
      <c r="A326" s="30" t="inlineStr">
        <is>
          <t>MIDHANI</t>
        </is>
      </c>
      <c r="B326" s="30" t="inlineStr">
        <is>
          <t>Mishra Dhatu Nigam Ltd</t>
        </is>
      </c>
      <c r="C326" s="30" t="inlineStr">
        <is>
          <t>aerospace &amp; defence</t>
        </is>
      </c>
      <c r="D326" s="30" t="inlineStr">
        <is>
          <t>steel - medium / small</t>
        </is>
      </c>
      <c r="E326" s="30" t="inlineStr">
        <is>
          <t>midcap</t>
        </is>
      </c>
      <c r="F326" s="30" t="n">
        <v>8152.1</v>
      </c>
      <c r="G326" s="30" t="n">
        <v>434.15</v>
      </c>
      <c r="H326" s="30" t="n">
        <v>-0.23</v>
      </c>
      <c r="I326" s="30" t="n">
        <v>710452</v>
      </c>
      <c r="J326" s="30" t="inlineStr">
        <is>
          <t>541195</t>
        </is>
      </c>
    </row>
    <row r="327">
      <c r="A327" s="30" t="inlineStr">
        <is>
          <t>HTMEDIA</t>
        </is>
      </c>
      <c r="B327" s="30" t="inlineStr">
        <is>
          <t>Ht Media Limited</t>
        </is>
      </c>
      <c r="C327" s="30" t="inlineStr">
        <is>
          <t>media</t>
        </is>
      </c>
      <c r="D327" s="30" t="inlineStr">
        <is>
          <t>entertainment / electronic media software</t>
        </is>
      </c>
      <c r="E327" s="30" t="inlineStr">
        <is>
          <t>smallcap</t>
        </is>
      </c>
      <c r="F327" s="30" t="n">
        <v>645.71</v>
      </c>
      <c r="G327" s="30" t="n">
        <v>27.66</v>
      </c>
      <c r="H327" s="30" t="n">
        <v>-0.29</v>
      </c>
      <c r="I327" s="30" t="n">
        <v>299011</v>
      </c>
      <c r="J327" s="30" t="inlineStr">
        <is>
          <t>532662</t>
        </is>
      </c>
    </row>
    <row r="328">
      <c r="A328" s="30" t="inlineStr">
        <is>
          <t>ASTERDM</t>
        </is>
      </c>
      <c r="B328" s="30" t="inlineStr">
        <is>
          <t>Aster DM Healthcare Ltd</t>
        </is>
      </c>
      <c r="C328" s="30" t="inlineStr">
        <is>
          <t>healthcare</t>
        </is>
      </c>
      <c r="D328" s="30" t="inlineStr">
        <is>
          <t>healthcare</t>
        </is>
      </c>
      <c r="E328" s="30" t="inlineStr">
        <is>
          <t>largecap</t>
        </is>
      </c>
      <c r="F328" s="30" t="n">
        <v>75809.35000000001</v>
      </c>
      <c r="G328" s="30" t="n">
        <v>867.15</v>
      </c>
      <c r="H328" s="30" t="n">
        <v>-0.29</v>
      </c>
      <c r="I328" s="30" t="n">
        <v>1012733</v>
      </c>
      <c r="J328" s="30" t="inlineStr">
        <is>
          <t>540975</t>
        </is>
      </c>
    </row>
    <row r="329">
      <c r="A329" s="30" t="inlineStr">
        <is>
          <t>MOTHERSON</t>
        </is>
      </c>
      <c r="B329" s="30" t="inlineStr">
        <is>
          <t>Samvardhana Motherson International Ltd</t>
        </is>
      </c>
      <c r="C329" s="30" t="inlineStr">
        <is>
          <t>auto</t>
        </is>
      </c>
      <c r="D329" s="30" t="inlineStr">
        <is>
          <t>auto ancillaries</t>
        </is>
      </c>
      <c r="E329" s="30" t="inlineStr">
        <is>
          <t>largecap</t>
        </is>
      </c>
      <c r="F329" s="30" t="n">
        <v>177842.36</v>
      </c>
      <c r="G329" s="30" t="n">
        <v>167.99</v>
      </c>
      <c r="H329" s="30" t="n">
        <v>-0.3</v>
      </c>
      <c r="I329" s="30" t="n">
        <v>59397681</v>
      </c>
      <c r="J329" s="30" t="inlineStr">
        <is>
          <t>517334</t>
        </is>
      </c>
    </row>
    <row r="330">
      <c r="A330" s="30" t="inlineStr">
        <is>
          <t>AARTIIND</t>
        </is>
      </c>
      <c r="B330" s="30" t="inlineStr">
        <is>
          <t>Aarti Industries Limited</t>
        </is>
      </c>
      <c r="C330" s="30" t="inlineStr">
        <is>
          <t>chemicals</t>
        </is>
      </c>
      <c r="D330" s="30" t="inlineStr">
        <is>
          <t>chemicals</t>
        </is>
      </c>
      <c r="E330" s="30" t="inlineStr">
        <is>
          <t>midcap</t>
        </is>
      </c>
      <c r="F330" s="30" t="n">
        <v>18212.51</v>
      </c>
      <c r="G330" s="30" t="n">
        <v>500.55</v>
      </c>
      <c r="H330" s="30" t="n">
        <v>-0.31</v>
      </c>
      <c r="I330" s="30" t="n">
        <v>602599</v>
      </c>
      <c r="J330" s="30" t="inlineStr">
        <is>
          <t>524208</t>
        </is>
      </c>
    </row>
    <row r="331">
      <c r="A331" s="30" t="inlineStr">
        <is>
          <t>UNIVPHOTO</t>
        </is>
      </c>
      <c r="B331" s="30" t="inlineStr">
        <is>
          <t>Universus Photo Imagings Ltd</t>
        </is>
      </c>
      <c r="C331" s="30" t="inlineStr">
        <is>
          <t>consumer discretionary</t>
        </is>
      </c>
      <c r="D331" s="30" t="inlineStr">
        <is>
          <t>photographic and allied products</t>
        </is>
      </c>
      <c r="E331" s="30" t="inlineStr">
        <is>
          <t>smallcap</t>
        </is>
      </c>
      <c r="F331" s="30" t="n">
        <v>516.35</v>
      </c>
      <c r="G331" s="30" t="n">
        <v>470.05</v>
      </c>
      <c r="H331" s="30" t="n">
        <v>-0.35</v>
      </c>
      <c r="I331" s="30" t="n">
        <v>187</v>
      </c>
      <c r="J331" s="30" t="inlineStr">
        <is>
          <t>542933</t>
        </is>
      </c>
    </row>
    <row r="332">
      <c r="A332" s="30" t="inlineStr">
        <is>
          <t>ICIL</t>
        </is>
      </c>
      <c r="B332" s="30" t="inlineStr">
        <is>
          <t>Indo Count Industries Limited</t>
        </is>
      </c>
      <c r="C332" s="30" t="inlineStr">
        <is>
          <t>textiles</t>
        </is>
      </c>
      <c r="D332" s="30" t="inlineStr">
        <is>
          <t>textiles - cotton/blended</t>
        </is>
      </c>
      <c r="E332" s="30" t="inlineStr">
        <is>
          <t>midcap</t>
        </is>
      </c>
      <c r="F332" s="30" t="n">
        <v>8449</v>
      </c>
      <c r="G332" s="30" t="n">
        <v>425</v>
      </c>
      <c r="H332" s="30" t="n">
        <v>-0.38</v>
      </c>
      <c r="I332" s="30" t="n">
        <v>363475</v>
      </c>
      <c r="J332" s="30" t="inlineStr">
        <is>
          <t>521016</t>
        </is>
      </c>
    </row>
    <row r="333">
      <c r="A333" s="30" t="inlineStr">
        <is>
          <t>REDINGTON</t>
        </is>
      </c>
      <c r="B333" s="30" t="inlineStr">
        <is>
          <t>Redington (india) Limited</t>
        </is>
      </c>
      <c r="C333" s="30" t="inlineStr">
        <is>
          <t>services</t>
        </is>
      </c>
      <c r="D333" s="30" t="inlineStr">
        <is>
          <t>trading</t>
        </is>
      </c>
      <c r="E333" s="30" t="inlineStr">
        <is>
          <t>largecap</t>
        </is>
      </c>
      <c r="F333" s="30" t="n">
        <v>27741.27</v>
      </c>
      <c r="G333" s="30" t="n">
        <v>353.2</v>
      </c>
      <c r="H333" s="30" t="n">
        <v>-0.47</v>
      </c>
      <c r="I333" s="30" t="n">
        <v>2226183</v>
      </c>
      <c r="J333" s="30" t="inlineStr">
        <is>
          <t>532805</t>
        </is>
      </c>
    </row>
    <row r="334">
      <c r="A334" s="30" t="inlineStr">
        <is>
          <t>LODHA</t>
        </is>
      </c>
      <c r="B334" s="30" t="inlineStr">
        <is>
          <t>Lodha Developers Ltd</t>
        </is>
      </c>
      <c r="C334" s="30" t="inlineStr">
        <is>
          <t>realty</t>
        </is>
      </c>
      <c r="D334" s="30" t="inlineStr">
        <is>
          <t>construction</t>
        </is>
      </c>
      <c r="E334" s="30" t="inlineStr">
        <is>
          <t>largecap</t>
        </is>
      </c>
      <c r="F334" s="30" t="n">
        <v>121759.64</v>
      </c>
      <c r="G334" s="30" t="n">
        <v>1213</v>
      </c>
      <c r="H334" s="30" t="n">
        <v>-0.47</v>
      </c>
      <c r="I334" s="30" t="n">
        <v>1277678</v>
      </c>
      <c r="J334" s="30" t="inlineStr">
        <is>
          <t>543287</t>
        </is>
      </c>
    </row>
    <row r="335">
      <c r="A335" s="30" t="inlineStr">
        <is>
          <t>3MINDIA</t>
        </is>
      </c>
      <c r="B335" s="30" t="inlineStr">
        <is>
          <t>3m India Limited</t>
        </is>
      </c>
      <c r="C335" s="30" t="inlineStr">
        <is>
          <t>miscellaneous</t>
        </is>
      </c>
      <c r="D335" s="30" t="inlineStr">
        <is>
          <t>diversified - large</t>
        </is>
      </c>
      <c r="E335" s="30" t="inlineStr">
        <is>
          <t>largecap</t>
        </is>
      </c>
      <c r="F335" s="30" t="n">
        <v>40593.68</v>
      </c>
      <c r="G335" s="30" t="n">
        <v>35860</v>
      </c>
      <c r="H335" s="30" t="n">
        <v>-0.49</v>
      </c>
      <c r="I335" s="30" t="n">
        <v>2058</v>
      </c>
      <c r="J335" s="30" t="inlineStr">
        <is>
          <t>523395</t>
        </is>
      </c>
    </row>
    <row r="336">
      <c r="A336" s="30" t="inlineStr">
        <is>
          <t>AVTNPL</t>
        </is>
      </c>
      <c r="B336" s="30" t="inlineStr">
        <is>
          <t>Avt Natural Products Limited</t>
        </is>
      </c>
      <c r="C336" s="30" t="inlineStr">
        <is>
          <t>fmcg</t>
        </is>
      </c>
      <c r="D336" s="30" t="inlineStr">
        <is>
          <t>solvent extraction</t>
        </is>
      </c>
      <c r="E336" s="30" t="inlineStr">
        <is>
          <t>smallcap</t>
        </is>
      </c>
      <c r="F336" s="30" t="n">
        <v>1094.31</v>
      </c>
      <c r="G336" s="30" t="n">
        <v>71.5</v>
      </c>
      <c r="H336" s="30" t="n">
        <v>-0.5</v>
      </c>
      <c r="I336" s="30" t="n">
        <v>46521</v>
      </c>
      <c r="J336" s="30" t="inlineStr">
        <is>
          <t>519105</t>
        </is>
      </c>
    </row>
    <row r="337">
      <c r="A337" s="30" t="inlineStr">
        <is>
          <t>UJJIVANSFB</t>
        </is>
      </c>
      <c r="B337" s="30" t="inlineStr">
        <is>
          <t>Ujjivan Small Finance Bank Ltd</t>
        </is>
      </c>
      <c r="C337" s="30" t="inlineStr">
        <is>
          <t>bank</t>
        </is>
      </c>
      <c r="D337" s="30" t="inlineStr">
        <is>
          <t>banks - private sector</t>
        </is>
      </c>
      <c r="E337" s="30" t="inlineStr">
        <is>
          <t>midcap</t>
        </is>
      </c>
      <c r="F337" s="30" t="n">
        <v>13638.19</v>
      </c>
      <c r="G337" s="30" t="n">
        <v>69.76000000000001</v>
      </c>
      <c r="H337" s="30" t="n">
        <v>-0.5</v>
      </c>
      <c r="I337" s="30" t="n">
        <v>6802846</v>
      </c>
      <c r="J337" s="30" t="inlineStr">
        <is>
          <t>542904</t>
        </is>
      </c>
    </row>
    <row r="338">
      <c r="A338" s="30" t="inlineStr">
        <is>
          <t>HINDALCO</t>
        </is>
      </c>
      <c r="B338" s="30" t="inlineStr">
        <is>
          <t>Hindalco Industries Limited</t>
        </is>
      </c>
      <c r="C338" s="30" t="inlineStr">
        <is>
          <t>metals &amp; mining</t>
        </is>
      </c>
      <c r="D338" s="30" t="inlineStr">
        <is>
          <t>aluminium and aluminium products</t>
        </is>
      </c>
      <c r="E338" s="30" t="inlineStr">
        <is>
          <t>largecap</t>
        </is>
      </c>
      <c r="F338" s="30" t="n">
        <v>238116.12</v>
      </c>
      <c r="G338" s="30" t="n">
        <v>1054.05</v>
      </c>
      <c r="H338" s="30" t="n">
        <v>-0.52</v>
      </c>
      <c r="I338" s="30" t="n">
        <v>13974490</v>
      </c>
      <c r="J338" s="30" t="inlineStr">
        <is>
          <t>500440</t>
        </is>
      </c>
    </row>
    <row r="339">
      <c r="A339" s="30" t="inlineStr">
        <is>
          <t>ULTRACEMCO</t>
        </is>
      </c>
      <c r="B339" s="30" t="inlineStr">
        <is>
          <t>Ultratech Cement Limited</t>
        </is>
      </c>
      <c r="C339" s="30" t="inlineStr">
        <is>
          <t>building materials</t>
        </is>
      </c>
      <c r="D339" s="30" t="inlineStr">
        <is>
          <t>cement - north india</t>
        </is>
      </c>
      <c r="E339" s="30" t="inlineStr">
        <is>
          <t>largecap</t>
        </is>
      </c>
      <c r="F339" s="30" t="n">
        <v>356709.14</v>
      </c>
      <c r="G339" s="30" t="n">
        <v>12038</v>
      </c>
      <c r="H339" s="30" t="n">
        <v>-0.55</v>
      </c>
      <c r="I339" s="30" t="n">
        <v>272336</v>
      </c>
      <c r="J339" s="30" t="inlineStr">
        <is>
          <t>532538</t>
        </is>
      </c>
    </row>
    <row r="340">
      <c r="A340" s="30" t="inlineStr">
        <is>
          <t>EICHERMOT</t>
        </is>
      </c>
      <c r="B340" s="30" t="inlineStr">
        <is>
          <t>Eicher Motors Limited</t>
        </is>
      </c>
      <c r="C340" s="30" t="inlineStr">
        <is>
          <t>auto</t>
        </is>
      </c>
      <c r="D340" s="30" t="inlineStr">
        <is>
          <t>automobiles - motorcycles / mopeds</t>
        </is>
      </c>
      <c r="E340" s="30" t="inlineStr">
        <is>
          <t>largecap</t>
        </is>
      </c>
      <c r="F340" s="30" t="n">
        <v>220147.02</v>
      </c>
      <c r="G340" s="30" t="n">
        <v>7975</v>
      </c>
      <c r="H340" s="30" t="n">
        <v>-0.5600000000000001</v>
      </c>
      <c r="I340" s="30" t="n">
        <v>733152</v>
      </c>
      <c r="J340" s="30" t="inlineStr">
        <is>
          <t>505200</t>
        </is>
      </c>
    </row>
    <row r="341">
      <c r="A341" s="30" t="inlineStr">
        <is>
          <t>OCCLLTD</t>
        </is>
      </c>
      <c r="B341" s="30" t="inlineStr">
        <is>
          <t>OCCL Ltd</t>
        </is>
      </c>
      <c r="C341" s="30" t="inlineStr">
        <is>
          <t>chemicals</t>
        </is>
      </c>
      <c r="D341" s="30" t="inlineStr">
        <is>
          <t>chemicals</t>
        </is>
      </c>
      <c r="E341" s="30" t="inlineStr">
        <is>
          <t>smallcap</t>
        </is>
      </c>
      <c r="F341" s="30" t="n">
        <v>784.67</v>
      </c>
      <c r="G341" s="30" t="n">
        <v>156.19</v>
      </c>
      <c r="H341" s="30" t="n">
        <v>-0.57</v>
      </c>
      <c r="I341" s="30" t="n">
        <v>67672</v>
      </c>
      <c r="J341" s="30" t="inlineStr">
        <is>
          <t>544278</t>
        </is>
      </c>
    </row>
    <row r="342">
      <c r="A342" s="30" t="inlineStr">
        <is>
          <t>VENKEYS</t>
        </is>
      </c>
      <c r="B342" s="30" t="inlineStr">
        <is>
          <t>Venky's (india) Limited</t>
        </is>
      </c>
      <c r="C342" s="30" t="inlineStr">
        <is>
          <t>fmcg</t>
        </is>
      </c>
      <c r="D342" s="30" t="inlineStr">
        <is>
          <t>miscellaneous</t>
        </is>
      </c>
      <c r="E342" s="30" t="inlineStr">
        <is>
          <t>smallcap</t>
        </is>
      </c>
      <c r="F342" s="30" t="n">
        <v>2216.5</v>
      </c>
      <c r="G342" s="30" t="n">
        <v>1564</v>
      </c>
      <c r="H342" s="30" t="n">
        <v>-0.6</v>
      </c>
      <c r="I342" s="30" t="n">
        <v>43689</v>
      </c>
      <c r="J342" s="30" t="inlineStr">
        <is>
          <t>523261</t>
        </is>
      </c>
    </row>
    <row r="343">
      <c r="A343" s="30" t="inlineStr">
        <is>
          <t>RITES</t>
        </is>
      </c>
      <c r="B343" s="30" t="inlineStr">
        <is>
          <t>Rites Ltd</t>
        </is>
      </c>
      <c r="C343" s="30" t="inlineStr">
        <is>
          <t>miscellaneous</t>
        </is>
      </c>
      <c r="D343" s="30" t="inlineStr">
        <is>
          <t>miscellaneous</t>
        </is>
      </c>
      <c r="E343" s="30" t="inlineStr">
        <is>
          <t>midcap</t>
        </is>
      </c>
      <c r="F343" s="30" t="n">
        <v>11257.66</v>
      </c>
      <c r="G343" s="30" t="n">
        <v>232.84</v>
      </c>
      <c r="H343" s="30" t="n">
        <v>-0.6</v>
      </c>
      <c r="I343" s="30" t="n">
        <v>730305</v>
      </c>
      <c r="J343" s="30" t="inlineStr">
        <is>
          <t>541556</t>
        </is>
      </c>
    </row>
    <row r="344">
      <c r="A344" s="30" t="inlineStr">
        <is>
          <t>AUROPHARMA</t>
        </is>
      </c>
      <c r="B344" s="30" t="inlineStr">
        <is>
          <t>Aurobindo Pharma Limited</t>
        </is>
      </c>
      <c r="C344" s="30" t="inlineStr">
        <is>
          <t>healthcare</t>
        </is>
      </c>
      <c r="D344" s="30" t="inlineStr">
        <is>
          <t>pharmaceuticals - indian - bulk drugs &amp; formln</t>
        </is>
      </c>
      <c r="E344" s="30" t="inlineStr">
        <is>
          <t>largecap</t>
        </is>
      </c>
      <c r="F344" s="30" t="n">
        <v>95397.66</v>
      </c>
      <c r="G344" s="30" t="n">
        <v>1648</v>
      </c>
      <c r="H344" s="30" t="n">
        <v>-0.6</v>
      </c>
      <c r="I344" s="30" t="n">
        <v>2318162</v>
      </c>
      <c r="J344" s="30" t="inlineStr">
        <is>
          <t>524804</t>
        </is>
      </c>
    </row>
    <row r="345">
      <c r="A345" s="30" t="inlineStr">
        <is>
          <t>GHCLTEXTIL</t>
        </is>
      </c>
      <c r="B345" s="30" t="inlineStr">
        <is>
          <t>GHCL Textiles Ltd</t>
        </is>
      </c>
      <c r="C345" s="30" t="inlineStr">
        <is>
          <t>textiles</t>
        </is>
      </c>
      <c r="D345" s="30" t="inlineStr">
        <is>
          <t>textiles - spinning - synthetic / blended</t>
        </is>
      </c>
      <c r="E345" s="30" t="inlineStr">
        <is>
          <t>smallcap</t>
        </is>
      </c>
      <c r="F345" s="30" t="n">
        <v>1162.23</v>
      </c>
      <c r="G345" s="30" t="n">
        <v>120.86</v>
      </c>
      <c r="H345" s="30" t="n">
        <v>-0.6</v>
      </c>
      <c r="I345" s="30" t="n">
        <v>471392</v>
      </c>
      <c r="J345" s="30" t="inlineStr">
        <is>
          <t>543918</t>
        </is>
      </c>
    </row>
    <row r="346">
      <c r="A346" s="30" t="inlineStr">
        <is>
          <t>INDIANB</t>
        </is>
      </c>
      <c r="B346" s="30" t="inlineStr">
        <is>
          <t>Indian Bank Ltd</t>
        </is>
      </c>
      <c r="C346" s="30" t="inlineStr">
        <is>
          <t>bank</t>
        </is>
      </c>
      <c r="D346" s="30" t="inlineStr">
        <is>
          <t>banks - public sector</t>
        </is>
      </c>
      <c r="E346" s="30" t="inlineStr">
        <is>
          <t>largecap</t>
        </is>
      </c>
      <c r="F346" s="30" t="n">
        <v>119812.45</v>
      </c>
      <c r="G346" s="30" t="n">
        <v>884.15</v>
      </c>
      <c r="H346" s="30" t="n">
        <v>-0.6</v>
      </c>
      <c r="I346" s="30" t="n">
        <v>5179088</v>
      </c>
      <c r="J346" s="30" t="inlineStr">
        <is>
          <t>532814</t>
        </is>
      </c>
    </row>
    <row r="347">
      <c r="A347" s="30" t="inlineStr">
        <is>
          <t>SIEMENS</t>
        </is>
      </c>
      <c r="B347" s="30" t="inlineStr">
        <is>
          <t>Siemens Limited</t>
        </is>
      </c>
      <c r="C347" s="30" t="inlineStr">
        <is>
          <t>industrials</t>
        </is>
      </c>
      <c r="D347" s="30" t="inlineStr">
        <is>
          <t>electric equipment</t>
        </is>
      </c>
      <c r="E347" s="30" t="inlineStr">
        <is>
          <t>largecap</t>
        </is>
      </c>
      <c r="F347" s="30" t="n">
        <v>140315.04</v>
      </c>
      <c r="G347" s="30" t="n">
        <v>3914.3</v>
      </c>
      <c r="H347" s="30" t="n">
        <v>-0.65</v>
      </c>
      <c r="I347" s="30" t="n">
        <v>519989</v>
      </c>
      <c r="J347" s="30" t="inlineStr">
        <is>
          <t>500550</t>
        </is>
      </c>
    </row>
    <row r="348">
      <c r="A348" s="30" t="inlineStr">
        <is>
          <t>TIIL</t>
        </is>
      </c>
      <c r="B348" s="30" t="inlineStr">
        <is>
          <t>Technocraft Industries (india) Limited</t>
        </is>
      </c>
      <c r="C348" s="30" t="inlineStr">
        <is>
          <t>metals &amp; mining</t>
        </is>
      </c>
      <c r="D348" s="30" t="inlineStr">
        <is>
          <t>steel - medium / small</t>
        </is>
      </c>
      <c r="E348" s="30" t="inlineStr">
        <is>
          <t>midcap</t>
        </is>
      </c>
      <c r="F348" s="30" t="n">
        <v>6106.92</v>
      </c>
      <c r="G348" s="30" t="n">
        <v>2675.3</v>
      </c>
      <c r="H348" s="30" t="n">
        <v>-0.68</v>
      </c>
      <c r="I348" s="30" t="n">
        <v>11079</v>
      </c>
      <c r="J348" s="30" t="inlineStr">
        <is>
          <t>532804</t>
        </is>
      </c>
    </row>
    <row r="349">
      <c r="A349" s="30" t="inlineStr">
        <is>
          <t>SONACOMS</t>
        </is>
      </c>
      <c r="B349" s="30" t="inlineStr">
        <is>
          <t>Sona BLW Precision Forgings Ltd</t>
        </is>
      </c>
      <c r="C349" s="30" t="inlineStr">
        <is>
          <t>auto</t>
        </is>
      </c>
      <c r="D349" s="30" t="inlineStr">
        <is>
          <t>auto ancillaries</t>
        </is>
      </c>
      <c r="E349" s="30" t="inlineStr">
        <is>
          <t>largecap</t>
        </is>
      </c>
      <c r="F349" s="30" t="n">
        <v>50885.56</v>
      </c>
      <c r="G349" s="30" t="n">
        <v>812.5</v>
      </c>
      <c r="H349" s="30" t="n">
        <v>-0.68</v>
      </c>
      <c r="I349" s="30" t="n">
        <v>4808692</v>
      </c>
      <c r="J349" s="30" t="inlineStr">
        <is>
          <t>543300</t>
        </is>
      </c>
    </row>
    <row r="350">
      <c r="A350" s="30" t="inlineStr">
        <is>
          <t>PRICOLLTD</t>
        </is>
      </c>
      <c r="B350" s="30" t="inlineStr">
        <is>
          <t>Pricol Ltd.</t>
        </is>
      </c>
      <c r="C350" s="30" t="inlineStr">
        <is>
          <t>auto</t>
        </is>
      </c>
      <c r="D350" s="30" t="inlineStr">
        <is>
          <t>auto ancillaries</t>
        </is>
      </c>
      <c r="E350" s="30" t="inlineStr">
        <is>
          <t>midcap</t>
        </is>
      </c>
      <c r="F350" s="30" t="n">
        <v>8993.639999999999</v>
      </c>
      <c r="G350" s="30" t="n">
        <v>732.8</v>
      </c>
      <c r="H350" s="30" t="n">
        <v>-0.6899999999999999</v>
      </c>
      <c r="I350" s="30" t="n">
        <v>579652</v>
      </c>
      <c r="J350" s="30" t="inlineStr">
        <is>
          <t>540293</t>
        </is>
      </c>
    </row>
    <row r="351">
      <c r="A351" s="30" t="inlineStr">
        <is>
          <t>POONAWALLA</t>
        </is>
      </c>
      <c r="B351" s="30" t="inlineStr">
        <is>
          <t>Poonawalla Fincorp Ltd</t>
        </is>
      </c>
      <c r="C351" s="30" t="inlineStr">
        <is>
          <t>financials</t>
        </is>
      </c>
      <c r="D351" s="30" t="inlineStr">
        <is>
          <t>finance &amp; investments</t>
        </is>
      </c>
      <c r="E351" s="30" t="inlineStr">
        <is>
          <t>largecap</t>
        </is>
      </c>
      <c r="F351" s="30" t="n">
        <v>42268.34</v>
      </c>
      <c r="G351" s="30" t="n">
        <v>476.7</v>
      </c>
      <c r="H351" s="30" t="n">
        <v>-0.7</v>
      </c>
      <c r="I351" s="30" t="n">
        <v>1283245</v>
      </c>
      <c r="J351" s="30" t="inlineStr">
        <is>
          <t>524000</t>
        </is>
      </c>
    </row>
    <row r="352">
      <c r="A352" s="30" t="inlineStr">
        <is>
          <t>NETWEB</t>
        </is>
      </c>
      <c r="B352" s="30" t="inlineStr">
        <is>
          <t>Netweb Technologies India Ltd</t>
        </is>
      </c>
      <c r="C352" s="30" t="inlineStr">
        <is>
          <t>i.t</t>
        </is>
      </c>
      <c r="D352" s="30" t="inlineStr">
        <is>
          <t>computers - hardware</t>
        </is>
      </c>
      <c r="E352" s="30" t="inlineStr">
        <is>
          <t>largecap</t>
        </is>
      </c>
      <c r="F352" s="30" t="n">
        <v>28124.14</v>
      </c>
      <c r="G352" s="30" t="n">
        <v>4903</v>
      </c>
      <c r="H352" s="30" t="n">
        <v>-0.73</v>
      </c>
      <c r="I352" s="30" t="n">
        <v>1210498</v>
      </c>
      <c r="J352" s="30" t="inlineStr">
        <is>
          <t>543945</t>
        </is>
      </c>
    </row>
    <row r="353">
      <c r="A353" s="30" t="inlineStr">
        <is>
          <t>NESTLEIND</t>
        </is>
      </c>
      <c r="B353" s="30" t="inlineStr">
        <is>
          <t>Nestle India Limited</t>
        </is>
      </c>
      <c r="C353" s="30" t="inlineStr">
        <is>
          <t>fmcg</t>
        </is>
      </c>
      <c r="D353" s="30" t="inlineStr">
        <is>
          <t>food - processing - mnc</t>
        </is>
      </c>
      <c r="E353" s="30" t="inlineStr">
        <is>
          <t>largecap</t>
        </is>
      </c>
      <c r="F353" s="30" t="n">
        <v>296960.41</v>
      </c>
      <c r="G353" s="30" t="n">
        <v>1528.6</v>
      </c>
      <c r="H353" s="30" t="n">
        <v>-0.74</v>
      </c>
      <c r="I353" s="30" t="n">
        <v>2745463</v>
      </c>
      <c r="J353" s="30" t="inlineStr">
        <is>
          <t>500790</t>
        </is>
      </c>
    </row>
    <row r="354">
      <c r="A354" s="30" t="inlineStr">
        <is>
          <t>FLUOROCHEM</t>
        </is>
      </c>
      <c r="B354" s="30" t="inlineStr">
        <is>
          <t>Gujarat Fluorochemicals Ltd</t>
        </is>
      </c>
      <c r="C354" s="30" t="inlineStr">
        <is>
          <t>chemicals</t>
        </is>
      </c>
      <c r="D354" s="30" t="inlineStr">
        <is>
          <t>chemicals</t>
        </is>
      </c>
      <c r="E354" s="30" t="inlineStr">
        <is>
          <t>largecap</t>
        </is>
      </c>
      <c r="F354" s="30" t="n">
        <v>49631.33</v>
      </c>
      <c r="G354" s="30" t="n">
        <v>4484</v>
      </c>
      <c r="H354" s="30" t="n">
        <v>-0.75</v>
      </c>
      <c r="I354" s="30" t="n">
        <v>61603</v>
      </c>
      <c r="J354" s="30" t="inlineStr">
        <is>
          <t>542812</t>
        </is>
      </c>
    </row>
    <row r="355">
      <c r="A355" s="30" t="inlineStr">
        <is>
          <t>MAMATA</t>
        </is>
      </c>
      <c r="B355" s="30" t="inlineStr">
        <is>
          <t>Mamata Machinery Ltd</t>
        </is>
      </c>
      <c r="C355" s="30" t="inlineStr">
        <is>
          <t>industrials</t>
        </is>
      </c>
      <c r="D355" s="30" t="inlineStr">
        <is>
          <t>engineering</t>
        </is>
      </c>
      <c r="E355" s="30" t="inlineStr">
        <is>
          <t>smallcap</t>
        </is>
      </c>
      <c r="F355" s="30" t="n">
        <v>1053.71</v>
      </c>
      <c r="G355" s="30" t="n">
        <v>425</v>
      </c>
      <c r="H355" s="30" t="n">
        <v>-0.75</v>
      </c>
      <c r="I355" s="30" t="n">
        <v>67290</v>
      </c>
      <c r="J355" s="30" t="inlineStr">
        <is>
          <t>544318</t>
        </is>
      </c>
    </row>
    <row r="356">
      <c r="A356" s="30" t="inlineStr">
        <is>
          <t>GOKULAGRO</t>
        </is>
      </c>
      <c r="B356" s="30" t="inlineStr">
        <is>
          <t>Gokul Agro Resources Limited</t>
        </is>
      </c>
      <c r="C356" s="30" t="inlineStr">
        <is>
          <t>fmcg</t>
        </is>
      </c>
      <c r="D356" s="30" t="inlineStr">
        <is>
          <t>solvent extraction</t>
        </is>
      </c>
      <c r="E356" s="30" t="inlineStr">
        <is>
          <t>midcap</t>
        </is>
      </c>
      <c r="F356" s="30" t="n">
        <v>6751.58</v>
      </c>
      <c r="G356" s="30" t="n">
        <v>227.06</v>
      </c>
      <c r="H356" s="30" t="n">
        <v>-0.76</v>
      </c>
      <c r="I356" s="30" t="n">
        <v>206402</v>
      </c>
      <c r="J356" s="30" t="inlineStr">
        <is>
          <t>539725</t>
        </is>
      </c>
    </row>
    <row r="357">
      <c r="A357" s="30" t="inlineStr">
        <is>
          <t>GULFOILLUB</t>
        </is>
      </c>
      <c r="B357" s="30" t="inlineStr">
        <is>
          <t>Gulf Oil Lubricants India Limited</t>
        </is>
      </c>
      <c r="C357" s="30" t="inlineStr">
        <is>
          <t>chemicals</t>
        </is>
      </c>
      <c r="D357" s="30" t="inlineStr">
        <is>
          <t>chemicals</t>
        </is>
      </c>
      <c r="E357" s="30" t="inlineStr">
        <is>
          <t>midcap</t>
        </is>
      </c>
      <c r="F357" s="30" t="n">
        <v>5890.02</v>
      </c>
      <c r="G357" s="30" t="n">
        <v>1180</v>
      </c>
      <c r="H357" s="30" t="n">
        <v>-0.8</v>
      </c>
      <c r="I357" s="30" t="n">
        <v>52134</v>
      </c>
      <c r="J357" s="30" t="inlineStr">
        <is>
          <t>538567</t>
        </is>
      </c>
    </row>
    <row r="358">
      <c r="A358" s="30" t="inlineStr">
        <is>
          <t>RAMRAT</t>
        </is>
      </c>
      <c r="B358" s="30" t="inlineStr">
        <is>
          <t>Ram Ratna Wires Ltd</t>
        </is>
      </c>
      <c r="C358" s="30" t="inlineStr">
        <is>
          <t>metals &amp; mining</t>
        </is>
      </c>
      <c r="D358" s="30" t="inlineStr">
        <is>
          <t>mining / minerals / metals</t>
        </is>
      </c>
      <c r="E358" s="30" t="inlineStr">
        <is>
          <t>smallcap</t>
        </is>
      </c>
      <c r="F358" s="30" t="n">
        <v>4308.99</v>
      </c>
      <c r="G358" s="30" t="n">
        <v>457.8</v>
      </c>
      <c r="H358" s="30" t="n">
        <v>-0.82</v>
      </c>
      <c r="I358" s="30" t="n">
        <v>119476</v>
      </c>
      <c r="J358" s="30" t="inlineStr">
        <is>
          <t>522281</t>
        </is>
      </c>
    </row>
    <row r="359">
      <c r="A359" s="30" t="inlineStr">
        <is>
          <t>KILITCH</t>
        </is>
      </c>
      <c r="B359" s="30" t="inlineStr">
        <is>
          <t>Kilitch Drugs (india) Limited</t>
        </is>
      </c>
      <c r="C359" s="30" t="inlineStr">
        <is>
          <t>healthcare</t>
        </is>
      </c>
      <c r="D359" s="30" t="inlineStr">
        <is>
          <t>pharmaceuticals - indian - formulations</t>
        </is>
      </c>
      <c r="E359" s="30" t="inlineStr">
        <is>
          <t>smallcap</t>
        </is>
      </c>
      <c r="F359" s="30" t="n">
        <v>676.58</v>
      </c>
      <c r="G359" s="30" t="n">
        <v>191.9</v>
      </c>
      <c r="H359" s="30" t="n">
        <v>-0.84</v>
      </c>
      <c r="I359" s="30" t="n">
        <v>14308</v>
      </c>
      <c r="J359" s="30" t="inlineStr">
        <is>
          <t>524500</t>
        </is>
      </c>
    </row>
    <row r="360">
      <c r="A360" s="30" t="inlineStr">
        <is>
          <t>NILKAMAL</t>
        </is>
      </c>
      <c r="B360" s="30" t="inlineStr">
        <is>
          <t>Nilkamal Limited</t>
        </is>
      </c>
      <c r="C360" s="30" t="inlineStr">
        <is>
          <t>plastic products</t>
        </is>
      </c>
      <c r="D360" s="30" t="inlineStr">
        <is>
          <t>plastics products</t>
        </is>
      </c>
      <c r="E360" s="30" t="inlineStr">
        <is>
          <t>smallcap</t>
        </is>
      </c>
      <c r="F360" s="30" t="n">
        <v>2605.92</v>
      </c>
      <c r="G360" s="30" t="n">
        <v>1731.3</v>
      </c>
      <c r="H360" s="30" t="n">
        <v>-0.86</v>
      </c>
      <c r="I360" s="30" t="n">
        <v>26819</v>
      </c>
      <c r="J360" s="30" t="inlineStr">
        <is>
          <t>523385</t>
        </is>
      </c>
    </row>
    <row r="361">
      <c r="A361" s="30" t="inlineStr">
        <is>
          <t>IMFA</t>
        </is>
      </c>
      <c r="B361" s="30" t="inlineStr">
        <is>
          <t>Indian Metals &amp; Ferro Alloys Limited</t>
        </is>
      </c>
      <c r="C361" s="30" t="inlineStr">
        <is>
          <t>metals &amp; mining</t>
        </is>
      </c>
      <c r="D361" s="30" t="inlineStr">
        <is>
          <t>mining / minerals / metals</t>
        </is>
      </c>
      <c r="E361" s="30" t="inlineStr">
        <is>
          <t>midcap</t>
        </is>
      </c>
      <c r="F361" s="30" t="n">
        <v>7943.12</v>
      </c>
      <c r="G361" s="30" t="n">
        <v>1459.3</v>
      </c>
      <c r="H361" s="30" t="n">
        <v>-0.88</v>
      </c>
      <c r="I361" s="30" t="n">
        <v>136793</v>
      </c>
      <c r="J361" s="30" t="inlineStr">
        <is>
          <t>533047</t>
        </is>
      </c>
    </row>
    <row r="362">
      <c r="A362" s="30" t="inlineStr">
        <is>
          <t>MARKSANS</t>
        </is>
      </c>
      <c r="B362" s="30" t="inlineStr">
        <is>
          <t>Marksans Pharma Limited</t>
        </is>
      </c>
      <c r="C362" s="30" t="inlineStr">
        <is>
          <t>healthcare</t>
        </is>
      </c>
      <c r="D362" s="30" t="inlineStr">
        <is>
          <t>pharmaceuticals - indian - formulations</t>
        </is>
      </c>
      <c r="E362" s="30" t="inlineStr">
        <is>
          <t>midcap</t>
        </is>
      </c>
      <c r="F362" s="30" t="n">
        <v>12409.89</v>
      </c>
      <c r="G362" s="30" t="n">
        <v>271.45</v>
      </c>
      <c r="H362" s="30" t="n">
        <v>-0.88</v>
      </c>
      <c r="I362" s="30" t="n">
        <v>675836</v>
      </c>
      <c r="J362" s="30" t="inlineStr">
        <is>
          <t>524404</t>
        </is>
      </c>
    </row>
    <row r="363">
      <c r="A363" s="30" t="inlineStr">
        <is>
          <t>NAVINFLUOR</t>
        </is>
      </c>
      <c r="B363" s="30" t="inlineStr">
        <is>
          <t>Navin Fluorine International Limited</t>
        </is>
      </c>
      <c r="C363" s="30" t="inlineStr">
        <is>
          <t>chemicals</t>
        </is>
      </c>
      <c r="D363" s="30" t="inlineStr">
        <is>
          <t>chemicals</t>
        </is>
      </c>
      <c r="E363" s="30" t="inlineStr">
        <is>
          <t>largecap</t>
        </is>
      </c>
      <c r="F363" s="30" t="n">
        <v>42422.92</v>
      </c>
      <c r="G363" s="30" t="n">
        <v>8196.5</v>
      </c>
      <c r="H363" s="30" t="n">
        <v>-0.9</v>
      </c>
      <c r="I363" s="30" t="n">
        <v>190608</v>
      </c>
      <c r="J363" s="30" t="inlineStr">
        <is>
          <t>532504</t>
        </is>
      </c>
    </row>
    <row r="364">
      <c r="A364" s="30" t="inlineStr">
        <is>
          <t>ROLEXRINGS</t>
        </is>
      </c>
      <c r="B364" s="30" t="inlineStr">
        <is>
          <t>Rolex Rings Ltd</t>
        </is>
      </c>
      <c r="C364" s="30" t="inlineStr">
        <is>
          <t>auto</t>
        </is>
      </c>
      <c r="D364" s="30" t="inlineStr">
        <is>
          <t>auto ancillaries</t>
        </is>
      </c>
      <c r="E364" s="30" t="inlineStr">
        <is>
          <t>smallcap</t>
        </is>
      </c>
      <c r="F364" s="30" t="n">
        <v>4266.92</v>
      </c>
      <c r="G364" s="30" t="n">
        <v>155.26</v>
      </c>
      <c r="H364" s="30" t="n">
        <v>-0.91</v>
      </c>
      <c r="I364" s="30" t="n">
        <v>2002562</v>
      </c>
      <c r="J364" s="30" t="inlineStr">
        <is>
          <t>543325</t>
        </is>
      </c>
    </row>
    <row r="365">
      <c r="A365" s="30" t="inlineStr">
        <is>
          <t>OAL</t>
        </is>
      </c>
      <c r="B365" s="30" t="inlineStr">
        <is>
          <t>Oriental Aromatics Ltd</t>
        </is>
      </c>
      <c r="C365" s="30" t="inlineStr">
        <is>
          <t>chemicals</t>
        </is>
      </c>
      <c r="D365" s="30" t="inlineStr">
        <is>
          <t>chemicals</t>
        </is>
      </c>
      <c r="E365" s="30" t="inlineStr">
        <is>
          <t>smallcap</t>
        </is>
      </c>
      <c r="F365" s="30" t="n">
        <v>1273.79</v>
      </c>
      <c r="G365" s="30" t="n">
        <v>375</v>
      </c>
      <c r="H365" s="30" t="n">
        <v>-0.92</v>
      </c>
      <c r="I365" s="30" t="n">
        <v>24911</v>
      </c>
      <c r="J365" s="30" t="inlineStr">
        <is>
          <t>500078</t>
        </is>
      </c>
    </row>
    <row r="366">
      <c r="A366" s="30" t="inlineStr">
        <is>
          <t>EXIDEIND</t>
        </is>
      </c>
      <c r="B366" s="30" t="inlineStr">
        <is>
          <t>Exide Industries Limited</t>
        </is>
      </c>
      <c r="C366" s="30" t="inlineStr">
        <is>
          <t>auto</t>
        </is>
      </c>
      <c r="D366" s="30" t="inlineStr">
        <is>
          <t>auto ancillaries</t>
        </is>
      </c>
      <c r="E366" s="30" t="inlineStr">
        <is>
          <t>largecap</t>
        </is>
      </c>
      <c r="F366" s="30" t="n">
        <v>41650</v>
      </c>
      <c r="G366" s="30" t="n">
        <v>485.4</v>
      </c>
      <c r="H366" s="30" t="n">
        <v>-0.9399999999999999</v>
      </c>
      <c r="I366" s="30" t="n">
        <v>3228040</v>
      </c>
      <c r="J366" s="30" t="inlineStr">
        <is>
          <t>500086</t>
        </is>
      </c>
    </row>
    <row r="367">
      <c r="A367" s="30" t="inlineStr">
        <is>
          <t>DEEPAKNTR</t>
        </is>
      </c>
      <c r="B367" s="30" t="inlineStr">
        <is>
          <t>Deepak Nitrite Limited</t>
        </is>
      </c>
      <c r="C367" s="30" t="inlineStr">
        <is>
          <t>chemicals</t>
        </is>
      </c>
      <c r="D367" s="30" t="inlineStr">
        <is>
          <t>chemicals</t>
        </is>
      </c>
      <c r="E367" s="30" t="inlineStr">
        <is>
          <t>largecap</t>
        </is>
      </c>
      <c r="F367" s="30" t="n">
        <v>24503.01</v>
      </c>
      <c r="G367" s="30" t="n">
        <v>1779.2</v>
      </c>
      <c r="H367" s="30" t="n">
        <v>-0.96</v>
      </c>
      <c r="I367" s="30" t="n">
        <v>924478</v>
      </c>
      <c r="J367" s="30" t="inlineStr">
        <is>
          <t>506401</t>
        </is>
      </c>
    </row>
    <row r="368">
      <c r="A368" s="30" t="inlineStr">
        <is>
          <t>DIACABS</t>
        </is>
      </c>
      <c r="B368" s="30" t="inlineStr">
        <is>
          <t>Diamond Power Infrastructure Ltd</t>
        </is>
      </c>
      <c r="C368" s="30" t="inlineStr">
        <is>
          <t>industrials</t>
        </is>
      </c>
      <c r="D368" s="30" t="inlineStr">
        <is>
          <t>cables - power</t>
        </is>
      </c>
      <c r="E368" s="30" t="inlineStr">
        <is>
          <t>midcap</t>
        </is>
      </c>
      <c r="F368" s="30" t="n">
        <v>19184.38</v>
      </c>
      <c r="G368" s="30" t="n">
        <v>360.5</v>
      </c>
      <c r="H368" s="30" t="n">
        <v>-0.98</v>
      </c>
      <c r="I368" s="30" t="n">
        <v>2040917</v>
      </c>
      <c r="J368" s="30" t="inlineStr">
        <is>
          <t>522163</t>
        </is>
      </c>
    </row>
    <row r="369">
      <c r="A369" s="30" t="inlineStr">
        <is>
          <t>KALYANKJIL</t>
        </is>
      </c>
      <c r="B369" s="30" t="inlineStr">
        <is>
          <t>Kalyan Jewellers India Ltd</t>
        </is>
      </c>
      <c r="C369" s="30" t="inlineStr">
        <is>
          <t>consumer discretionary</t>
        </is>
      </c>
      <c r="D369" s="30" t="inlineStr">
        <is>
          <t>diamond cutting / jewellery</t>
        </is>
      </c>
      <c r="E369" s="30" t="inlineStr">
        <is>
          <t>largecap</t>
        </is>
      </c>
      <c r="F369" s="30" t="n">
        <v>62615.04</v>
      </c>
      <c r="G369" s="30" t="n">
        <v>600.25</v>
      </c>
      <c r="H369" s="30" t="n">
        <v>-1</v>
      </c>
      <c r="I369" s="30" t="n">
        <v>29410446</v>
      </c>
      <c r="J369" s="30" t="inlineStr">
        <is>
          <t>543278</t>
        </is>
      </c>
    </row>
    <row r="370">
      <c r="A370" s="30" t="inlineStr">
        <is>
          <t>ATHERENERG</t>
        </is>
      </c>
      <c r="B370" s="30" t="inlineStr">
        <is>
          <t>Ather Energy Ltd</t>
        </is>
      </c>
      <c r="C370" s="30" t="inlineStr">
        <is>
          <t>auto</t>
        </is>
      </c>
      <c r="D370" s="30" t="inlineStr">
        <is>
          <t>automobiles - scooters and 3 - wheelers</t>
        </is>
      </c>
      <c r="E370" s="30" t="inlineStr">
        <is>
          <t>largecap</t>
        </is>
      </c>
      <c r="F370" s="30" t="n">
        <v>58389.66</v>
      </c>
      <c r="G370" s="30" t="n">
        <v>1466.2</v>
      </c>
      <c r="H370" s="30" t="n">
        <v>-1.03</v>
      </c>
      <c r="I370" s="30" t="n">
        <v>3972989</v>
      </c>
      <c r="J370" s="30" t="inlineStr">
        <is>
          <t>544397</t>
        </is>
      </c>
    </row>
    <row r="371">
      <c r="A371" s="30" t="inlineStr">
        <is>
          <t>ESAFSFB</t>
        </is>
      </c>
      <c r="B371" s="30" t="inlineStr">
        <is>
          <t>ESAF Small Finance Bank Ltd</t>
        </is>
      </c>
      <c r="C371" s="30" t="inlineStr">
        <is>
          <t>bank</t>
        </is>
      </c>
      <c r="D371" s="30" t="inlineStr">
        <is>
          <t>banks - private sector</t>
        </is>
      </c>
      <c r="E371" s="30" t="inlineStr">
        <is>
          <t>smallcap</t>
        </is>
      </c>
      <c r="F371" s="30" t="n">
        <v>2077.74</v>
      </c>
      <c r="G371" s="30" t="n">
        <v>39.85</v>
      </c>
      <c r="H371" s="30" t="n">
        <v>-1.04</v>
      </c>
      <c r="I371" s="30" t="n">
        <v>2058165</v>
      </c>
      <c r="J371" s="30" t="inlineStr">
        <is>
          <t>544020</t>
        </is>
      </c>
    </row>
    <row r="372">
      <c r="A372" s="30" t="inlineStr">
        <is>
          <t>PVRINOX</t>
        </is>
      </c>
      <c r="B372" s="30" t="inlineStr">
        <is>
          <t>PVR Inox Ltd</t>
        </is>
      </c>
      <c r="C372" s="30" t="inlineStr">
        <is>
          <t>media</t>
        </is>
      </c>
      <c r="D372" s="30" t="inlineStr">
        <is>
          <t>entertainment / electronic media software</t>
        </is>
      </c>
      <c r="E372" s="30" t="inlineStr">
        <is>
          <t>midcap</t>
        </is>
      </c>
      <c r="F372" s="30" t="n">
        <v>11351.92</v>
      </c>
      <c r="G372" s="30" t="n">
        <v>1144</v>
      </c>
      <c r="H372" s="30" t="n">
        <v>-1.04</v>
      </c>
      <c r="I372" s="30" t="n">
        <v>325441</v>
      </c>
      <c r="J372" s="30" t="inlineStr">
        <is>
          <t>532689</t>
        </is>
      </c>
    </row>
    <row r="373">
      <c r="A373" s="30" t="inlineStr">
        <is>
          <t>APARINDS</t>
        </is>
      </c>
      <c r="B373" s="30" t="inlineStr">
        <is>
          <t>Apar Industries Limited</t>
        </is>
      </c>
      <c r="C373" s="30" t="inlineStr">
        <is>
          <t>industrials</t>
        </is>
      </c>
      <c r="D373" s="30" t="inlineStr">
        <is>
          <t>electric equipment</t>
        </is>
      </c>
      <c r="E373" s="30" t="inlineStr">
        <is>
          <t>largecap</t>
        </is>
      </c>
      <c r="F373" s="30" t="n">
        <v>66813.77</v>
      </c>
      <c r="G373" s="30" t="n">
        <v>16448</v>
      </c>
      <c r="H373" s="30" t="n">
        <v>-1.1</v>
      </c>
      <c r="I373" s="30" t="n">
        <v>171685</v>
      </c>
      <c r="J373" s="30" t="inlineStr">
        <is>
          <t>532259</t>
        </is>
      </c>
    </row>
    <row r="374">
      <c r="A374" s="30" t="inlineStr">
        <is>
          <t>CARERATING</t>
        </is>
      </c>
      <c r="B374" s="30" t="inlineStr">
        <is>
          <t>CARE Ratings Ltd</t>
        </is>
      </c>
      <c r="C374" s="30" t="inlineStr">
        <is>
          <t>financials</t>
        </is>
      </c>
      <c r="D374" s="30" t="inlineStr">
        <is>
          <t>miscellaneous</t>
        </is>
      </c>
      <c r="E374" s="30" t="inlineStr">
        <is>
          <t>midcap</t>
        </is>
      </c>
      <c r="F374" s="30" t="n">
        <v>5258.17</v>
      </c>
      <c r="G374" s="30" t="n">
        <v>1729.9</v>
      </c>
      <c r="H374" s="30" t="n">
        <v>-1.1</v>
      </c>
      <c r="I374" s="30" t="n">
        <v>64118</v>
      </c>
      <c r="J374" s="30" t="inlineStr">
        <is>
          <t>534804</t>
        </is>
      </c>
    </row>
    <row r="375">
      <c r="A375" s="30" t="inlineStr">
        <is>
          <t>LTFOODS</t>
        </is>
      </c>
      <c r="B375" s="30" t="inlineStr">
        <is>
          <t>L T Foods Ltd</t>
        </is>
      </c>
      <c r="C375" s="30" t="inlineStr">
        <is>
          <t>fmcg</t>
        </is>
      </c>
      <c r="D375" s="30" t="inlineStr">
        <is>
          <t>food - processing - indian</t>
        </is>
      </c>
      <c r="E375" s="30" t="inlineStr">
        <is>
          <t>midcap</t>
        </is>
      </c>
      <c r="F375" s="30" t="n">
        <v>14846.8</v>
      </c>
      <c r="G375" s="30" t="n">
        <v>422.75</v>
      </c>
      <c r="H375" s="30" t="n">
        <v>-1.12</v>
      </c>
      <c r="I375" s="30" t="n">
        <v>246076</v>
      </c>
      <c r="J375" s="30" t="inlineStr">
        <is>
          <t>532783</t>
        </is>
      </c>
    </row>
    <row r="376">
      <c r="A376" s="30" t="inlineStr">
        <is>
          <t>PNB</t>
        </is>
      </c>
      <c r="B376" s="30" t="inlineStr">
        <is>
          <t>Punjab National Bank Ltd</t>
        </is>
      </c>
      <c r="C376" s="30" t="inlineStr">
        <is>
          <t>bank</t>
        </is>
      </c>
      <c r="D376" s="30" t="inlineStr">
        <is>
          <t>banks - public sector</t>
        </is>
      </c>
      <c r="E376" s="30" t="inlineStr">
        <is>
          <t>largecap</t>
        </is>
      </c>
      <c r="F376" s="30" t="n">
        <v>131950.48</v>
      </c>
      <c r="G376" s="30" t="n">
        <v>113.5</v>
      </c>
      <c r="H376" s="30" t="n">
        <v>-1.14</v>
      </c>
      <c r="I376" s="30" t="n">
        <v>21833390</v>
      </c>
      <c r="J376" s="30" t="inlineStr">
        <is>
          <t>532461</t>
        </is>
      </c>
    </row>
    <row r="377">
      <c r="A377" s="30" t="inlineStr">
        <is>
          <t>LLOYDSENT</t>
        </is>
      </c>
      <c r="B377" s="30" t="inlineStr">
        <is>
          <t>Lloyds Enterprises Ltd</t>
        </is>
      </c>
      <c r="C377" s="30" t="inlineStr">
        <is>
          <t>services</t>
        </is>
      </c>
      <c r="D377" s="30" t="inlineStr">
        <is>
          <t>trading</t>
        </is>
      </c>
      <c r="E377" s="30" t="inlineStr">
        <is>
          <t>midcap</t>
        </is>
      </c>
      <c r="F377" s="30" t="n">
        <v>12746.71</v>
      </c>
      <c r="G377" s="30" t="n">
        <v>82.55</v>
      </c>
      <c r="H377" s="30" t="n">
        <v>-1.14</v>
      </c>
      <c r="I377" s="30" t="n">
        <v>4935008</v>
      </c>
      <c r="J377" s="30" t="inlineStr">
        <is>
          <t>512463</t>
        </is>
      </c>
    </row>
    <row r="378">
      <c r="A378" s="30" t="inlineStr">
        <is>
          <t>UFBL</t>
        </is>
      </c>
      <c r="B378" s="30" t="inlineStr">
        <is>
          <t>United Foodbrands Ltd</t>
        </is>
      </c>
      <c r="C378" s="30" t="inlineStr">
        <is>
          <t>consumer discretionary</t>
        </is>
      </c>
      <c r="D378" s="30" t="inlineStr">
        <is>
          <t>hotels</t>
        </is>
      </c>
      <c r="E378" s="30" t="inlineStr">
        <is>
          <t>smallcap</t>
        </is>
      </c>
      <c r="F378" s="30" t="n">
        <v>3156.62</v>
      </c>
      <c r="G378" s="30" t="n">
        <v>798.1</v>
      </c>
      <c r="H378" s="30" t="n">
        <v>-1.18</v>
      </c>
      <c r="I378" s="30" t="n">
        <v>196394</v>
      </c>
      <c r="J378" s="30" t="inlineStr">
        <is>
          <t>543283</t>
        </is>
      </c>
    </row>
    <row r="379">
      <c r="A379" s="30" t="inlineStr">
        <is>
          <t>VIYASH</t>
        </is>
      </c>
      <c r="B379" s="30" t="inlineStr">
        <is>
          <t>Viyash Scientific Ltd</t>
        </is>
      </c>
      <c r="C379" s="30" t="inlineStr">
        <is>
          <t>healthcare</t>
        </is>
      </c>
      <c r="D379" s="30" t="inlineStr">
        <is>
          <t>pharmaceuticals - indian - bulk drugs &amp; formln</t>
        </is>
      </c>
      <c r="E379" s="30" t="inlineStr">
        <is>
          <t>midcap</t>
        </is>
      </c>
      <c r="F379" s="30" t="n">
        <v>12101.45</v>
      </c>
      <c r="G379" s="30" t="n">
        <v>273.65</v>
      </c>
      <c r="H379" s="30" t="n">
        <v>-1.21</v>
      </c>
      <c r="I379" s="30" t="n">
        <v>1999611</v>
      </c>
      <c r="J379" s="30" t="inlineStr">
        <is>
          <t>512529</t>
        </is>
      </c>
    </row>
    <row r="380">
      <c r="A380" s="30" t="inlineStr">
        <is>
          <t>RAINBOW</t>
        </is>
      </c>
      <c r="B380" s="30" t="inlineStr">
        <is>
          <t>Rainbow Childrens Medicare Ltd</t>
        </is>
      </c>
      <c r="C380" s="30" t="inlineStr">
        <is>
          <t>healthcare</t>
        </is>
      </c>
      <c r="D380" s="30" t="inlineStr">
        <is>
          <t>healthcare</t>
        </is>
      </c>
      <c r="E380" s="30" t="inlineStr">
        <is>
          <t>midcap</t>
        </is>
      </c>
      <c r="F380" s="30" t="n">
        <v>15809.71</v>
      </c>
      <c r="G380" s="30" t="n">
        <v>1536.7</v>
      </c>
      <c r="H380" s="30" t="n">
        <v>-1.28</v>
      </c>
      <c r="I380" s="30" t="n">
        <v>79401</v>
      </c>
      <c r="J380" s="30" t="inlineStr">
        <is>
          <t>543524</t>
        </is>
      </c>
    </row>
    <row r="381">
      <c r="A381" s="30" t="inlineStr">
        <is>
          <t>HINDZINC</t>
        </is>
      </c>
      <c r="B381" s="30" t="inlineStr">
        <is>
          <t>Hindustan Zinc Limited</t>
        </is>
      </c>
      <c r="C381" s="30" t="inlineStr">
        <is>
          <t>metals &amp; mining</t>
        </is>
      </c>
      <c r="D381" s="30" t="inlineStr">
        <is>
          <t>mining / minerals / metals</t>
        </is>
      </c>
      <c r="E381" s="30" t="inlineStr">
        <is>
          <t>largecap</t>
        </is>
      </c>
      <c r="F381" s="30" t="n">
        <v>254786.74</v>
      </c>
      <c r="G381" s="30" t="n">
        <v>595.15</v>
      </c>
      <c r="H381" s="30" t="n">
        <v>-1.3</v>
      </c>
      <c r="I381" s="30" t="n">
        <v>10192877</v>
      </c>
      <c r="J381" s="30" t="inlineStr">
        <is>
          <t>500188</t>
        </is>
      </c>
    </row>
    <row r="382">
      <c r="A382" s="30" t="inlineStr">
        <is>
          <t>HIRECT</t>
        </is>
      </c>
      <c r="B382" s="30" t="inlineStr">
        <is>
          <t>Hind Rectifiers Limited</t>
        </is>
      </c>
      <c r="C382" s="30" t="inlineStr">
        <is>
          <t>consumer discretionary</t>
        </is>
      </c>
      <c r="D382" s="30" t="inlineStr">
        <is>
          <t>electronics - components</t>
        </is>
      </c>
      <c r="E382" s="30" t="inlineStr">
        <is>
          <t>smallcap</t>
        </is>
      </c>
      <c r="F382" s="30" t="n">
        <v>4645.79</v>
      </c>
      <c r="G382" s="30" t="n">
        <v>1293</v>
      </c>
      <c r="H382" s="30" t="n">
        <v>-1.31</v>
      </c>
      <c r="I382" s="30" t="n">
        <v>64040</v>
      </c>
      <c r="J382" s="30" t="inlineStr">
        <is>
          <t>504036</t>
        </is>
      </c>
    </row>
    <row r="383">
      <c r="A383" s="30" t="inlineStr">
        <is>
          <t>SANSERA</t>
        </is>
      </c>
      <c r="B383" s="30" t="inlineStr">
        <is>
          <t>Sansera Engineering Ltd</t>
        </is>
      </c>
      <c r="C383" s="30" t="inlineStr">
        <is>
          <t>auto</t>
        </is>
      </c>
      <c r="D383" s="30" t="inlineStr">
        <is>
          <t>auto ancillaries</t>
        </is>
      </c>
      <c r="E383" s="30" t="inlineStr">
        <is>
          <t>largecap</t>
        </is>
      </c>
      <c r="F383" s="30" t="n">
        <v>24111.49</v>
      </c>
      <c r="G383" s="30" t="n">
        <v>3812.4</v>
      </c>
      <c r="H383" s="30" t="n">
        <v>-1.33</v>
      </c>
      <c r="I383" s="30" t="n">
        <v>194946</v>
      </c>
      <c r="J383" s="30" t="inlineStr">
        <is>
          <t>543358</t>
        </is>
      </c>
    </row>
    <row r="384">
      <c r="A384" s="30" t="inlineStr">
        <is>
          <t>SCPL</t>
        </is>
      </c>
      <c r="B384" s="30" t="inlineStr">
        <is>
          <t>Sheetal Cool Products Ltd</t>
        </is>
      </c>
      <c r="C384" s="30" t="inlineStr">
        <is>
          <t>fmcg</t>
        </is>
      </c>
      <c r="D384" s="30" t="inlineStr">
        <is>
          <t>food - processing - indian</t>
        </is>
      </c>
      <c r="E384" s="30" t="inlineStr">
        <is>
          <t>smallcap</t>
        </is>
      </c>
      <c r="F384" s="30" t="n">
        <v>671.9</v>
      </c>
      <c r="G384" s="30" t="n">
        <v>631.35</v>
      </c>
      <c r="H384" s="30" t="n">
        <v>-1.34</v>
      </c>
      <c r="I384" s="30" t="n">
        <v>133705</v>
      </c>
      <c r="J384" s="30" t="inlineStr">
        <is>
          <t>540757</t>
        </is>
      </c>
    </row>
    <row r="385">
      <c r="A385" s="30" t="inlineStr">
        <is>
          <t>UNIONBANK</t>
        </is>
      </c>
      <c r="B385" s="30" t="inlineStr">
        <is>
          <t>Union Bank Of India Ltd</t>
        </is>
      </c>
      <c r="C385" s="30" t="inlineStr">
        <is>
          <t>bank</t>
        </is>
      </c>
      <c r="D385" s="30" t="inlineStr">
        <is>
          <t>banks - public sector</t>
        </is>
      </c>
      <c r="E385" s="30" t="inlineStr">
        <is>
          <t>largecap</t>
        </is>
      </c>
      <c r="F385" s="30" t="n">
        <v>140153</v>
      </c>
      <c r="G385" s="30" t="n">
        <v>181.14</v>
      </c>
      <c r="H385" s="30" t="n">
        <v>-1.34</v>
      </c>
      <c r="I385" s="30" t="n">
        <v>17642755</v>
      </c>
      <c r="J385" s="30" t="inlineStr">
        <is>
          <t>532477</t>
        </is>
      </c>
    </row>
    <row r="386">
      <c r="A386" s="30" t="inlineStr">
        <is>
          <t>MOREPENLAB</t>
        </is>
      </c>
      <c r="B386" s="30" t="inlineStr">
        <is>
          <t>Morepen Laboratories Limited</t>
        </is>
      </c>
      <c r="C386" s="30" t="inlineStr">
        <is>
          <t>healthcare</t>
        </is>
      </c>
      <c r="D386" s="30" t="inlineStr">
        <is>
          <t>pharmaceuticals - indian - bulk drugs &amp; formln</t>
        </is>
      </c>
      <c r="E386" s="30" t="inlineStr">
        <is>
          <t>smallcap</t>
        </is>
      </c>
      <c r="F386" s="30" t="n">
        <v>4397.33</v>
      </c>
      <c r="G386" s="30" t="n">
        <v>79.16</v>
      </c>
      <c r="H386" s="30" t="n">
        <v>-1.36</v>
      </c>
      <c r="I386" s="30" t="n">
        <v>15288954</v>
      </c>
      <c r="J386" s="30" t="inlineStr">
        <is>
          <t>500288</t>
        </is>
      </c>
    </row>
    <row r="387">
      <c r="A387" s="30" t="inlineStr">
        <is>
          <t>AIIL</t>
        </is>
      </c>
      <c r="B387" s="30" t="inlineStr">
        <is>
          <t>Authum Investment &amp; Infrastructure Ltd</t>
        </is>
      </c>
      <c r="C387" s="30" t="inlineStr">
        <is>
          <t>financials</t>
        </is>
      </c>
      <c r="D387" s="30" t="inlineStr">
        <is>
          <t>finance &amp; investments</t>
        </is>
      </c>
      <c r="E387" s="30" t="inlineStr">
        <is>
          <t>largecap</t>
        </is>
      </c>
      <c r="F387" s="30" t="n">
        <v>50664.79</v>
      </c>
      <c r="G387" s="30" t="n">
        <v>588.45</v>
      </c>
      <c r="H387" s="30" t="n">
        <v>-1.37</v>
      </c>
      <c r="I387" s="30" t="n">
        <v>184819</v>
      </c>
      <c r="J387" s="30" t="inlineStr">
        <is>
          <t>539177</t>
        </is>
      </c>
    </row>
    <row r="388">
      <c r="A388" s="30" t="inlineStr">
        <is>
          <t>ASIANENE</t>
        </is>
      </c>
      <c r="B388" s="30" t="inlineStr">
        <is>
          <t>Asian Energy Services Ltd</t>
        </is>
      </c>
      <c r="C388" s="30" t="inlineStr">
        <is>
          <t>energy</t>
        </is>
      </c>
      <c r="D388" s="30" t="inlineStr">
        <is>
          <t>oil drilling / allied services</t>
        </is>
      </c>
      <c r="E388" s="30" t="inlineStr">
        <is>
          <t>smallcap</t>
        </is>
      </c>
      <c r="F388" s="30" t="n">
        <v>1986.76</v>
      </c>
      <c r="G388" s="30" t="n">
        <v>402.7</v>
      </c>
      <c r="H388" s="30" t="n">
        <v>-1.43</v>
      </c>
      <c r="I388" s="30" t="n">
        <v>225813</v>
      </c>
      <c r="J388" s="30" t="inlineStr">
        <is>
          <t>530355</t>
        </is>
      </c>
    </row>
    <row r="389">
      <c r="A389" s="30" t="inlineStr">
        <is>
          <t>PGIL</t>
        </is>
      </c>
      <c r="B389" s="30" t="inlineStr">
        <is>
          <t>Pearl Global Industries Limited</t>
        </is>
      </c>
      <c r="C389" s="30" t="inlineStr">
        <is>
          <t>consumer discretionary</t>
        </is>
      </c>
      <c r="D389" s="30" t="inlineStr">
        <is>
          <t>textiles - products</t>
        </is>
      </c>
      <c r="E389" s="30" t="inlineStr">
        <is>
          <t>midcap</t>
        </is>
      </c>
      <c r="F389" s="30" t="n">
        <v>11380.23</v>
      </c>
      <c r="G389" s="30" t="n">
        <v>2428.9</v>
      </c>
      <c r="H389" s="30" t="n">
        <v>-1.43</v>
      </c>
      <c r="I389" s="30" t="n">
        <v>144312</v>
      </c>
      <c r="J389" s="30" t="inlineStr">
        <is>
          <t>532808</t>
        </is>
      </c>
    </row>
    <row r="390">
      <c r="A390" s="30" t="inlineStr">
        <is>
          <t>BASF</t>
        </is>
      </c>
      <c r="B390" s="30" t="inlineStr">
        <is>
          <t>Basf India Limited</t>
        </is>
      </c>
      <c r="C390" s="30" t="inlineStr">
        <is>
          <t>chemicals</t>
        </is>
      </c>
      <c r="D390" s="30" t="inlineStr">
        <is>
          <t>chemicals</t>
        </is>
      </c>
      <c r="E390" s="30" t="inlineStr">
        <is>
          <t>midcap</t>
        </is>
      </c>
      <c r="F390" s="30" t="n">
        <v>17708.16</v>
      </c>
      <c r="G390" s="30" t="n">
        <v>4031.6</v>
      </c>
      <c r="H390" s="30" t="n">
        <v>-1.45</v>
      </c>
      <c r="I390" s="30" t="n">
        <v>43471</v>
      </c>
      <c r="J390" s="30" t="inlineStr">
        <is>
          <t>500042</t>
        </is>
      </c>
    </row>
    <row r="391">
      <c r="A391" s="30" t="inlineStr">
        <is>
          <t>BIL</t>
        </is>
      </c>
      <c r="B391" s="30" t="inlineStr">
        <is>
          <t>Bhartiya International Limited</t>
        </is>
      </c>
      <c r="C391" s="30" t="inlineStr">
        <is>
          <t>consumer discretionary</t>
        </is>
      </c>
      <c r="D391" s="30" t="inlineStr">
        <is>
          <t>leather / leather products</t>
        </is>
      </c>
      <c r="E391" s="30" t="inlineStr">
        <is>
          <t>smallcap</t>
        </is>
      </c>
      <c r="F391" s="30" t="n">
        <v>1113.53</v>
      </c>
      <c r="G391" s="30" t="n">
        <v>818.25</v>
      </c>
      <c r="H391" s="30" t="n">
        <v>-1.46</v>
      </c>
      <c r="I391" s="30" t="n">
        <v>4417</v>
      </c>
      <c r="J391" s="30" t="inlineStr">
        <is>
          <t>526666</t>
        </is>
      </c>
    </row>
    <row r="392">
      <c r="A392" s="30" t="inlineStr">
        <is>
          <t>ETERNAL</t>
        </is>
      </c>
      <c r="B392" s="30" t="inlineStr">
        <is>
          <t>Eternal Ltd</t>
        </is>
      </c>
      <c r="C392" s="30" t="inlineStr">
        <is>
          <t>i.t</t>
        </is>
      </c>
      <c r="D392" s="30" t="inlineStr">
        <is>
          <t>miscellaneous</t>
        </is>
      </c>
      <c r="E392" s="30" t="inlineStr">
        <is>
          <t>largecap</t>
        </is>
      </c>
      <c r="F392" s="30" t="n">
        <v>303986.05</v>
      </c>
      <c r="G392" s="30" t="n">
        <v>310.25</v>
      </c>
      <c r="H392" s="30" t="n">
        <v>-1.51</v>
      </c>
      <c r="I392" s="30" t="n">
        <v>32586416</v>
      </c>
      <c r="J392" s="30" t="inlineStr">
        <is>
          <t>543320</t>
        </is>
      </c>
    </row>
    <row r="393">
      <c r="A393" s="30" t="inlineStr">
        <is>
          <t>IDEAFORGE</t>
        </is>
      </c>
      <c r="B393" s="30" t="inlineStr">
        <is>
          <t>Ideaforge Technology Ltd</t>
        </is>
      </c>
      <c r="C393" s="30" t="inlineStr">
        <is>
          <t>aerospace &amp; defence</t>
        </is>
      </c>
      <c r="D393" s="30" t="inlineStr">
        <is>
          <t>engineering</t>
        </is>
      </c>
      <c r="E393" s="30" t="inlineStr">
        <is>
          <t>smallcap</t>
        </is>
      </c>
      <c r="F393" s="30" t="n">
        <v>4529.59</v>
      </c>
      <c r="G393" s="30" t="n">
        <v>897.75</v>
      </c>
      <c r="H393" s="30" t="n">
        <v>-1.52</v>
      </c>
      <c r="I393" s="30" t="n">
        <v>248499</v>
      </c>
      <c r="J393" s="30" t="inlineStr">
        <is>
          <t>543932</t>
        </is>
      </c>
    </row>
    <row r="394">
      <c r="A394" s="30" t="inlineStr">
        <is>
          <t>KTKBANK</t>
        </is>
      </c>
      <c r="B394" s="30" t="inlineStr">
        <is>
          <t>The Karnataka Bank Limited</t>
        </is>
      </c>
      <c r="C394" s="30" t="inlineStr">
        <is>
          <t>bank</t>
        </is>
      </c>
      <c r="D394" s="30" t="inlineStr">
        <is>
          <t>banks - private sector</t>
        </is>
      </c>
      <c r="E394" s="30" t="inlineStr">
        <is>
          <t>midcap</t>
        </is>
      </c>
      <c r="F394" s="30" t="n">
        <v>11724.3</v>
      </c>
      <c r="G394" s="30" t="n">
        <v>305.25</v>
      </c>
      <c r="H394" s="30" t="n">
        <v>-1.53</v>
      </c>
      <c r="I394" s="30" t="n">
        <v>1598287</v>
      </c>
      <c r="J394" s="30" t="inlineStr">
        <is>
          <t>532652</t>
        </is>
      </c>
    </row>
    <row r="395">
      <c r="A395" s="30" t="inlineStr">
        <is>
          <t>TTKHLTCARE</t>
        </is>
      </c>
      <c r="B395" s="30" t="inlineStr">
        <is>
          <t>Ttk Healthcare Limited</t>
        </is>
      </c>
      <c r="C395" s="30" t="inlineStr">
        <is>
          <t>miscellaneous</t>
        </is>
      </c>
      <c r="D395" s="30" t="inlineStr">
        <is>
          <t>diversified - medium / small</t>
        </is>
      </c>
      <c r="E395" s="30" t="inlineStr">
        <is>
          <t>smallcap</t>
        </is>
      </c>
      <c r="F395" s="30" t="n">
        <v>1532.86</v>
      </c>
      <c r="G395" s="30" t="n">
        <v>1068</v>
      </c>
      <c r="H395" s="30" t="n">
        <v>-1.55</v>
      </c>
      <c r="I395" s="30" t="n">
        <v>19169</v>
      </c>
      <c r="J395" s="30" t="inlineStr">
        <is>
          <t>507747</t>
        </is>
      </c>
    </row>
    <row r="396">
      <c r="A396" s="30" t="inlineStr">
        <is>
          <t>FIEMIND</t>
        </is>
      </c>
      <c r="B396" s="30" t="inlineStr">
        <is>
          <t>Fiem Industries Limited</t>
        </is>
      </c>
      <c r="C396" s="30" t="inlineStr">
        <is>
          <t>auto</t>
        </is>
      </c>
      <c r="D396" s="30" t="inlineStr">
        <is>
          <t>auto ancillaries</t>
        </is>
      </c>
      <c r="E396" s="30" t="inlineStr">
        <is>
          <t>midcap</t>
        </is>
      </c>
      <c r="F396" s="30" t="n">
        <v>6791.26</v>
      </c>
      <c r="G396" s="30" t="n">
        <v>2539.3</v>
      </c>
      <c r="H396" s="30" t="n">
        <v>-1.59</v>
      </c>
      <c r="I396" s="30" t="n">
        <v>111928</v>
      </c>
      <c r="J396" s="30" t="inlineStr">
        <is>
          <t>532768</t>
        </is>
      </c>
    </row>
    <row r="397">
      <c r="A397" s="30" t="inlineStr">
        <is>
          <t>LLOYDSENGG</t>
        </is>
      </c>
      <c r="B397" s="30" t="inlineStr">
        <is>
          <t>Lloyds Engineering Works Ltd</t>
        </is>
      </c>
      <c r="C397" s="30" t="inlineStr">
        <is>
          <t>industrials</t>
        </is>
      </c>
      <c r="D397" s="30" t="inlineStr">
        <is>
          <t>engineering</t>
        </is>
      </c>
      <c r="E397" s="30" t="inlineStr">
        <is>
          <t>midcap</t>
        </is>
      </c>
      <c r="F397" s="30" t="n">
        <v>14341.11</v>
      </c>
      <c r="G397" s="30" t="n">
        <v>95.33</v>
      </c>
      <c r="H397" s="30" t="n">
        <v>-1.6</v>
      </c>
      <c r="I397" s="30" t="n">
        <v>20290842</v>
      </c>
      <c r="J397" s="30" t="inlineStr">
        <is>
          <t>539992</t>
        </is>
      </c>
    </row>
    <row r="398">
      <c r="A398" s="30" t="inlineStr">
        <is>
          <t>TNPL</t>
        </is>
      </c>
      <c r="B398" s="30" t="inlineStr">
        <is>
          <t>Tamil Nadu Newsprint &amp; Papers Limited</t>
        </is>
      </c>
      <c r="C398" s="30" t="inlineStr">
        <is>
          <t>building materials</t>
        </is>
      </c>
      <c r="D398" s="30" t="inlineStr">
        <is>
          <t>paper</t>
        </is>
      </c>
      <c r="E398" s="30" t="inlineStr">
        <is>
          <t>smallcap</t>
        </is>
      </c>
      <c r="F398" s="30" t="n">
        <v>1083.84</v>
      </c>
      <c r="G398" s="30" t="n">
        <v>153.88</v>
      </c>
      <c r="H398" s="30" t="n">
        <v>-1.74</v>
      </c>
      <c r="I398" s="30" t="n">
        <v>115261</v>
      </c>
      <c r="J398" s="30" t="inlineStr">
        <is>
          <t>531426</t>
        </is>
      </c>
    </row>
    <row r="399">
      <c r="A399" s="30" t="inlineStr">
        <is>
          <t>ARVIND</t>
        </is>
      </c>
      <c r="B399" s="30" t="inlineStr">
        <is>
          <t>Arvind Limited</t>
        </is>
      </c>
      <c r="C399" s="30" t="inlineStr">
        <is>
          <t>textiles</t>
        </is>
      </c>
      <c r="D399" s="30" t="inlineStr">
        <is>
          <t>textiles - cotton/blended</t>
        </is>
      </c>
      <c r="E399" s="30" t="inlineStr">
        <is>
          <t>midcap</t>
        </is>
      </c>
      <c r="F399" s="30" t="n">
        <v>14694.24</v>
      </c>
      <c r="G399" s="30" t="n">
        <v>550.65</v>
      </c>
      <c r="H399" s="30" t="n">
        <v>-1.77</v>
      </c>
      <c r="I399" s="30" t="n">
        <v>672363</v>
      </c>
      <c r="J399" s="30" t="inlineStr">
        <is>
          <t>500101</t>
        </is>
      </c>
    </row>
    <row r="400">
      <c r="A400" s="30" t="inlineStr">
        <is>
          <t>DIAMONDYD</t>
        </is>
      </c>
      <c r="B400" s="30" t="inlineStr">
        <is>
          <t>Prataap Snacks Ltd</t>
        </is>
      </c>
      <c r="C400" s="30" t="inlineStr">
        <is>
          <t>fmcg</t>
        </is>
      </c>
      <c r="D400" s="30" t="inlineStr">
        <is>
          <t>food - processing - indian</t>
        </is>
      </c>
      <c r="E400" s="30" t="inlineStr">
        <is>
          <t>smallcap</t>
        </is>
      </c>
      <c r="F400" s="30" t="n">
        <v>2934.78</v>
      </c>
      <c r="G400" s="30" t="n">
        <v>1205</v>
      </c>
      <c r="H400" s="30" t="n">
        <v>-1.83</v>
      </c>
      <c r="I400" s="30" t="n">
        <v>56047</v>
      </c>
      <c r="J400" s="30" t="inlineStr">
        <is>
          <t>540724</t>
        </is>
      </c>
    </row>
    <row r="401">
      <c r="A401" s="30" t="inlineStr">
        <is>
          <t>SANDHAR</t>
        </is>
      </c>
      <c r="B401" s="30" t="inlineStr">
        <is>
          <t>Sandhar Technologies Limited</t>
        </is>
      </c>
      <c r="C401" s="30" t="inlineStr">
        <is>
          <t>auto</t>
        </is>
      </c>
      <c r="D401" s="30" t="inlineStr">
        <is>
          <t>auto ancillaries</t>
        </is>
      </c>
      <c r="E401" s="30" t="inlineStr">
        <is>
          <t>smallcap</t>
        </is>
      </c>
      <c r="F401" s="30" t="n">
        <v>4012.61</v>
      </c>
      <c r="G401" s="30" t="n">
        <v>654.1</v>
      </c>
      <c r="H401" s="30" t="n">
        <v>-1.88</v>
      </c>
      <c r="I401" s="30" t="n">
        <v>291529</v>
      </c>
      <c r="J401" s="30" t="inlineStr">
        <is>
          <t>541163</t>
        </is>
      </c>
    </row>
    <row r="402">
      <c r="A402" s="30" t="inlineStr">
        <is>
          <t>IOLCP</t>
        </is>
      </c>
      <c r="B402" s="30" t="inlineStr">
        <is>
          <t>Iol Chemicals And Pharmaceuticals Limited</t>
        </is>
      </c>
      <c r="C402" s="30" t="inlineStr">
        <is>
          <t>healthcare</t>
        </is>
      </c>
      <c r="D402" s="30" t="inlineStr">
        <is>
          <t>pharmaceuticals - indian - bulk drugs &amp; formln</t>
        </is>
      </c>
      <c r="E402" s="30" t="inlineStr">
        <is>
          <t>smallcap</t>
        </is>
      </c>
      <c r="F402" s="30" t="n">
        <v>4926.86</v>
      </c>
      <c r="G402" s="30" t="n">
        <v>164.66</v>
      </c>
      <c r="H402" s="30" t="n">
        <v>-1.9</v>
      </c>
      <c r="I402" s="30" t="n">
        <v>15141043</v>
      </c>
      <c r="J402" s="30" t="inlineStr">
        <is>
          <t>524164</t>
        </is>
      </c>
    </row>
    <row r="403">
      <c r="A403" s="30" t="inlineStr">
        <is>
          <t>CRAFTSMAN</t>
        </is>
      </c>
      <c r="B403" s="30" t="inlineStr">
        <is>
          <t>Craftsman Automation Ltd</t>
        </is>
      </c>
      <c r="C403" s="30" t="inlineStr">
        <is>
          <t>auto</t>
        </is>
      </c>
      <c r="D403" s="30" t="inlineStr">
        <is>
          <t>auto ancillaries</t>
        </is>
      </c>
      <c r="E403" s="30" t="inlineStr">
        <is>
          <t>largecap</t>
        </is>
      </c>
      <c r="F403" s="30" t="n">
        <v>27417.69</v>
      </c>
      <c r="G403" s="30" t="n">
        <v>10282.5</v>
      </c>
      <c r="H403" s="30" t="n">
        <v>-1.91</v>
      </c>
      <c r="I403" s="30" t="n">
        <v>30985</v>
      </c>
      <c r="J403" s="30" t="inlineStr">
        <is>
          <t>543276</t>
        </is>
      </c>
    </row>
    <row r="404">
      <c r="A404" s="30" t="inlineStr">
        <is>
          <t>TFCILTD</t>
        </is>
      </c>
      <c r="B404" s="30" t="inlineStr">
        <is>
          <t>Tourism Finance Corporation Of India Limited</t>
        </is>
      </c>
      <c r="C404" s="30" t="inlineStr">
        <is>
          <t>financials</t>
        </is>
      </c>
      <c r="D404" s="30" t="inlineStr">
        <is>
          <t>finance - term-lending institutions</t>
        </is>
      </c>
      <c r="E404" s="30" t="inlineStr">
        <is>
          <t>midcap</t>
        </is>
      </c>
      <c r="F404" s="30" t="n">
        <v>5439.06</v>
      </c>
      <c r="G404" s="30" t="n">
        <v>115.22</v>
      </c>
      <c r="H404" s="30" t="n">
        <v>-1.92</v>
      </c>
      <c r="I404" s="30" t="n">
        <v>20454753</v>
      </c>
      <c r="J404" s="30" t="inlineStr">
        <is>
          <t>526650</t>
        </is>
      </c>
    </row>
    <row r="405">
      <c r="A405" s="30" t="inlineStr">
        <is>
          <t>TDPOWERSYS</t>
        </is>
      </c>
      <c r="B405" s="30" t="inlineStr">
        <is>
          <t>Td Power Systems Limited</t>
        </is>
      </c>
      <c r="C405" s="30" t="inlineStr">
        <is>
          <t>industrials</t>
        </is>
      </c>
      <c r="D405" s="30" t="inlineStr">
        <is>
          <t>electric equipment</t>
        </is>
      </c>
      <c r="E405" s="30" t="inlineStr">
        <is>
          <t>midcap</t>
        </is>
      </c>
      <c r="F405" s="30" t="n">
        <v>19698.84</v>
      </c>
      <c r="G405" s="30" t="n">
        <v>1236.4</v>
      </c>
      <c r="H405" s="30" t="n">
        <v>-1.94</v>
      </c>
      <c r="I405" s="30" t="n">
        <v>1054445</v>
      </c>
      <c r="J405" s="30" t="inlineStr">
        <is>
          <t>533553</t>
        </is>
      </c>
    </row>
    <row r="406">
      <c r="A406" s="30" t="inlineStr">
        <is>
          <t>VSSL</t>
        </is>
      </c>
      <c r="B406" s="30" t="inlineStr">
        <is>
          <t>Vardhman Special Steels Limited</t>
        </is>
      </c>
      <c r="C406" s="30" t="inlineStr">
        <is>
          <t>metals &amp; mining</t>
        </is>
      </c>
      <c r="D406" s="30" t="inlineStr">
        <is>
          <t>steel - medium / small</t>
        </is>
      </c>
      <c r="E406" s="30" t="inlineStr">
        <is>
          <t>smallcap</t>
        </is>
      </c>
      <c r="F406" s="30" t="n">
        <v>3305.2</v>
      </c>
      <c r="G406" s="30" t="n">
        <v>335.1</v>
      </c>
      <c r="H406" s="30" t="n">
        <v>-1.97</v>
      </c>
      <c r="I406" s="30" t="n">
        <v>232422</v>
      </c>
      <c r="J406" s="30" t="inlineStr">
        <is>
          <t>534392</t>
        </is>
      </c>
    </row>
    <row r="407">
      <c r="A407" s="30" t="inlineStr">
        <is>
          <t>ASHOKLEY</t>
        </is>
      </c>
      <c r="B407" s="30" t="inlineStr">
        <is>
          <t>Ashok Leyland Limited</t>
        </is>
      </c>
      <c r="C407" s="30" t="inlineStr">
        <is>
          <t>auto</t>
        </is>
      </c>
      <c r="D407" s="30" t="inlineStr">
        <is>
          <t>automobiles - lcvs / hcvs</t>
        </is>
      </c>
      <c r="E407" s="30" t="inlineStr">
        <is>
          <t>largecap</t>
        </is>
      </c>
      <c r="F407" s="30" t="n">
        <v>104260.92</v>
      </c>
      <c r="G407" s="30" t="n">
        <v>174</v>
      </c>
      <c r="H407" s="30" t="n">
        <v>-1.97</v>
      </c>
      <c r="I407" s="30" t="n">
        <v>28759093</v>
      </c>
      <c r="J407" s="30" t="inlineStr">
        <is>
          <t>500477</t>
        </is>
      </c>
    </row>
    <row r="408">
      <c r="A408" s="30" t="inlineStr">
        <is>
          <t>GABRIEL</t>
        </is>
      </c>
      <c r="B408" s="30" t="inlineStr">
        <is>
          <t>Gabriel India Limited</t>
        </is>
      </c>
      <c r="C408" s="30" t="inlineStr">
        <is>
          <t>auto</t>
        </is>
      </c>
      <c r="D408" s="30" t="inlineStr">
        <is>
          <t>auto ancillaries</t>
        </is>
      </c>
      <c r="E408" s="30" t="inlineStr">
        <is>
          <t>largecap</t>
        </is>
      </c>
      <c r="F408" s="30" t="n">
        <v>26580.96</v>
      </c>
      <c r="G408" s="30" t="n">
        <v>1469.8</v>
      </c>
      <c r="H408" s="30" t="n">
        <v>-2</v>
      </c>
      <c r="I408" s="30" t="n">
        <v>257361</v>
      </c>
      <c r="J408" s="30" t="inlineStr">
        <is>
          <t>505714</t>
        </is>
      </c>
    </row>
    <row r="409">
      <c r="A409" s="30" t="inlineStr">
        <is>
          <t>ARMANFIN</t>
        </is>
      </c>
      <c r="B409" s="30" t="inlineStr">
        <is>
          <t>Arman Financial Services Limited</t>
        </is>
      </c>
      <c r="C409" s="30" t="inlineStr">
        <is>
          <t>financials</t>
        </is>
      </c>
      <c r="D409" s="30" t="inlineStr">
        <is>
          <t>finance &amp; investments</t>
        </is>
      </c>
      <c r="E409" s="30" t="inlineStr">
        <is>
          <t>smallcap</t>
        </is>
      </c>
      <c r="F409" s="30" t="n">
        <v>2136.6</v>
      </c>
      <c r="G409" s="30" t="n">
        <v>1990</v>
      </c>
      <c r="H409" s="30" t="n">
        <v>-2.07</v>
      </c>
      <c r="I409" s="30" t="n">
        <v>76652</v>
      </c>
      <c r="J409" s="30" t="inlineStr">
        <is>
          <t>531179</t>
        </is>
      </c>
    </row>
    <row r="410">
      <c r="A410" s="30" t="inlineStr">
        <is>
          <t>IGPL</t>
        </is>
      </c>
      <c r="B410" s="30" t="inlineStr">
        <is>
          <t>Ig Petrochemicals Limited</t>
        </is>
      </c>
      <c r="C410" s="30" t="inlineStr">
        <is>
          <t>chemicals</t>
        </is>
      </c>
      <c r="D410" s="30" t="inlineStr">
        <is>
          <t>chemicals</t>
        </is>
      </c>
      <c r="E410" s="30" t="inlineStr">
        <is>
          <t>smallcap</t>
        </is>
      </c>
      <c r="F410" s="30" t="n">
        <v>1517.88</v>
      </c>
      <c r="G410" s="30" t="n">
        <v>482.6</v>
      </c>
      <c r="H410" s="30" t="n">
        <v>-2.09</v>
      </c>
      <c r="I410" s="30" t="n">
        <v>83369</v>
      </c>
      <c r="J410" s="30" t="inlineStr">
        <is>
          <t>500199</t>
        </is>
      </c>
    </row>
    <row r="411">
      <c r="A411" s="30" t="inlineStr">
        <is>
          <t>ARROWGREEN</t>
        </is>
      </c>
      <c r="B411" s="30" t="inlineStr">
        <is>
          <t>Arrow Greentech Limited</t>
        </is>
      </c>
      <c r="C411" s="30" t="inlineStr">
        <is>
          <t>plastic products</t>
        </is>
      </c>
      <c r="D411" s="30" t="inlineStr">
        <is>
          <t>plastics products</t>
        </is>
      </c>
      <c r="E411" s="30" t="inlineStr">
        <is>
          <t>smallcap</t>
        </is>
      </c>
      <c r="F411" s="30" t="n">
        <v>1178.97</v>
      </c>
      <c r="G411" s="30" t="n">
        <v>765</v>
      </c>
      <c r="H411" s="30" t="n">
        <v>-2.1</v>
      </c>
      <c r="I411" s="30" t="n">
        <v>24020</v>
      </c>
      <c r="J411" s="30" t="inlineStr">
        <is>
          <t>516064</t>
        </is>
      </c>
    </row>
    <row r="412">
      <c r="A412" s="30" t="inlineStr">
        <is>
          <t>AVALON</t>
        </is>
      </c>
      <c r="B412" s="30" t="inlineStr">
        <is>
          <t>Avalon Technologies Ltd</t>
        </is>
      </c>
      <c r="C412" s="30" t="inlineStr">
        <is>
          <t>consumer discretionary</t>
        </is>
      </c>
      <c r="D412" s="30" t="inlineStr">
        <is>
          <t>electronics - components</t>
        </is>
      </c>
      <c r="E412" s="30" t="inlineStr">
        <is>
          <t>midcap</t>
        </is>
      </c>
      <c r="F412" s="30" t="n">
        <v>13130.51</v>
      </c>
      <c r="G412" s="30" t="n">
        <v>1923.7</v>
      </c>
      <c r="H412" s="30" t="n">
        <v>-2.12</v>
      </c>
      <c r="I412" s="30" t="n">
        <v>622471</v>
      </c>
      <c r="J412" s="30" t="inlineStr">
        <is>
          <t>543896</t>
        </is>
      </c>
    </row>
    <row r="413">
      <c r="A413" s="30" t="inlineStr">
        <is>
          <t>WSTCSTPAPR</t>
        </is>
      </c>
      <c r="B413" s="30" t="inlineStr">
        <is>
          <t>West Coast Paper Mills Limited</t>
        </is>
      </c>
      <c r="C413" s="30" t="inlineStr">
        <is>
          <t>building materials</t>
        </is>
      </c>
      <c r="D413" s="30" t="inlineStr">
        <is>
          <t>paper</t>
        </is>
      </c>
      <c r="E413" s="30" t="inlineStr">
        <is>
          <t>smallcap</t>
        </is>
      </c>
      <c r="F413" s="30" t="n">
        <v>3956.99</v>
      </c>
      <c r="G413" s="30" t="n">
        <v>586.25</v>
      </c>
      <c r="H413" s="30" t="n">
        <v>-2.14</v>
      </c>
      <c r="I413" s="30" t="n">
        <v>116741</v>
      </c>
      <c r="J413" s="30" t="inlineStr">
        <is>
          <t>500444</t>
        </is>
      </c>
    </row>
    <row r="414">
      <c r="A414" s="30" t="inlineStr">
        <is>
          <t>SAKAR</t>
        </is>
      </c>
      <c r="B414" s="30" t="inlineStr">
        <is>
          <t>Sakar Healthcare Ltd</t>
        </is>
      </c>
      <c r="C414" s="30" t="inlineStr">
        <is>
          <t>healthcare</t>
        </is>
      </c>
      <c r="D414" s="30" t="inlineStr">
        <is>
          <t>pharmaceuticals - indian - bulk drugs &amp; formln</t>
        </is>
      </c>
      <c r="E414" s="30" t="inlineStr">
        <is>
          <t>smallcap</t>
        </is>
      </c>
      <c r="F414" s="30" t="n">
        <v>2057.34</v>
      </c>
      <c r="G414" s="30" t="n">
        <v>904.8</v>
      </c>
      <c r="H414" s="30" t="n">
        <v>-2.15</v>
      </c>
      <c r="I414" s="30" t="n">
        <v>158797</v>
      </c>
      <c r="J414" s="30" t="inlineStr">
        <is>
          <t>538377</t>
        </is>
      </c>
    </row>
    <row r="415">
      <c r="A415" s="30" t="inlineStr">
        <is>
          <t>SUNFLAG</t>
        </is>
      </c>
      <c r="B415" s="30" t="inlineStr">
        <is>
          <t>Sunflag Iron And Steel Company Limited</t>
        </is>
      </c>
      <c r="C415" s="30" t="inlineStr">
        <is>
          <t>metals &amp; mining</t>
        </is>
      </c>
      <c r="D415" s="30" t="inlineStr">
        <is>
          <t>steel - medium / small</t>
        </is>
      </c>
      <c r="E415" s="30" t="inlineStr">
        <is>
          <t>midcap</t>
        </is>
      </c>
      <c r="F415" s="30" t="n">
        <v>7017.75</v>
      </c>
      <c r="G415" s="30" t="n">
        <v>380.85</v>
      </c>
      <c r="H415" s="30" t="n">
        <v>-2.2</v>
      </c>
      <c r="I415" s="30" t="n">
        <v>199815</v>
      </c>
      <c r="J415" s="30" t="inlineStr">
        <is>
          <t>500404</t>
        </is>
      </c>
    </row>
    <row r="416">
      <c r="A416" s="30" t="inlineStr">
        <is>
          <t>TRAVELFOOD</t>
        </is>
      </c>
      <c r="B416" s="30" t="inlineStr">
        <is>
          <t>Travel Food Services Ltd</t>
        </is>
      </c>
      <c r="C416" s="30" t="inlineStr">
        <is>
          <t>consumer discretionary</t>
        </is>
      </c>
      <c r="D416" s="30" t="inlineStr">
        <is>
          <t>hotels</t>
        </is>
      </c>
      <c r="E416" s="30" t="inlineStr">
        <is>
          <t>midcap</t>
        </is>
      </c>
      <c r="F416" s="30" t="n">
        <v>18811.73</v>
      </c>
      <c r="G416" s="30" t="n">
        <v>1396.9</v>
      </c>
      <c r="H416" s="30" t="n">
        <v>-2.22</v>
      </c>
      <c r="I416" s="30" t="n">
        <v>92189</v>
      </c>
      <c r="J416" s="30" t="inlineStr">
        <is>
          <t>544443</t>
        </is>
      </c>
    </row>
    <row r="417">
      <c r="A417" s="30" t="inlineStr">
        <is>
          <t>DYNAMATECH</t>
        </is>
      </c>
      <c r="B417" s="30" t="inlineStr">
        <is>
          <t>Dynamatic Technologies Limited</t>
        </is>
      </c>
      <c r="C417" s="30" t="inlineStr">
        <is>
          <t>industrials</t>
        </is>
      </c>
      <c r="D417" s="30" t="inlineStr">
        <is>
          <t>engineering</t>
        </is>
      </c>
      <c r="E417" s="30" t="inlineStr">
        <is>
          <t>midcap</t>
        </is>
      </c>
      <c r="F417" s="30" t="n">
        <v>7742.92</v>
      </c>
      <c r="G417" s="30" t="n">
        <v>11148</v>
      </c>
      <c r="H417" s="30" t="n">
        <v>-2.22</v>
      </c>
      <c r="I417" s="30" t="n">
        <v>51887</v>
      </c>
      <c r="J417" s="30" t="inlineStr">
        <is>
          <t>505242</t>
        </is>
      </c>
    </row>
    <row r="418">
      <c r="A418" s="30" t="inlineStr">
        <is>
          <t>ENRIN</t>
        </is>
      </c>
      <c r="B418" s="30" t="inlineStr">
        <is>
          <t>Siemens Energy India Ltd</t>
        </is>
      </c>
      <c r="C418" s="30" t="inlineStr">
        <is>
          <t>power &amp; utilities</t>
        </is>
      </c>
      <c r="D418" s="30" t="inlineStr">
        <is>
          <t>power generation and supply</t>
        </is>
      </c>
      <c r="E418" s="30" t="inlineStr">
        <is>
          <t>largecap</t>
        </is>
      </c>
      <c r="F418" s="30" t="n">
        <v>129941.25</v>
      </c>
      <c r="G418" s="30" t="n">
        <v>3567.3</v>
      </c>
      <c r="H418" s="30" t="n">
        <v>-2.23</v>
      </c>
      <c r="I418" s="30" t="n">
        <v>1146677</v>
      </c>
      <c r="J418" s="30" t="n"/>
    </row>
    <row r="419">
      <c r="A419" s="30" t="inlineStr">
        <is>
          <t>BHARATSE</t>
        </is>
      </c>
      <c r="B419" s="30" t="inlineStr">
        <is>
          <t>Bharat Seats Ltd</t>
        </is>
      </c>
      <c r="C419" s="30" t="inlineStr">
        <is>
          <t>auto</t>
        </is>
      </c>
      <c r="D419" s="30" t="inlineStr">
        <is>
          <t>auto ancillaries</t>
        </is>
      </c>
      <c r="E419" s="30" t="inlineStr">
        <is>
          <t>smallcap</t>
        </is>
      </c>
      <c r="F419" s="30" t="n">
        <v>1512.79</v>
      </c>
      <c r="G419" s="30" t="n">
        <v>235.5</v>
      </c>
      <c r="H419" s="30" t="n">
        <v>-2.24</v>
      </c>
      <c r="I419" s="30" t="n">
        <v>296898</v>
      </c>
      <c r="J419" s="30" t="inlineStr">
        <is>
          <t>523229</t>
        </is>
      </c>
    </row>
    <row r="420">
      <c r="A420" s="30" t="inlineStr">
        <is>
          <t>GOCLCORP</t>
        </is>
      </c>
      <c r="B420" s="30" t="inlineStr">
        <is>
          <t>Gocl Corporation Limited</t>
        </is>
      </c>
      <c r="C420" s="30" t="inlineStr">
        <is>
          <t>miscellaneous</t>
        </is>
      </c>
      <c r="D420" s="30" t="inlineStr">
        <is>
          <t>diversified - medium / small</t>
        </is>
      </c>
      <c r="E420" s="30" t="inlineStr">
        <is>
          <t>smallcap</t>
        </is>
      </c>
      <c r="F420" s="30" t="n">
        <v>2172.51</v>
      </c>
      <c r="G420" s="30" t="n">
        <v>428.2</v>
      </c>
      <c r="H420" s="30" t="n">
        <v>-2.29</v>
      </c>
      <c r="I420" s="30" t="n">
        <v>106192</v>
      </c>
      <c r="J420" s="30" t="inlineStr">
        <is>
          <t>506480</t>
        </is>
      </c>
    </row>
    <row r="421">
      <c r="A421" s="30" t="inlineStr">
        <is>
          <t>MPSLTD</t>
        </is>
      </c>
      <c r="B421" s="30" t="inlineStr">
        <is>
          <t>Mps Limited</t>
        </is>
      </c>
      <c r="C421" s="30" t="inlineStr">
        <is>
          <t>i.t</t>
        </is>
      </c>
      <c r="D421" s="30" t="inlineStr">
        <is>
          <t>computers - software - medium / small</t>
        </is>
      </c>
      <c r="E421" s="30" t="inlineStr">
        <is>
          <t>midcap</t>
        </is>
      </c>
      <c r="F421" s="30" t="n">
        <v>5014.06</v>
      </c>
      <c r="G421" s="30" t="n">
        <v>2864</v>
      </c>
      <c r="H421" s="30" t="n">
        <v>-2.29</v>
      </c>
      <c r="I421" s="30" t="n">
        <v>55546</v>
      </c>
      <c r="J421" s="30" t="inlineStr">
        <is>
          <t>532440</t>
        </is>
      </c>
    </row>
    <row r="422">
      <c r="A422" s="30" t="inlineStr">
        <is>
          <t>LLOYDSME</t>
        </is>
      </c>
      <c r="B422" s="30" t="inlineStr">
        <is>
          <t>Lloyds Metals &amp; Energy Ltd</t>
        </is>
      </c>
      <c r="C422" s="30" t="inlineStr">
        <is>
          <t>metals &amp; mining</t>
        </is>
      </c>
      <c r="D422" s="30" t="inlineStr">
        <is>
          <t>mining / minerals / metals</t>
        </is>
      </c>
      <c r="E422" s="30" t="inlineStr">
        <is>
          <t>largecap</t>
        </is>
      </c>
      <c r="F422" s="30" t="n">
        <v>118278.01</v>
      </c>
      <c r="G422" s="30" t="n">
        <v>2052.8</v>
      </c>
      <c r="H422" s="30" t="n">
        <v>-2.3</v>
      </c>
      <c r="I422" s="30" t="n">
        <v>783313</v>
      </c>
      <c r="J422" s="30" t="inlineStr">
        <is>
          <t>512455</t>
        </is>
      </c>
    </row>
    <row r="423">
      <c r="A423" s="30" t="inlineStr">
        <is>
          <t>THELEELA</t>
        </is>
      </c>
      <c r="B423" s="30" t="inlineStr">
        <is>
          <t>Leela Palaces Hotels &amp; Resorts Ltd</t>
        </is>
      </c>
      <c r="C423" s="30" t="inlineStr">
        <is>
          <t>services</t>
        </is>
      </c>
      <c r="D423" s="30" t="inlineStr">
        <is>
          <t>hotels</t>
        </is>
      </c>
      <c r="E423" s="30" t="inlineStr">
        <is>
          <t>midcap</t>
        </is>
      </c>
      <c r="F423" s="30" t="n">
        <v>17299.02</v>
      </c>
      <c r="G423" s="30" t="n">
        <v>505.8</v>
      </c>
      <c r="H423" s="30" t="n">
        <v>-2.36</v>
      </c>
      <c r="I423" s="30" t="n">
        <v>263638</v>
      </c>
      <c r="J423" s="30" t="inlineStr">
        <is>
          <t>544408</t>
        </is>
      </c>
    </row>
    <row r="424">
      <c r="A424" s="30" t="inlineStr">
        <is>
          <t>SBIN</t>
        </is>
      </c>
      <c r="B424" s="30" t="inlineStr">
        <is>
          <t>State Bank Of India Ltd</t>
        </is>
      </c>
      <c r="C424" s="30" t="inlineStr">
        <is>
          <t>bank</t>
        </is>
      </c>
      <c r="D424" s="30" t="inlineStr">
        <is>
          <t>banks - public sector</t>
        </is>
      </c>
      <c r="E424" s="30" t="inlineStr">
        <is>
          <t>largecap</t>
        </is>
      </c>
      <c r="F424" s="30" t="n">
        <v>1012783.36</v>
      </c>
      <c r="G424" s="30" t="n">
        <v>1071</v>
      </c>
      <c r="H424" s="30" t="n">
        <v>-2.39</v>
      </c>
      <c r="I424" s="30" t="n">
        <v>33068816</v>
      </c>
      <c r="J424" s="30" t="inlineStr">
        <is>
          <t>500112</t>
        </is>
      </c>
    </row>
    <row r="425">
      <c r="A425" s="30" t="inlineStr">
        <is>
          <t>GARFIBRES</t>
        </is>
      </c>
      <c r="B425" s="30" t="inlineStr">
        <is>
          <t>Garware Technical Fibres Ltd</t>
        </is>
      </c>
      <c r="C425" s="30" t="inlineStr">
        <is>
          <t>textiles</t>
        </is>
      </c>
      <c r="D425" s="30" t="inlineStr">
        <is>
          <t>textiles - products</t>
        </is>
      </c>
      <c r="E425" s="30" t="inlineStr">
        <is>
          <t>midcap</t>
        </is>
      </c>
      <c r="F425" s="30" t="n">
        <v>7927.58</v>
      </c>
      <c r="G425" s="30" t="n">
        <v>792.25</v>
      </c>
      <c r="H425" s="30" t="n">
        <v>-2.41</v>
      </c>
      <c r="I425" s="30" t="n">
        <v>30300</v>
      </c>
      <c r="J425" s="30" t="inlineStr">
        <is>
          <t>509557</t>
        </is>
      </c>
    </row>
    <row r="426">
      <c r="A426" s="30" t="inlineStr">
        <is>
          <t>ONEPOINT</t>
        </is>
      </c>
      <c r="B426" s="30" t="inlineStr">
        <is>
          <t>One Point One Solutions Ltd</t>
        </is>
      </c>
      <c r="C426" s="30" t="inlineStr">
        <is>
          <t>i.t</t>
        </is>
      </c>
      <c r="D426" s="30" t="inlineStr">
        <is>
          <t>computers - software - medium / small</t>
        </is>
      </c>
      <c r="E426" s="30" t="inlineStr">
        <is>
          <t>smallcap</t>
        </is>
      </c>
      <c r="F426" s="30" t="n">
        <v>1586.3</v>
      </c>
      <c r="G426" s="30" t="n">
        <v>58.81</v>
      </c>
      <c r="H426" s="30" t="n">
        <v>-2.52</v>
      </c>
      <c r="I426" s="30" t="n">
        <v>1796065</v>
      </c>
      <c r="J426" s="30" t="inlineStr">
        <is>
          <t>535039</t>
        </is>
      </c>
    </row>
    <row r="427">
      <c r="A427" s="30" t="inlineStr">
        <is>
          <t>KOTHARIPET</t>
        </is>
      </c>
      <c r="B427" s="30" t="inlineStr">
        <is>
          <t>Kothari Petrochemicals Limited</t>
        </is>
      </c>
      <c r="C427" s="30" t="inlineStr">
        <is>
          <t>energy</t>
        </is>
      </c>
      <c r="D427" s="30" t="inlineStr">
        <is>
          <t>petrochemicals</t>
        </is>
      </c>
      <c r="E427" s="30" t="inlineStr">
        <is>
          <t>smallcap</t>
        </is>
      </c>
      <c r="F427" s="30" t="n">
        <v>879.87</v>
      </c>
      <c r="G427" s="30" t="n">
        <v>145.51</v>
      </c>
      <c r="H427" s="30" t="n">
        <v>-2.68</v>
      </c>
      <c r="I427" s="30" t="n">
        <v>80103</v>
      </c>
      <c r="J427" s="30" t="inlineStr">
        <is>
          <t>532096</t>
        </is>
      </c>
    </row>
    <row r="428">
      <c r="A428" s="30" t="inlineStr">
        <is>
          <t>NAHARSPING</t>
        </is>
      </c>
      <c r="B428" s="30" t="inlineStr">
        <is>
          <t>Nahar Spinning Mills Limited</t>
        </is>
      </c>
      <c r="C428" s="30" t="inlineStr">
        <is>
          <t>textiles</t>
        </is>
      </c>
      <c r="D428" s="30" t="inlineStr">
        <is>
          <t>textiles - cotton/blended</t>
        </is>
      </c>
      <c r="E428" s="30" t="inlineStr">
        <is>
          <t>smallcap</t>
        </is>
      </c>
      <c r="F428" s="30" t="n">
        <v>1140.57</v>
      </c>
      <c r="G428" s="30" t="n">
        <v>307.7</v>
      </c>
      <c r="H428" s="30" t="n">
        <v>-2.7</v>
      </c>
      <c r="I428" s="30" t="n">
        <v>37947</v>
      </c>
      <c r="J428" s="30" t="inlineStr">
        <is>
          <t>500296</t>
        </is>
      </c>
    </row>
    <row r="429">
      <c r="A429" s="30" t="inlineStr">
        <is>
          <t>NEULANDLAB</t>
        </is>
      </c>
      <c r="B429" s="30" t="inlineStr">
        <is>
          <t>Neuland Laboratories Limited</t>
        </is>
      </c>
      <c r="C429" s="30" t="inlineStr">
        <is>
          <t>healthcare</t>
        </is>
      </c>
      <c r="D429" s="30" t="inlineStr">
        <is>
          <t>pharmaceuticals - indian - bulk drugs</t>
        </is>
      </c>
      <c r="E429" s="30" t="inlineStr">
        <is>
          <t>largecap</t>
        </is>
      </c>
      <c r="F429" s="30" t="n">
        <v>29322.71</v>
      </c>
      <c r="G429" s="30" t="n">
        <v>22216</v>
      </c>
      <c r="H429" s="30" t="n">
        <v>-2.8</v>
      </c>
      <c r="I429" s="30" t="n">
        <v>88428</v>
      </c>
      <c r="J429" s="30" t="inlineStr">
        <is>
          <t>524558</t>
        </is>
      </c>
    </row>
    <row r="430">
      <c r="A430" s="30" t="inlineStr">
        <is>
          <t>SJS</t>
        </is>
      </c>
      <c r="B430" s="30" t="inlineStr">
        <is>
          <t>S J S Enterprises Ltd</t>
        </is>
      </c>
      <c r="C430" s="30" t="inlineStr">
        <is>
          <t>auto</t>
        </is>
      </c>
      <c r="D430" s="30" t="inlineStr">
        <is>
          <t>plastics products</t>
        </is>
      </c>
      <c r="E430" s="30" t="inlineStr">
        <is>
          <t>midcap</t>
        </is>
      </c>
      <c r="F430" s="30" t="n">
        <v>7828.78</v>
      </c>
      <c r="G430" s="30" t="n">
        <v>2372</v>
      </c>
      <c r="H430" s="30" t="n">
        <v>-3.03</v>
      </c>
      <c r="I430" s="30" t="n">
        <v>227203</v>
      </c>
      <c r="J430" s="30" t="inlineStr">
        <is>
          <t>543387</t>
        </is>
      </c>
    </row>
    <row r="431">
      <c r="A431" s="30" t="inlineStr">
        <is>
          <t>LUMAXIND</t>
        </is>
      </c>
      <c r="B431" s="30" t="inlineStr">
        <is>
          <t>Lumax Industries Limited</t>
        </is>
      </c>
      <c r="C431" s="30" t="inlineStr">
        <is>
          <t>auto</t>
        </is>
      </c>
      <c r="D431" s="30" t="inlineStr">
        <is>
          <t>auto ancillaries</t>
        </is>
      </c>
      <c r="E431" s="30" t="inlineStr">
        <is>
          <t>midcap</t>
        </is>
      </c>
      <c r="F431" s="30" t="n">
        <v>5413.74</v>
      </c>
      <c r="G431" s="30" t="n">
        <v>5615</v>
      </c>
      <c r="H431" s="30" t="n">
        <v>-3.05</v>
      </c>
      <c r="I431" s="30" t="n">
        <v>30006</v>
      </c>
      <c r="J431" s="30" t="inlineStr">
        <is>
          <t>517206</t>
        </is>
      </c>
    </row>
    <row r="432">
      <c r="A432" s="30" t="inlineStr">
        <is>
          <t>SWANDEF</t>
        </is>
      </c>
      <c r="B432" s="30" t="inlineStr">
        <is>
          <t>Swan Defence and Heavy Industries Ltd</t>
        </is>
      </c>
      <c r="C432" s="30" t="inlineStr">
        <is>
          <t>transportation</t>
        </is>
      </c>
      <c r="D432" s="30" t="inlineStr">
        <is>
          <t>miscellaneous</t>
        </is>
      </c>
      <c r="E432" s="30" t="inlineStr">
        <is>
          <t>midcap</t>
        </is>
      </c>
      <c r="F432" s="30" t="n">
        <v>14197.31</v>
      </c>
      <c r="G432" s="30" t="n">
        <v>2610</v>
      </c>
      <c r="H432" s="30" t="n">
        <v>-3.15</v>
      </c>
      <c r="I432" s="30" t="n">
        <v>6871</v>
      </c>
      <c r="J432" s="30" t="inlineStr">
        <is>
          <t>533107</t>
        </is>
      </c>
    </row>
    <row r="433">
      <c r="A433" s="30" t="inlineStr">
        <is>
          <t>NRAIL</t>
        </is>
      </c>
      <c r="B433" s="30" t="inlineStr">
        <is>
          <t>N R Agarwal Industries Ltd</t>
        </is>
      </c>
      <c r="C433" s="30" t="inlineStr">
        <is>
          <t>building materials</t>
        </is>
      </c>
      <c r="D433" s="30" t="inlineStr">
        <is>
          <t>paper</t>
        </is>
      </c>
      <c r="E433" s="30" t="inlineStr">
        <is>
          <t>smallcap</t>
        </is>
      </c>
      <c r="F433" s="30" t="n">
        <v>926.78</v>
      </c>
      <c r="G433" s="30" t="n">
        <v>527.05</v>
      </c>
      <c r="H433" s="30" t="n">
        <v>-3.21</v>
      </c>
      <c r="I433" s="30" t="n">
        <v>24184</v>
      </c>
      <c r="J433" s="30" t="inlineStr">
        <is>
          <t>516082</t>
        </is>
      </c>
    </row>
    <row r="434">
      <c r="A434" s="30" t="inlineStr">
        <is>
          <t>TALBROAUTO</t>
        </is>
      </c>
      <c r="B434" s="30" t="inlineStr">
        <is>
          <t>Talbros Automotive Components Limited</t>
        </is>
      </c>
      <c r="C434" s="30" t="inlineStr">
        <is>
          <t>auto</t>
        </is>
      </c>
      <c r="D434" s="30" t="inlineStr">
        <is>
          <t>auto ancillaries</t>
        </is>
      </c>
      <c r="E434" s="30" t="inlineStr">
        <is>
          <t>smallcap</t>
        </is>
      </c>
      <c r="F434" s="30" t="n">
        <v>2712.03</v>
      </c>
      <c r="G434" s="30" t="n">
        <v>422.05</v>
      </c>
      <c r="H434" s="30" t="n">
        <v>-3.94</v>
      </c>
      <c r="I434" s="30" t="n">
        <v>1061459</v>
      </c>
      <c r="J434" s="30" t="inlineStr">
        <is>
          <t>505160</t>
        </is>
      </c>
    </row>
    <row r="435">
      <c r="A435" s="30" t="inlineStr">
        <is>
          <t>MAHASTEEL</t>
        </is>
      </c>
      <c r="B435" s="30" t="inlineStr">
        <is>
          <t>Mahamaya Steel Industries Limited</t>
        </is>
      </c>
      <c r="C435" s="30" t="inlineStr">
        <is>
          <t>metals &amp; mining</t>
        </is>
      </c>
      <c r="D435" s="30" t="inlineStr">
        <is>
          <t>steel - medium / small</t>
        </is>
      </c>
      <c r="E435" s="30" t="inlineStr">
        <is>
          <t>smallcap</t>
        </is>
      </c>
      <c r="F435" s="30" t="n">
        <v>1719.53</v>
      </c>
      <c r="G435" s="30" t="n">
        <v>1004</v>
      </c>
      <c r="H435" s="30" t="n">
        <v>-4.04</v>
      </c>
      <c r="I435" s="30" t="n">
        <v>3551</v>
      </c>
      <c r="J435" s="30" t="inlineStr">
        <is>
          <t>513554</t>
        </is>
      </c>
    </row>
    <row r="436">
      <c r="A436" s="30" t="inlineStr">
        <is>
          <t>JINDWORLD</t>
        </is>
      </c>
      <c r="B436" s="30" t="inlineStr">
        <is>
          <t>Jindal Worldwide Limited</t>
        </is>
      </c>
      <c r="C436" s="30" t="inlineStr">
        <is>
          <t>textiles</t>
        </is>
      </c>
      <c r="D436" s="30" t="inlineStr">
        <is>
          <t>textiles - products</t>
        </is>
      </c>
      <c r="E436" s="30" t="inlineStr">
        <is>
          <t>smallcap</t>
        </is>
      </c>
      <c r="F436" s="30" t="n">
        <v>3903.13</v>
      </c>
      <c r="G436" s="30" t="n">
        <v>37.26</v>
      </c>
      <c r="H436" s="30" t="n">
        <v>-4.29</v>
      </c>
      <c r="I436" s="30" t="n">
        <v>4485780</v>
      </c>
      <c r="J436" s="30" t="inlineStr">
        <is>
          <t>531543</t>
        </is>
      </c>
    </row>
    <row r="437">
      <c r="A437" s="30" t="inlineStr">
        <is>
          <t>RBA</t>
        </is>
      </c>
      <c r="B437" s="30" t="inlineStr">
        <is>
          <t>Restaurant Brands Asia Ltd</t>
        </is>
      </c>
      <c r="C437" s="30" t="inlineStr">
        <is>
          <t>consumer discretionary</t>
        </is>
      </c>
      <c r="D437" s="30" t="inlineStr">
        <is>
          <t>hotels</t>
        </is>
      </c>
      <c r="E437" s="30" t="inlineStr">
        <is>
          <t>midcap</t>
        </is>
      </c>
      <c r="F437" s="30" t="n">
        <v>6755.64</v>
      </c>
      <c r="G437" s="30" t="n">
        <v>90.23</v>
      </c>
      <c r="H437" s="30" t="n">
        <v>-4.94</v>
      </c>
      <c r="I437" s="30" t="n">
        <v>13979908</v>
      </c>
      <c r="J437" s="30" t="inlineStr">
        <is>
          <t>543248</t>
        </is>
      </c>
    </row>
    <row r="438">
      <c r="A438" s="30" t="inlineStr">
        <is>
          <t>MANAKSTEEL</t>
        </is>
      </c>
      <c r="B438" s="30" t="inlineStr">
        <is>
          <t>Manaksia Steels Limited</t>
        </is>
      </c>
      <c r="C438" s="30" t="inlineStr">
        <is>
          <t>metals &amp; mining</t>
        </is>
      </c>
      <c r="D438" s="30" t="inlineStr">
        <is>
          <t>steel - medium / small</t>
        </is>
      </c>
      <c r="E438" s="30" t="inlineStr">
        <is>
          <t>smallcap</t>
        </is>
      </c>
      <c r="F438" s="30" t="n">
        <v>553.3</v>
      </c>
      <c r="G438" s="30" t="n">
        <v>80.20999999999999</v>
      </c>
      <c r="H438" s="30" t="n">
        <v>-5</v>
      </c>
      <c r="I438" s="30" t="n">
        <v>115463</v>
      </c>
      <c r="J438" s="30" t="inlineStr">
        <is>
          <t>539044</t>
        </is>
      </c>
    </row>
    <row r="439">
      <c r="A439" s="30" t="inlineStr">
        <is>
          <t>SMLMAH</t>
        </is>
      </c>
      <c r="B439" s="30" t="inlineStr">
        <is>
          <t>SML Mahindra Ltd</t>
        </is>
      </c>
      <c r="C439" s="30" t="inlineStr">
        <is>
          <t>auto</t>
        </is>
      </c>
      <c r="D439" s="30" t="inlineStr">
        <is>
          <t>automobiles - lcvs / hcvs</t>
        </is>
      </c>
      <c r="E439" s="30" t="inlineStr">
        <is>
          <t>midcap</t>
        </is>
      </c>
      <c r="F439" s="30" t="n">
        <v>8037.55</v>
      </c>
      <c r="G439" s="30" t="n">
        <v>5227</v>
      </c>
      <c r="H439" s="30" t="n">
        <v>-5.89</v>
      </c>
      <c r="I439" s="30" t="n">
        <v>148630</v>
      </c>
      <c r="J439" s="30" t="inlineStr">
        <is>
          <t>505192</t>
        </is>
      </c>
    </row>
    <row r="440">
      <c r="A440" s="30" t="inlineStr">
        <is>
          <t>SOTL</t>
        </is>
      </c>
      <c r="B440" s="30" t="inlineStr">
        <is>
          <t>Savita Oil Technologies Limited</t>
        </is>
      </c>
      <c r="C440" s="30" t="inlineStr">
        <is>
          <t>energy</t>
        </is>
      </c>
      <c r="D440" s="30" t="inlineStr">
        <is>
          <t>petrochemicals</t>
        </is>
      </c>
      <c r="E440" s="30" t="inlineStr">
        <is>
          <t>midcap</t>
        </is>
      </c>
      <c r="F440" s="30" t="n">
        <v>5186.25</v>
      </c>
      <c r="G440" s="30" t="n">
        <v>691</v>
      </c>
      <c r="H440" s="30" t="n">
        <v>-8.65</v>
      </c>
      <c r="I440" s="30" t="n">
        <v>1082651</v>
      </c>
      <c r="J440" s="30" t="inlineStr">
        <is>
          <t>524667</t>
        </is>
      </c>
    </row>
  </sheetData>
  <autoFilter ref="A1:J4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SBCL</t>
        </is>
      </c>
      <c r="E2" s="30" t="inlineStr">
        <is>
          <t>Shivalik Bimetal Controls Ltd</t>
        </is>
      </c>
      <c r="F2" s="30" t="inlineStr">
        <is>
          <t>Shunt Resistors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21</v>
      </c>
      <c r="K2" s="30" t="n">
        <v>21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SYRMA</t>
        </is>
      </c>
      <c r="E3" s="30" t="inlineStr">
        <is>
          <t>Syrma SGS Technology Ltd</t>
        </is>
      </c>
      <c r="F3" s="30" t="inlineStr">
        <is>
          <t>Consumer Electronics - EMS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23</v>
      </c>
      <c r="K3" s="30" t="n">
        <v>20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MACPOWER</t>
        </is>
      </c>
      <c r="E4" s="30" t="inlineStr">
        <is>
          <t>Macpower CNC Machines Ltd</t>
        </is>
      </c>
      <c r="F4" s="30" t="inlineStr">
        <is>
          <t>CNC - Machines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28</v>
      </c>
      <c r="K4" s="30" t="n">
        <v>22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COMSYN</t>
        </is>
      </c>
      <c r="E5" s="30" t="inlineStr">
        <is>
          <t>Commercial Syn Bags Ltd</t>
        </is>
      </c>
      <c r="F5" s="30" t="inlineStr">
        <is>
          <t>Packaging - Polysacks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22</v>
      </c>
      <c r="K5" s="30" t="n">
        <v>16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UEL</t>
        </is>
      </c>
      <c r="E6" s="30" t="inlineStr">
        <is>
          <t>Ujaas Energy Ltd</t>
        </is>
      </c>
      <c r="F6" s="30" t="inlineStr">
        <is>
          <t>Capital Goods - Transformers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19</v>
      </c>
      <c r="K6" s="30" t="n">
        <v>6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PAYTM</t>
        </is>
      </c>
      <c r="E7" s="30" t="inlineStr">
        <is>
          <t>One 97 Communications Ltd</t>
        </is>
      </c>
      <c r="F7" s="30" t="inlineStr">
        <is>
          <t>E-Commerce - Platform - Utility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23</v>
      </c>
      <c r="K7" s="30" t="n">
        <v>18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MMFL</t>
        </is>
      </c>
      <c r="E8" s="30" t="inlineStr">
        <is>
          <t>Mm Forgings Limited</t>
        </is>
      </c>
      <c r="F8" s="30" t="inlineStr">
        <is>
          <t>Castings, Forgings &amp; Fastners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21</v>
      </c>
      <c r="K8" s="30" t="n">
        <v>20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PIXTRANS</t>
        </is>
      </c>
      <c r="E9" s="30" t="inlineStr">
        <is>
          <t>Pix Transmission Ltd</t>
        </is>
      </c>
      <c r="F9" s="30" t="inlineStr">
        <is>
          <t>Rubber Processing/Rubber Products</t>
        </is>
      </c>
      <c r="G9" s="30" t="n">
        <v>2</v>
      </c>
      <c r="H9" s="30" t="inlineStr">
        <is>
          <t>No</t>
        </is>
      </c>
      <c r="I9" s="30" t="inlineStr">
        <is>
          <t>Yes</t>
        </is>
      </c>
      <c r="J9" s="30" t="n">
        <v>24</v>
      </c>
      <c r="K9" s="30" t="n">
        <v>18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NAVINFLUOR</t>
        </is>
      </c>
      <c r="E10" s="30" t="inlineStr">
        <is>
          <t>Navin Fluorine International Limited</t>
        </is>
      </c>
      <c r="F10" s="30" t="inlineStr">
        <is>
          <t>Chemicals - Flourine</t>
        </is>
      </c>
      <c r="G10" s="30" t="n">
        <v>2</v>
      </c>
      <c r="H10" s="30" t="inlineStr">
        <is>
          <t>No</t>
        </is>
      </c>
      <c r="I10" s="30" t="inlineStr">
        <is>
          <t>Yes</t>
        </is>
      </c>
      <c r="J10" s="30" t="n">
        <v>21</v>
      </c>
      <c r="K10" s="30" t="n">
        <v>21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APCOTEXIND</t>
        </is>
      </c>
      <c r="E11" s="30" t="inlineStr">
        <is>
          <t>Apcotex Industries Limited</t>
        </is>
      </c>
      <c r="F11" s="30" t="inlineStr">
        <is>
          <t>Rubber Processing/Rubber Products</t>
        </is>
      </c>
      <c r="G11" s="30" t="n">
        <v>2</v>
      </c>
      <c r="H11" s="30" t="inlineStr">
        <is>
          <t>No</t>
        </is>
      </c>
      <c r="I11" s="30" t="inlineStr">
        <is>
          <t>Yes</t>
        </is>
      </c>
      <c r="J11" s="30" t="n">
        <v>20</v>
      </c>
      <c r="K11" s="30" t="n">
        <v>25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IOLCP</t>
        </is>
      </c>
      <c r="E12" s="30" t="inlineStr">
        <is>
          <t>Iol Chemicals And Pharmaceuticals Limited</t>
        </is>
      </c>
      <c r="F12" s="30" t="inlineStr">
        <is>
          <t>Pharma - API &amp; CRAMS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19</v>
      </c>
      <c r="K12" s="30" t="n">
        <v>17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PRICOLLTD</t>
        </is>
      </c>
      <c r="E13" s="30" t="inlineStr">
        <is>
          <t>Pricol Ltd.</t>
        </is>
      </c>
      <c r="F13" s="30" t="inlineStr">
        <is>
          <t>Auto Ancillaries - 2 Wheelers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20</v>
      </c>
      <c r="K13" s="30" t="n">
        <v>20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RPTECH</t>
        </is>
      </c>
      <c r="E14" s="30" t="inlineStr">
        <is>
          <t>Rashi Peripherals Ltd</t>
        </is>
      </c>
      <c r="F14" s="30" t="inlineStr">
        <is>
          <t>Trading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25</v>
      </c>
      <c r="K14" s="30" t="n">
        <v>29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AURUM</t>
        </is>
      </c>
      <c r="E15" s="30" t="inlineStr">
        <is>
          <t>Aurum Proptech Ltd</t>
        </is>
      </c>
      <c r="F15" s="30" t="inlineStr">
        <is>
          <t>IT Enabled Services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23</v>
      </c>
      <c r="K15" s="30" t="n">
        <v>18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FCL</t>
        </is>
      </c>
      <c r="E16" s="30" t="inlineStr">
        <is>
          <t>Fineotex Chemical Limited</t>
        </is>
      </c>
      <c r="F16" s="30" t="inlineStr">
        <is>
          <t>unknown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0</v>
      </c>
      <c r="K16" s="30" t="n">
        <v>17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SAKAR</t>
        </is>
      </c>
      <c r="E17" s="30" t="inlineStr">
        <is>
          <t>Sakar Healthcare Ltd</t>
        </is>
      </c>
      <c r="F17" s="30" t="inlineStr">
        <is>
          <t>Hospitals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21</v>
      </c>
      <c r="K17" s="30" t="n">
        <v>22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CUPID</t>
        </is>
      </c>
      <c r="E18" s="30" t="inlineStr">
        <is>
          <t>Cupid Limited</t>
        </is>
      </c>
      <c r="F18" s="30" t="inlineStr">
        <is>
          <t>Contraceptives/Protectives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23</v>
      </c>
      <c r="K18" s="30" t="n">
        <v>30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UJJIVANSFB</t>
        </is>
      </c>
      <c r="E19" s="30" t="inlineStr">
        <is>
          <t>Ujjivan Small Finance Bank Ltd</t>
        </is>
      </c>
      <c r="F19" s="30" t="inlineStr">
        <is>
          <t>Banks - Small Finance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19</v>
      </c>
      <c r="K19" s="30" t="n">
        <v>23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ESAFSFB</t>
        </is>
      </c>
      <c r="E20" s="30" t="inlineStr">
        <is>
          <t>ESAF Small Finance Bank Ltd</t>
        </is>
      </c>
      <c r="F20" s="30" t="inlineStr">
        <is>
          <t>Banks - Small Finance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20</v>
      </c>
      <c r="K20" s="30" t="n">
        <v>28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PGIL</t>
        </is>
      </c>
      <c r="E21" s="30" t="inlineStr">
        <is>
          <t>Pearl Global Industries Limited</t>
        </is>
      </c>
      <c r="F21" s="30" t="inlineStr">
        <is>
          <t>Textiles - Readymade Apparel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28</v>
      </c>
      <c r="K21" s="30" t="n">
        <v>24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ATHERENERG</t>
        </is>
      </c>
      <c r="E22" s="30" t="inlineStr">
        <is>
          <t>Ather Energy Ltd</t>
        </is>
      </c>
      <c r="F22" s="30" t="inlineStr">
        <is>
          <t>Auto - 2 &amp; 3 Wheelers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19</v>
      </c>
      <c r="K22" s="30" t="n">
        <v>22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REDINGTON</t>
        </is>
      </c>
      <c r="E23" s="30" t="inlineStr">
        <is>
          <t>Redington (india) Limited</t>
        </is>
      </c>
      <c r="F23" s="30" t="inlineStr">
        <is>
          <t>Computer - Hardware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22</v>
      </c>
      <c r="K23" s="30" t="n">
        <v>20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MENONBE</t>
        </is>
      </c>
      <c r="E24" s="30" t="inlineStr">
        <is>
          <t>Menon Bearings Limited</t>
        </is>
      </c>
      <c r="F24" s="30" t="inlineStr">
        <is>
          <t>Auto Ancillaries - Bearings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21</v>
      </c>
      <c r="K24" s="30" t="n">
        <v>26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HFCL</t>
        </is>
      </c>
      <c r="E25" s="30" t="inlineStr">
        <is>
          <t>HFCL Ltd</t>
        </is>
      </c>
      <c r="F25" s="30" t="inlineStr">
        <is>
          <t>Telecom Services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20</v>
      </c>
      <c r="K25" s="30" t="n">
        <v>18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UNIVCABLES</t>
        </is>
      </c>
      <c r="E26" s="30" t="inlineStr">
        <is>
          <t>Universal Cables Limited</t>
        </is>
      </c>
      <c r="F26" s="30" t="inlineStr">
        <is>
          <t>Cables - Power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27</v>
      </c>
      <c r="K26" s="30" t="n">
        <v>21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SANGHVIMOV</t>
        </is>
      </c>
      <c r="E27" s="30" t="inlineStr">
        <is>
          <t>Sanghvi Movers Limited</t>
        </is>
      </c>
      <c r="F27" s="30" t="inlineStr">
        <is>
          <t>Capital Goods - EPC/Cranes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24</v>
      </c>
      <c r="K27" s="30" t="n">
        <v>22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M&amp;MFIN</t>
        </is>
      </c>
      <c r="E28" s="30" t="inlineStr">
        <is>
          <t>Mahindra &amp; Mahindra Financial Services Limited</t>
        </is>
      </c>
      <c r="F28" s="30" t="inlineStr">
        <is>
          <t>Finance &amp; Investments - CV Finance</t>
        </is>
      </c>
      <c r="G28" s="30" t="n">
        <v>2</v>
      </c>
      <c r="H28" s="30" t="inlineStr">
        <is>
          <t>52W Breakout</t>
        </is>
      </c>
      <c r="I28" s="30" t="inlineStr">
        <is>
          <t>Yes</t>
        </is>
      </c>
      <c r="J28" s="30" t="n">
        <v>17</v>
      </c>
      <c r="K28" s="30" t="n">
        <v>14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STOVEKRAFT</t>
        </is>
      </c>
      <c r="E29" s="30" t="inlineStr">
        <is>
          <t>Stove Kraft Ltd</t>
        </is>
      </c>
      <c r="F29" s="30" t="inlineStr">
        <is>
          <t>Domestic Appliances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20</v>
      </c>
      <c r="K29" s="30" t="n">
        <v>26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UNIPARTS</t>
        </is>
      </c>
      <c r="E30" s="30" t="inlineStr">
        <is>
          <t>Uniparts India Ltd</t>
        </is>
      </c>
      <c r="F30" s="30" t="inlineStr">
        <is>
          <t>Castings, Forgings &amp; Fastners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28</v>
      </c>
      <c r="K30" s="30" t="n">
        <v>29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TFCILTD</t>
        </is>
      </c>
      <c r="E31" s="30" t="inlineStr">
        <is>
          <t>Tourism Finance Corporation Of India Limited</t>
        </is>
      </c>
      <c r="F31" s="30" t="inlineStr">
        <is>
          <t>Finance - PSU Lending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24</v>
      </c>
      <c r="K31" s="30" t="n">
        <v>22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E2E</t>
        </is>
      </c>
      <c r="E32" s="30" t="inlineStr">
        <is>
          <t>E2E Networks Ltd</t>
        </is>
      </c>
      <c r="F32" s="30" t="inlineStr">
        <is>
          <t>Data Centre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22</v>
      </c>
      <c r="K32" s="30" t="n">
        <v>15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IRISDOREME</t>
        </is>
      </c>
      <c r="E33" s="30" t="inlineStr">
        <is>
          <t>Iris Clothings Ltd</t>
        </is>
      </c>
      <c r="F33" s="30" t="inlineStr">
        <is>
          <t>Textiles - Readymade Apparel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23</v>
      </c>
      <c r="K33" s="30" t="n">
        <v>29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RADICO</t>
        </is>
      </c>
      <c r="E34" s="30" t="inlineStr">
        <is>
          <t>Radico Khaitan Limited</t>
        </is>
      </c>
      <c r="F34" s="30" t="inlineStr">
        <is>
          <t>Alcoholic Beverages</t>
        </is>
      </c>
      <c r="G34" s="30" t="n">
        <v>2</v>
      </c>
      <c r="H34" s="30" t="inlineStr">
        <is>
          <t>52W Breakout</t>
        </is>
      </c>
      <c r="I34" s="30" t="inlineStr">
        <is>
          <t>Yes</t>
        </is>
      </c>
      <c r="J34" s="30" t="n">
        <v>14</v>
      </c>
      <c r="K34" s="30" t="n">
        <v>29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AETHER</t>
        </is>
      </c>
      <c r="E35" s="30" t="inlineStr">
        <is>
          <t>Aether Industries Ltd</t>
        </is>
      </c>
      <c r="F35" s="30" t="inlineStr">
        <is>
          <t>Speciality Chemicals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20</v>
      </c>
      <c r="K35" s="30" t="n">
        <v>27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CENTENKA</t>
        </is>
      </c>
      <c r="E36" s="30" t="inlineStr">
        <is>
          <t>Century Enka Limited</t>
        </is>
      </c>
      <c r="F36" s="30" t="inlineStr">
        <is>
          <t>Textiles - Manmade Fibre - PFY/PSF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24</v>
      </c>
      <c r="K36" s="30" t="n">
        <v>29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KDDL</t>
        </is>
      </c>
      <c r="E37" s="30" t="inlineStr">
        <is>
          <t>Kddl Limited</t>
        </is>
      </c>
      <c r="F37" s="30" t="inlineStr">
        <is>
          <t>Watches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22</v>
      </c>
      <c r="K37" s="30" t="n">
        <v>24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RAMCOIND</t>
        </is>
      </c>
      <c r="E38" s="30" t="inlineStr">
        <is>
          <t>Ramco Industries Limited</t>
        </is>
      </c>
      <c r="F38" s="30" t="inlineStr">
        <is>
          <t>unknown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0</v>
      </c>
      <c r="K38" s="30" t="n">
        <v>8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SHILPAMED</t>
        </is>
      </c>
      <c r="E39" s="30" t="inlineStr">
        <is>
          <t>Shilpa Medicare Limited</t>
        </is>
      </c>
      <c r="F39" s="30" t="inlineStr">
        <is>
          <t>Pharma - API &amp; CRAMS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27</v>
      </c>
      <c r="K39" s="30" t="n">
        <v>25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ENTERO</t>
        </is>
      </c>
      <c r="E40" s="30" t="inlineStr">
        <is>
          <t>Entero Healthcare Solutions Ltd</t>
        </is>
      </c>
      <c r="F40" s="30" t="inlineStr">
        <is>
          <t>Pharmacy Distribution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21</v>
      </c>
      <c r="K40" s="30" t="n">
        <v>12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GLAND</t>
        </is>
      </c>
      <c r="E41" s="30" t="inlineStr">
        <is>
          <t>Gland Pharma Ltd</t>
        </is>
      </c>
      <c r="F41" s="30" t="inlineStr">
        <is>
          <t>Pharma - API &amp; CRAMS</t>
        </is>
      </c>
      <c r="G41" s="30" t="n">
        <v>2</v>
      </c>
      <c r="H41" s="30" t="inlineStr">
        <is>
          <t>52W Breakout</t>
        </is>
      </c>
      <c r="I41" s="30" t="inlineStr">
        <is>
          <t>Yes</t>
        </is>
      </c>
      <c r="J41" s="30" t="n">
        <v>14</v>
      </c>
      <c r="K41" s="30" t="n">
        <v>19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THYROCARE</t>
        </is>
      </c>
      <c r="E42" s="30" t="inlineStr">
        <is>
          <t>Thyrocare Technologies Limited</t>
        </is>
      </c>
      <c r="F42" s="30" t="inlineStr">
        <is>
          <t>Diagnostics</t>
        </is>
      </c>
      <c r="G42" s="30" t="n">
        <v>2</v>
      </c>
      <c r="H42" s="30" t="inlineStr">
        <is>
          <t>52W Breakout</t>
        </is>
      </c>
      <c r="I42" s="30" t="inlineStr">
        <is>
          <t>Yes</t>
        </is>
      </c>
      <c r="J42" s="30" t="n">
        <v>17</v>
      </c>
      <c r="K42" s="30" t="n">
        <v>26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AVALON</t>
        </is>
      </c>
      <c r="E43" s="30" t="inlineStr">
        <is>
          <t>Avalon Technologies Ltd</t>
        </is>
      </c>
      <c r="F43" s="30" t="inlineStr">
        <is>
          <t>Consumer Electronics - EMS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26</v>
      </c>
      <c r="K43" s="30" t="n">
        <v>21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KRISHANA</t>
        </is>
      </c>
      <c r="E44" s="30" t="inlineStr">
        <is>
          <t>Krishana Phoschem Ltd</t>
        </is>
      </c>
      <c r="F44" s="30" t="inlineStr">
        <is>
          <t>Fertilisers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22</v>
      </c>
      <c r="K44" s="30" t="n">
        <v>20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DPABHUSHAN</t>
        </is>
      </c>
      <c r="E45" s="30" t="inlineStr">
        <is>
          <t>D.P. Abhushan Ltd</t>
        </is>
      </c>
      <c r="F45" s="30" t="inlineStr">
        <is>
          <t>Diamond, Gems &amp; Jewellery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22</v>
      </c>
      <c r="K45" s="30" t="n">
        <v>11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SJS</t>
        </is>
      </c>
      <c r="E46" s="30" t="inlineStr">
        <is>
          <t>S J S Enterprises Ltd</t>
        </is>
      </c>
      <c r="F46" s="30" t="inlineStr">
        <is>
          <t>Auto Ancillaries - Diversified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24</v>
      </c>
      <c r="K46" s="30" t="n">
        <v>29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KABRAEXTRU</t>
        </is>
      </c>
      <c r="E47" s="30" t="inlineStr">
        <is>
          <t>Kabra Extrusion Technik Limited</t>
        </is>
      </c>
      <c r="F47" s="30" t="inlineStr">
        <is>
          <t>Capital Goods - Engineering Heavy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23</v>
      </c>
      <c r="K47" s="30" t="n">
        <v>17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NRBBEARING</t>
        </is>
      </c>
      <c r="E48" s="30" t="inlineStr">
        <is>
          <t>Nrb Bearing Limited</t>
        </is>
      </c>
      <c r="F48" s="30" t="inlineStr">
        <is>
          <t>Bearings</t>
        </is>
      </c>
      <c r="G48" s="30" t="n">
        <v>2</v>
      </c>
      <c r="H48" s="30" t="inlineStr">
        <is>
          <t>52W Breakout</t>
        </is>
      </c>
      <c r="I48" s="30" t="inlineStr">
        <is>
          <t>Yes</t>
        </is>
      </c>
      <c r="J48" s="30" t="n">
        <v>16</v>
      </c>
      <c r="K48" s="30" t="n">
        <v>22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LAURUSLABS</t>
        </is>
      </c>
      <c r="E49" s="30" t="inlineStr">
        <is>
          <t>Laurus Labs Limited</t>
        </is>
      </c>
      <c r="F49" s="30" t="inlineStr">
        <is>
          <t>Pharma - API &amp; CRAMS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21</v>
      </c>
      <c r="K49" s="30" t="n">
        <v>30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MPSLTD</t>
        </is>
      </c>
      <c r="E50" s="30" t="inlineStr">
        <is>
          <t>Mps Limited</t>
        </is>
      </c>
      <c r="F50" s="30" t="inlineStr">
        <is>
          <t>E-Commerce - Platform - Utility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20</v>
      </c>
      <c r="K50" s="30" t="n">
        <v>13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FIEMIND</t>
        </is>
      </c>
      <c r="E51" s="30" t="inlineStr">
        <is>
          <t>Fiem Industries Limited</t>
        </is>
      </c>
      <c r="F51" s="30" t="inlineStr">
        <is>
          <t>Auto Ancillaries - 2&amp;3 Wheelers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25</v>
      </c>
      <c r="K51" s="30" t="n">
        <v>15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UFBL</t>
        </is>
      </c>
      <c r="E52" s="30" t="inlineStr">
        <is>
          <t>United Foodbrands Ltd</t>
        </is>
      </c>
      <c r="F52" s="30" t="inlineStr">
        <is>
          <t>Quick Service Restaurant - QSR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20</v>
      </c>
      <c r="K52" s="30" t="n">
        <v>24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VADILALIND</t>
        </is>
      </c>
      <c r="E53" s="30" t="inlineStr">
        <is>
          <t>Vadilal Industries Limited</t>
        </is>
      </c>
      <c r="F53" s="30" t="inlineStr">
        <is>
          <t>unknown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0</v>
      </c>
      <c r="K53" s="30" t="n">
        <v>30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THELEELA</t>
        </is>
      </c>
      <c r="E54" s="30" t="inlineStr">
        <is>
          <t>Leela Palaces Hotels &amp; Resorts Ltd</t>
        </is>
      </c>
      <c r="F54" s="30" t="inlineStr">
        <is>
          <t>Hotels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21</v>
      </c>
      <c r="K54" s="30" t="n">
        <v>24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JGCHEM</t>
        </is>
      </c>
      <c r="E55" s="30" t="inlineStr">
        <is>
          <t>J.G.Chemicals Ltd</t>
        </is>
      </c>
      <c r="F55" s="30" t="inlineStr">
        <is>
          <t>Chemicals - Inorganic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25</v>
      </c>
      <c r="K55" s="30" t="n">
        <v>15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GHCLTEXTIL</t>
        </is>
      </c>
      <c r="E56" s="30" t="inlineStr">
        <is>
          <t>GHCL Textiles Ltd</t>
        </is>
      </c>
      <c r="F56" s="30" t="inlineStr">
        <is>
          <t>Textiles - General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22</v>
      </c>
      <c r="K56" s="30" t="n">
        <v>18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TATVA</t>
        </is>
      </c>
      <c r="E57" s="30" t="inlineStr">
        <is>
          <t>Tatva Chintan Pharma Chem Ltd</t>
        </is>
      </c>
      <c r="F57" s="30" t="inlineStr">
        <is>
          <t>Speciality Chemicals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19</v>
      </c>
      <c r="K57" s="30" t="n">
        <v>15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WELCORP</t>
        </is>
      </c>
      <c r="E58" s="30" t="inlineStr">
        <is>
          <t>Welspun Corp Limited</t>
        </is>
      </c>
      <c r="F58" s="30" t="inlineStr">
        <is>
          <t>DI Pipes/Saw Pipes</t>
        </is>
      </c>
      <c r="G58" s="30" t="n">
        <v>2</v>
      </c>
      <c r="H58" s="30" t="inlineStr">
        <is>
          <t>52W Breakout</t>
        </is>
      </c>
      <c r="I58" s="30" t="inlineStr">
        <is>
          <t>Yes</t>
        </is>
      </c>
      <c r="J58" s="30" t="n">
        <v>16</v>
      </c>
      <c r="K58" s="30" t="n">
        <v>30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COFORGE</t>
        </is>
      </c>
      <c r="E59" s="30" t="inlineStr">
        <is>
          <t>Coforge (Niit Tech) Ltd</t>
        </is>
      </c>
      <c r="F59" s="30" t="inlineStr">
        <is>
          <t>IT - Software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21</v>
      </c>
      <c r="K59" s="30" t="n">
        <v>9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NEULANDLAB</t>
        </is>
      </c>
      <c r="E60" s="30" t="inlineStr">
        <is>
          <t>Neuland Laboratories Limited</t>
        </is>
      </c>
      <c r="F60" s="30" t="inlineStr">
        <is>
          <t>Pharma - API &amp; CRAMS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24</v>
      </c>
      <c r="K60" s="30" t="n">
        <v>26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OFSS</t>
        </is>
      </c>
      <c r="E61" s="30" t="inlineStr">
        <is>
          <t>Oracle Financial Services Software Limited</t>
        </is>
      </c>
      <c r="F61" s="30" t="inlineStr">
        <is>
          <t>IT Product Companies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22</v>
      </c>
      <c r="K61" s="30" t="n">
        <v>17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KALYANKJIL</t>
        </is>
      </c>
      <c r="E62" s="30" t="inlineStr">
        <is>
          <t>Kalyan Jewellers India Ltd</t>
        </is>
      </c>
      <c r="F62" s="30" t="inlineStr">
        <is>
          <t>Diamond, Gems &amp; Jewellery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23</v>
      </c>
      <c r="K62" s="30" t="n">
        <v>15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ALIVUS</t>
        </is>
      </c>
      <c r="E63" s="30" t="inlineStr">
        <is>
          <t>Alivus Life Sciences Ltd</t>
        </is>
      </c>
      <c r="F63" s="30" t="inlineStr">
        <is>
          <t>Pharmaceuticals Bulk Drugs &amp; Formulation</t>
        </is>
      </c>
      <c r="G63" s="30" t="n">
        <v>2</v>
      </c>
      <c r="H63" s="30" t="inlineStr">
        <is>
          <t>52W Breakout</t>
        </is>
      </c>
      <c r="I63" s="30" t="inlineStr">
        <is>
          <t>Yes</t>
        </is>
      </c>
      <c r="J63" s="30" t="n">
        <v>15</v>
      </c>
      <c r="K63" s="30" t="n">
        <v>18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RRKABEL</t>
        </is>
      </c>
      <c r="E64" s="30" t="inlineStr">
        <is>
          <t>R R Kabel Ltd</t>
        </is>
      </c>
      <c r="F64" s="30" t="inlineStr">
        <is>
          <t>Cables - Power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21</v>
      </c>
      <c r="K64" s="30" t="n">
        <v>29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ARVSMART</t>
        </is>
      </c>
      <c r="E65" s="30" t="inlineStr">
        <is>
          <t>Arvind Smartspaces Limited</t>
        </is>
      </c>
      <c r="F65" s="30" t="inlineStr">
        <is>
          <t>Realty - Construction &amp; Contracting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22</v>
      </c>
      <c r="K65" s="30" t="n">
        <v>6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CRAFTSMAN</t>
        </is>
      </c>
      <c r="E66" s="30" t="inlineStr">
        <is>
          <t>Craftsman Automation Ltd</t>
        </is>
      </c>
      <c r="F66" s="30" t="inlineStr">
        <is>
          <t>Auto &amp; Auto Ancl - CV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21</v>
      </c>
      <c r="K66" s="30" t="n">
        <v>25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UNIMECH</t>
        </is>
      </c>
      <c r="E67" s="30" t="inlineStr">
        <is>
          <t>Unimech Aerospace and Manufacturing Ltd</t>
        </is>
      </c>
      <c r="F67" s="30" t="inlineStr">
        <is>
          <t>Engineering - Heavy - General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19</v>
      </c>
      <c r="K67" s="30" t="n">
        <v>24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KMEW</t>
        </is>
      </c>
      <c r="E68" s="30" t="inlineStr">
        <is>
          <t>Knowledge Marine &amp; Engineering Works Ltd</t>
        </is>
      </c>
      <c r="F68" s="30" t="inlineStr">
        <is>
          <t>Shipping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19</v>
      </c>
      <c r="K68" s="30" t="n">
        <v>25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MAHLIFE</t>
        </is>
      </c>
      <c r="E69" s="30" t="inlineStr">
        <is>
          <t>Mahindra Lifespace Developers Limited</t>
        </is>
      </c>
      <c r="F69" s="30" t="inlineStr">
        <is>
          <t>Construction &amp; Contracting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20</v>
      </c>
      <c r="K69" s="30" t="n">
        <v>23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SHRIRAMFIN</t>
        </is>
      </c>
      <c r="E70" s="30" t="inlineStr">
        <is>
          <t>Shriram Finance Ltd</t>
        </is>
      </c>
      <c r="F70" s="30" t="inlineStr">
        <is>
          <t>Finance &amp; Investments - CV Finance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20</v>
      </c>
      <c r="K70" s="30" t="n">
        <v>21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MOREPENLAB</t>
        </is>
      </c>
      <c r="E71" s="30" t="inlineStr">
        <is>
          <t>Morepen Laboratories Limited</t>
        </is>
      </c>
      <c r="F71" s="30" t="inlineStr">
        <is>
          <t>Pharma - API &amp; CRAMS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25</v>
      </c>
      <c r="K71" s="30" t="n">
        <v>10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EMIL</t>
        </is>
      </c>
      <c r="E72" s="30" t="inlineStr">
        <is>
          <t>Electronics Mart India Ltd</t>
        </is>
      </c>
      <c r="F72" s="30" t="inlineStr">
        <is>
          <t>Retail - Electronics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31</v>
      </c>
      <c r="K72" s="30" t="n">
        <v>4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SIGMAADV</t>
        </is>
      </c>
      <c r="E73" s="30" t="inlineStr">
        <is>
          <t>Sigma Advanced System Ltd</t>
        </is>
      </c>
      <c r="F73" s="30" t="inlineStr">
        <is>
          <t>Aerospace &amp; Defence - Equipments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20</v>
      </c>
      <c r="K73" s="30" t="n">
        <v>24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YASHO</t>
        </is>
      </c>
      <c r="E74" s="30" t="inlineStr">
        <is>
          <t>Yasho Industries Ltd</t>
        </is>
      </c>
      <c r="F74" s="30" t="inlineStr">
        <is>
          <t>Speciality Chemicals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25</v>
      </c>
      <c r="K74" s="30" t="n">
        <v>30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LLOYDSENT</t>
        </is>
      </c>
      <c r="E75" s="30" t="inlineStr">
        <is>
          <t>Lloyds Enterprises Ltd</t>
        </is>
      </c>
      <c r="F75" s="30" t="inlineStr">
        <is>
          <t>Trading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19</v>
      </c>
      <c r="K75" s="30" t="n">
        <v>14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SOTL</t>
        </is>
      </c>
      <c r="E76" s="30" t="inlineStr">
        <is>
          <t>Savita Oil Technologies Limited</t>
        </is>
      </c>
      <c r="F76" s="30" t="inlineStr">
        <is>
          <t>Petrochem - Others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21</v>
      </c>
      <c r="K76" s="30" t="n">
        <v>23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TITAN</t>
        </is>
      </c>
      <c r="E77" s="30" t="inlineStr">
        <is>
          <t>Titan Company Limited</t>
        </is>
      </c>
      <c r="F77" s="30" t="inlineStr">
        <is>
          <t>Diamond, Gems &amp; Jewellery</t>
        </is>
      </c>
      <c r="G77" s="30" t="n">
        <v>2</v>
      </c>
      <c r="H77" s="30" t="inlineStr">
        <is>
          <t>52W Breakout</t>
        </is>
      </c>
      <c r="I77" s="30" t="inlineStr">
        <is>
          <t>Yes</t>
        </is>
      </c>
      <c r="J77" s="30" t="n">
        <v>13</v>
      </c>
      <c r="K77" s="30" t="n">
        <v>24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RBA</t>
        </is>
      </c>
      <c r="E78" s="30" t="inlineStr">
        <is>
          <t>Restaurant Brands Asia Ltd</t>
        </is>
      </c>
      <c r="F78" s="30" t="inlineStr">
        <is>
          <t>Quick Service Restaurant - QSR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18</v>
      </c>
      <c r="K78" s="30" t="n">
        <v>15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BOSCH-HCIL</t>
        </is>
      </c>
      <c r="E79" s="30" t="inlineStr">
        <is>
          <t>Bosch Home Comfort India Ltd</t>
        </is>
      </c>
      <c r="F79" s="30" t="inlineStr">
        <is>
          <t>Consumer Electronics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21</v>
      </c>
      <c r="K79" s="30" t="n">
        <v>5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ETHOSLTD</t>
        </is>
      </c>
      <c r="E80" s="30" t="inlineStr">
        <is>
          <t>Ethos Ltd</t>
        </is>
      </c>
      <c r="F80" s="30" t="inlineStr">
        <is>
          <t>Watches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19</v>
      </c>
      <c r="K80" s="30" t="n">
        <v>9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PANACHE</t>
        </is>
      </c>
      <c r="E81" s="30" t="inlineStr">
        <is>
          <t>Panache Digilife Ltd</t>
        </is>
      </c>
      <c r="F81" s="30" t="inlineStr">
        <is>
          <t>Computer - Hardware</t>
        </is>
      </c>
      <c r="G81" s="30" t="n">
        <v>2</v>
      </c>
      <c r="H81" s="30" t="inlineStr">
        <is>
          <t>52W Breakout</t>
        </is>
      </c>
      <c r="I81" s="30" t="inlineStr">
        <is>
          <t>Yes</t>
        </is>
      </c>
      <c r="J81" s="30" t="n">
        <v>1</v>
      </c>
      <c r="K81" s="30" t="n">
        <v>21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BOSCHLTD</t>
        </is>
      </c>
      <c r="E82" s="30" t="inlineStr">
        <is>
          <t>Bosch Limited</t>
        </is>
      </c>
      <c r="F82" s="30" t="inlineStr">
        <is>
          <t>Auto Ancillaries - Diversified</t>
        </is>
      </c>
      <c r="G82" s="30" t="n">
        <v>2</v>
      </c>
      <c r="H82" s="30" t="inlineStr">
        <is>
          <t>52W Breakout</t>
        </is>
      </c>
      <c r="I82" s="30" t="inlineStr">
        <is>
          <t>Yes</t>
        </is>
      </c>
      <c r="J82" s="30" t="n">
        <v>9</v>
      </c>
      <c r="K82" s="30" t="n">
        <v>25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ASKAUTOLTD</t>
        </is>
      </c>
      <c r="E83" s="30" t="inlineStr">
        <is>
          <t>ASK Automotive Ltd</t>
        </is>
      </c>
      <c r="F83" s="30" t="inlineStr">
        <is>
          <t>Auto Ancillaries - 2 Wheelers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25</v>
      </c>
      <c r="K83" s="30" t="n">
        <v>20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GAEL</t>
        </is>
      </c>
      <c r="E84" s="30" t="inlineStr">
        <is>
          <t>Gujarat Ambuja Exports Limited</t>
        </is>
      </c>
      <c r="F84" s="30" t="inlineStr">
        <is>
          <t>Agricultural Processing - Maize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21</v>
      </c>
      <c r="K84" s="30" t="n">
        <v>15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SKYGOLD</t>
        </is>
      </c>
      <c r="E85" s="30" t="inlineStr">
        <is>
          <t>Sky Gold Ltd</t>
        </is>
      </c>
      <c r="F85" s="30" t="inlineStr">
        <is>
          <t>Diamond, Gems &amp; Jewellery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35</v>
      </c>
      <c r="K85" s="30" t="n">
        <v>21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ROSSTECH</t>
        </is>
      </c>
      <c r="E86" s="30" t="inlineStr">
        <is>
          <t>Rossell Techsys Ltd</t>
        </is>
      </c>
      <c r="F86" s="30" t="inlineStr">
        <is>
          <t>Aerospace &amp; Defence - Equipments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20</v>
      </c>
      <c r="K86" s="30" t="n">
        <v>8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MARINE</t>
        </is>
      </c>
      <c r="E87" s="30" t="inlineStr">
        <is>
          <t>Marine Electricals (India) Ltd</t>
        </is>
      </c>
      <c r="F87" s="30" t="inlineStr">
        <is>
          <t>Shipping - Proxy</t>
        </is>
      </c>
      <c r="G87" s="30" t="n">
        <v>2</v>
      </c>
      <c r="H87" s="30" t="inlineStr">
        <is>
          <t>52W Breakout</t>
        </is>
      </c>
      <c r="I87" s="30" t="inlineStr">
        <is>
          <t>Yes</t>
        </is>
      </c>
      <c r="J87" s="30" t="n">
        <v>16</v>
      </c>
      <c r="K87" s="30" t="n">
        <v>21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AARTIPHARM</t>
        </is>
      </c>
      <c r="E88" s="30" t="inlineStr">
        <is>
          <t>Aarti Pharmalabs Ltd</t>
        </is>
      </c>
      <c r="F88" s="30" t="inlineStr">
        <is>
          <t>Pharma - API</t>
        </is>
      </c>
      <c r="G88" s="30" t="n">
        <v>2</v>
      </c>
      <c r="H88" s="30" t="inlineStr">
        <is>
          <t>EMA Crossover</t>
        </is>
      </c>
      <c r="I88" s="30" t="inlineStr">
        <is>
          <t>Yes</t>
        </is>
      </c>
      <c r="J88" s="30" t="n">
        <v>17</v>
      </c>
      <c r="K88" s="30" t="n">
        <v>1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PANAMAPET</t>
        </is>
      </c>
      <c r="E89" s="30" t="inlineStr">
        <is>
          <t>Panama Petrochem Limited</t>
        </is>
      </c>
      <c r="F89" s="30" t="inlineStr">
        <is>
          <t>Speciality Chemicals</t>
        </is>
      </c>
      <c r="G89" s="30" t="n">
        <v>2</v>
      </c>
      <c r="H89" s="30" t="inlineStr">
        <is>
          <t>52W Breakout</t>
        </is>
      </c>
      <c r="I89" s="30" t="inlineStr">
        <is>
          <t>Yes</t>
        </is>
      </c>
      <c r="J89" s="30" t="n">
        <v>16</v>
      </c>
      <c r="K89" s="30" t="n">
        <v>23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TVSMOTOR</t>
        </is>
      </c>
      <c r="E90" s="30" t="inlineStr">
        <is>
          <t>Tvs Motor Company Limited</t>
        </is>
      </c>
      <c r="F90" s="30" t="inlineStr">
        <is>
          <t>Auto - 2 &amp; 3 Wheelers</t>
        </is>
      </c>
      <c r="G90" s="30" t="n">
        <v>2</v>
      </c>
      <c r="H90" s="30" t="inlineStr">
        <is>
          <t>52W Breakout</t>
        </is>
      </c>
      <c r="I90" s="30" t="inlineStr">
        <is>
          <t>Yes</t>
        </is>
      </c>
      <c r="J90" s="30" t="n">
        <v>15</v>
      </c>
      <c r="K90" s="30" t="n">
        <v>17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SILVERTUC</t>
        </is>
      </c>
      <c r="E91" s="30" t="inlineStr">
        <is>
          <t>Silver Touch Technologies Ltd</t>
        </is>
      </c>
      <c r="F91" s="30" t="inlineStr">
        <is>
          <t>IT - Software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25</v>
      </c>
      <c r="K91" s="30" t="n">
        <v>19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DEEPINDS</t>
        </is>
      </c>
      <c r="E92" s="30" t="inlineStr">
        <is>
          <t>Deep Industries Ltd</t>
        </is>
      </c>
      <c r="F92" s="30" t="inlineStr">
        <is>
          <t>Oil Drilling &amp; Exploration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22</v>
      </c>
      <c r="K92" s="30" t="n">
        <v>11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IMFA</t>
        </is>
      </c>
      <c r="E93" s="30" t="inlineStr">
        <is>
          <t>Indian Metals &amp; Ferro Alloys Limited</t>
        </is>
      </c>
      <c r="F93" s="30" t="inlineStr">
        <is>
          <t>Mining/Minerals</t>
        </is>
      </c>
      <c r="G93" s="30" t="n">
        <v>2</v>
      </c>
      <c r="H93" s="30" t="inlineStr">
        <is>
          <t>No</t>
        </is>
      </c>
      <c r="I93" s="30" t="inlineStr">
        <is>
          <t>Yes</t>
        </is>
      </c>
      <c r="J93" s="30" t="n">
        <v>20</v>
      </c>
      <c r="K93" s="30" t="n">
        <v>7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KAPSTON</t>
        </is>
      </c>
      <c r="E94" s="30" t="inlineStr">
        <is>
          <t>Kapston Services Ltd</t>
        </is>
      </c>
      <c r="F94" s="30" t="inlineStr">
        <is>
          <t>unknown</t>
        </is>
      </c>
      <c r="G94" s="30" t="n">
        <v>2</v>
      </c>
      <c r="H94" s="30" t="inlineStr">
        <is>
          <t>No</t>
        </is>
      </c>
      <c r="I94" s="30" t="inlineStr">
        <is>
          <t>Yes</t>
        </is>
      </c>
      <c r="J94" s="30" t="n">
        <v>0</v>
      </c>
      <c r="K94" s="30" t="n">
        <v>28</v>
      </c>
    </row>
    <row r="95">
      <c r="A95" s="30">
        <f>IF(B95=0,"",ROW()-1)</f>
        <v/>
      </c>
      <c r="B95" s="31">
        <f>IFERROR(INDEX('Monit Non Financial'!$B$2:$B$400, MATCH(D95, 'Monit Non Financial'!$C$2:$C$400, 0)), IFERROR(INDEX('Monit Banks NBFC'!$B$2:$B$100, MATCH(D95, 'Monit Banks NBFC'!$C$2:$C$100, 0)), 0))</f>
        <v/>
      </c>
      <c r="C95" s="30">
        <f>IFERROR(INDEX('Monit Non Financial'!$L$2:$L$400, MATCH(D95, 'Monit Non Financial'!$C$2:$C$400, 0)), IFERROR(INDEX('Monit Banks NBFC'!$L$2:$L$100, MATCH(D95, 'Monit Banks NBFC'!$C$2:$C$100, 0)), ""))</f>
        <v/>
      </c>
      <c r="D95" s="30" t="inlineStr">
        <is>
          <t>KOLTEPATIL</t>
        </is>
      </c>
      <c r="E95" s="30" t="inlineStr">
        <is>
          <t>Kolte - Patil Developers Limited</t>
        </is>
      </c>
      <c r="F95" s="30" t="inlineStr">
        <is>
          <t>Realty - Construction &amp; Contracting</t>
        </is>
      </c>
      <c r="G95" s="30" t="n">
        <v>2</v>
      </c>
      <c r="H95" s="30" t="inlineStr">
        <is>
          <t>No</t>
        </is>
      </c>
      <c r="I95" s="30" t="inlineStr">
        <is>
          <t>Yes</t>
        </is>
      </c>
      <c r="J95" s="30" t="n">
        <v>19</v>
      </c>
      <c r="K95" s="30" t="n">
        <v>9</v>
      </c>
    </row>
    <row r="96">
      <c r="A96" s="30">
        <f>IF(B96=0,"",ROW()-1)</f>
        <v/>
      </c>
      <c r="B96" s="31">
        <f>IFERROR(INDEX('Monit Non Financial'!$B$2:$B$400, MATCH(D96, 'Monit Non Financial'!$C$2:$C$400, 0)), IFERROR(INDEX('Monit Banks NBFC'!$B$2:$B$100, MATCH(D96, 'Monit Banks NBFC'!$C$2:$C$100, 0)), 0))</f>
        <v/>
      </c>
      <c r="C96" s="30">
        <f>IFERROR(INDEX('Monit Non Financial'!$L$2:$L$400, MATCH(D96, 'Monit Non Financial'!$C$2:$C$400, 0)), IFERROR(INDEX('Monit Banks NBFC'!$L$2:$L$100, MATCH(D96, 'Monit Banks NBFC'!$C$2:$C$100, 0)), ""))</f>
        <v/>
      </c>
      <c r="D96" s="30" t="inlineStr">
        <is>
          <t>LLOYDSME</t>
        </is>
      </c>
      <c r="E96" s="30" t="inlineStr">
        <is>
          <t>Lloyds Metals &amp; Energy Ltd</t>
        </is>
      </c>
      <c r="F96" s="30" t="inlineStr">
        <is>
          <t>Mining/Minerals - Iron Ore</t>
        </is>
      </c>
      <c r="G96" s="30" t="n">
        <v>2</v>
      </c>
      <c r="H96" s="30" t="inlineStr">
        <is>
          <t>No</t>
        </is>
      </c>
      <c r="I96" s="30" t="inlineStr">
        <is>
          <t>Yes</t>
        </is>
      </c>
      <c r="J96" s="30" t="n">
        <v>20</v>
      </c>
      <c r="K96" s="30" t="n">
        <v>19</v>
      </c>
    </row>
    <row r="97">
      <c r="A97" s="30">
        <f>IF(B97=0,"",ROW()-1)</f>
        <v/>
      </c>
      <c r="B97" s="31">
        <f>IFERROR(INDEX('Monit Non Financial'!$B$2:$B$400, MATCH(D97, 'Monit Non Financial'!$C$2:$C$400, 0)), IFERROR(INDEX('Monit Banks NBFC'!$B$2:$B$100, MATCH(D97, 'Monit Banks NBFC'!$C$2:$C$100, 0)), 0))</f>
        <v/>
      </c>
      <c r="C97" s="30">
        <f>IFERROR(INDEX('Monit Non Financial'!$L$2:$L$400, MATCH(D97, 'Monit Non Financial'!$C$2:$C$400, 0)), IFERROR(INDEX('Monit Banks NBFC'!$L$2:$L$100, MATCH(D97, 'Monit Banks NBFC'!$C$2:$C$100, 0)), ""))</f>
        <v/>
      </c>
      <c r="D97" s="30" t="inlineStr">
        <is>
          <t>JINDALSTEL</t>
        </is>
      </c>
      <c r="E97" s="30" t="inlineStr">
        <is>
          <t>Jindal Steel Ltd</t>
        </is>
      </c>
      <c r="F97" s="30" t="inlineStr">
        <is>
          <t>Steel Products</t>
        </is>
      </c>
      <c r="G97" s="30" t="n">
        <v>2</v>
      </c>
      <c r="H97" s="30" t="inlineStr">
        <is>
          <t>EMA Crossover</t>
        </is>
      </c>
      <c r="I97" s="30" t="inlineStr">
        <is>
          <t>Yes</t>
        </is>
      </c>
      <c r="J97" s="30" t="n">
        <v>3</v>
      </c>
      <c r="K97" s="30" t="n">
        <v>4</v>
      </c>
    </row>
  </sheetData>
  <autoFilter ref="A1:K97"/>
  <conditionalFormatting sqref="G2:G9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0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IF(B2=0,"",RANK(B2,$B$2:$B$400,0))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KEI</t>
        </is>
      </c>
      <c r="D2" s="30" t="inlineStr">
        <is>
          <t>Kei Industries Limited</t>
        </is>
      </c>
      <c r="E2" s="30" t="inlineStr">
        <is>
          <t>industrials</t>
        </is>
      </c>
      <c r="F2" s="30" t="inlineStr">
        <is>
          <t>cables - power</t>
        </is>
      </c>
      <c r="G2" s="30" t="inlineStr">
        <is>
          <t>largecap</t>
        </is>
      </c>
      <c r="H2" s="31" t="n">
        <v>53536.33</v>
      </c>
      <c r="I2" s="31" t="n">
        <v>5659.8</v>
      </c>
      <c r="J2" s="31" t="n">
        <v>1.07</v>
      </c>
      <c r="K2" s="31" t="n">
        <v>736899</v>
      </c>
      <c r="L2" s="30" t="n">
        <v>36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64.15000000000001</v>
      </c>
      <c r="P2" s="31" t="n">
        <v>25.26</v>
      </c>
      <c r="Q2" s="31" t="inlineStr"/>
      <c r="R2" s="30" t="inlineStr">
        <is>
          <t>Earnings / Momentum Support</t>
        </is>
      </c>
      <c r="S2" s="30" t="inlineStr">
        <is>
          <t>Nifty Energy</t>
        </is>
      </c>
      <c r="T2" s="31" t="n">
        <v>8.41</v>
      </c>
      <c r="U2" s="31" t="n">
        <v>25.03</v>
      </c>
      <c r="V2" s="31" t="n">
        <v>15.34</v>
      </c>
      <c r="W2" s="31" t="n">
        <v>4.92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Fully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Close to 52 week high or retracement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Yes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Yes, More Than 10%</t>
        </is>
      </c>
      <c r="CE2" s="30">
        <f>IF(CD2="Yes, more than 10%",-10,IF(CD2="No",10,0))</f>
        <v/>
      </c>
    </row>
    <row r="3">
      <c r="A3" s="30">
        <f>IF(B3=0,"",RANK(B3,$B$2:$B$400,0))</f>
        <v/>
      </c>
      <c r="B3" s="31">
        <f>SUM(N3,Y3,AA3,AC3,AE3,AG3,AI3,AK3,AM3,AO3,AQ3,AS3,AU3,AW3,AY3,BA3,BC3,BE3,BG3,BI3,BK3,BM3,BO3,BQ3,BS3,BU3,BW3,BY3,CA3,CC3,CE3)</f>
        <v/>
      </c>
      <c r="C3" s="32" t="inlineStr">
        <is>
          <t>SBCL</t>
        </is>
      </c>
      <c r="D3" s="32" t="inlineStr">
        <is>
          <t>Shivalik Bimetal Controls Ltd</t>
        </is>
      </c>
      <c r="E3" s="30" t="inlineStr">
        <is>
          <t>metals &amp; mining</t>
        </is>
      </c>
      <c r="F3" s="30" t="inlineStr">
        <is>
          <t>mining / minerals / metals</t>
        </is>
      </c>
      <c r="G3" s="30" t="inlineStr">
        <is>
          <t>midcap</t>
        </is>
      </c>
      <c r="H3" s="31" t="n">
        <v>5304.77</v>
      </c>
      <c r="I3" s="31" t="n">
        <v>1105.05</v>
      </c>
      <c r="J3" s="31" t="n">
        <v>20</v>
      </c>
      <c r="K3" s="31" t="n">
        <v>10977326</v>
      </c>
      <c r="L3" s="30" t="n">
        <v>72</v>
      </c>
      <c r="M3" s="30" t="inlineStr">
        <is>
          <t>Underperforming</t>
        </is>
      </c>
      <c r="N3" s="31">
        <f>IF(M3="Underperforming",-5,IF(L3&gt;=95,15,IF(L3&gt;=90,10,IF(L3&gt;=80,5,0))))</f>
        <v/>
      </c>
      <c r="O3" s="31" t="n">
        <v>76.2</v>
      </c>
      <c r="P3" s="31" t="n">
        <v>45.6</v>
      </c>
      <c r="Q3" s="31" t="inlineStr"/>
      <c r="R3" s="30" t="inlineStr">
        <is>
          <t>Volume Spike / Accumulation</t>
        </is>
      </c>
      <c r="S3" s="30" t="inlineStr">
        <is>
          <t>Nifty Metal</t>
        </is>
      </c>
      <c r="T3" s="31" t="n">
        <v>31.49</v>
      </c>
      <c r="U3" s="31" t="n">
        <v>23.64</v>
      </c>
      <c r="V3" s="31" t="n">
        <v>-5.97</v>
      </c>
      <c r="W3" s="31" t="n">
        <v>14.67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Monopoly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Shallow Cyclical (2 to 3 Years Growth)</t>
        </is>
      </c>
      <c r="AG3" s="30">
        <f>IF(AF3="Structural (10 Years Consistency)",10,IF(AF3="Shallow Cyclical (2 to 3 years growth)",5,0))</f>
        <v/>
      </c>
      <c r="AH3" s="30" t="inlineStr">
        <is>
          <t>Yes due to Product Mix change or Operating Leverage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Fully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Close to 52 week high or retracement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Yes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Between 1.5 to 2</t>
        </is>
      </c>
      <c r="BU3" s="30">
        <f>IF(BT3="Above 2",0,IF(BT3="Between 1.5 to 2",5,IF(BT3="Less than 1.5",10,0)))</f>
        <v/>
      </c>
      <c r="BV3" s="30" t="inlineStr">
        <is>
          <t>Less than 50%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IF(B4=0,"",RANK(B4,$B$2:$B$400,0))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PIXTRANS</t>
        </is>
      </c>
      <c r="D4" s="30" t="inlineStr">
        <is>
          <t>Pix Transmission Ltd</t>
        </is>
      </c>
      <c r="E4" s="30" t="inlineStr">
        <is>
          <t>fmcg</t>
        </is>
      </c>
      <c r="F4" s="30" t="inlineStr">
        <is>
          <t>miscellaneous</t>
        </is>
      </c>
      <c r="G4" s="30" t="inlineStr">
        <is>
          <t>smallcap</t>
        </is>
      </c>
      <c r="H4" s="31" t="n">
        <v>2339.72</v>
      </c>
      <c r="I4" s="31" t="n">
        <v>1986.5</v>
      </c>
      <c r="J4" s="31" t="n">
        <v>15.68</v>
      </c>
      <c r="K4" s="31" t="n">
        <v>1309397</v>
      </c>
      <c r="L4" s="30" t="n">
        <v>48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59.95</v>
      </c>
      <c r="P4" s="31" t="n">
        <v>43.39</v>
      </c>
      <c r="Q4" s="31" t="inlineStr"/>
      <c r="R4" s="30" t="inlineStr">
        <is>
          <t>Volume Spike / Accumulation</t>
        </is>
      </c>
      <c r="S4" s="30" t="inlineStr">
        <is>
          <t>Nifty FMCG</t>
        </is>
      </c>
      <c r="T4" s="31" t="n">
        <v>-13.73</v>
      </c>
      <c r="U4" s="31" t="n">
        <v>17.79</v>
      </c>
      <c r="V4" s="31" t="n">
        <v>36.54</v>
      </c>
      <c r="W4" s="31" t="n">
        <v>7.69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Headwind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3</t>
        </is>
      </c>
      <c r="BC4" s="30">
        <f>IF(BB4="Stage 2",20,IF(BB4="Stage 1",0,IF(BB4="Stage 3",5,IF(BB4="Stage 4",-5,0))))</f>
        <v/>
      </c>
      <c r="BD4" s="30" t="inlineStr">
        <is>
          <t>Negative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IF(B5=0,"",RANK(B5,$B$2:$B$400,0))</f>
        <v/>
      </c>
      <c r="B5" s="31">
        <f>SUM(N5,Y5,AA5,AC5,AE5,AG5,AI5,AK5,AM5,AO5,AQ5,AS5,AU5,AW5,AY5,BA5,BC5,BE5,BG5,BI5,BK5,BM5,BO5,BQ5,BS5,BU5,BW5,BY5,CA5,CC5,CE5)</f>
        <v/>
      </c>
      <c r="C5" s="32" t="inlineStr">
        <is>
          <t>APLAPOLLO</t>
        </is>
      </c>
      <c r="D5" s="32" t="inlineStr">
        <is>
          <t>Apl Apollo Tubes Limited</t>
        </is>
      </c>
      <c r="E5" s="30" t="inlineStr">
        <is>
          <t>industrials</t>
        </is>
      </c>
      <c r="F5" s="30" t="inlineStr">
        <is>
          <t>steel - large</t>
        </is>
      </c>
      <c r="G5" s="30" t="inlineStr">
        <is>
          <t>largecap</t>
        </is>
      </c>
      <c r="H5" s="31" t="n">
        <v>54698.71</v>
      </c>
      <c r="I5" s="31" t="n">
        <v>2020</v>
      </c>
      <c r="J5" s="31" t="n">
        <v>2.54</v>
      </c>
      <c r="K5" s="31" t="n">
        <v>1128980</v>
      </c>
      <c r="L5" s="30" t="n">
        <v>10</v>
      </c>
      <c r="M5" s="30" t="inlineStr">
        <is>
          <t>Underperforming</t>
        </is>
      </c>
      <c r="N5" s="31">
        <f>IF(M5="Underperforming",-5,IF(L5&gt;=95,15,IF(L5&gt;=90,10,IF(L5&gt;=80,5,0))))</f>
        <v/>
      </c>
      <c r="O5" s="31" t="n">
        <v>56.06</v>
      </c>
      <c r="P5" s="31" t="n">
        <v>10.78</v>
      </c>
      <c r="Q5" s="31" t="inlineStr"/>
      <c r="R5" s="30" t="inlineStr">
        <is>
          <t>Earnings / Momentum Support</t>
        </is>
      </c>
      <c r="S5" s="30" t="inlineStr">
        <is>
          <t>Nifty Metal</t>
        </is>
      </c>
      <c r="T5" s="31" t="n">
        <v>31.49</v>
      </c>
      <c r="U5" s="31" t="n">
        <v>8.119999999999999</v>
      </c>
      <c r="V5" s="31" t="n">
        <v>-17.78</v>
      </c>
      <c r="W5" s="31" t="n">
        <v>-0.9399999999999999</v>
      </c>
      <c r="X5" s="30" t="inlineStr">
        <is>
          <t>Cyclical in an Upturn</t>
        </is>
      </c>
      <c r="Y5" s="30">
        <f>IF(X5="Growing Industry",10,IF(X5="Cyclical in an Upturn",5,0))</f>
        <v/>
      </c>
      <c r="Z5" s="30" t="inlineStr">
        <is>
          <t>Oligopoly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Cyclical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B2C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Fully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Close to 52 week high or retracement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Yes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Between 1.5 to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IF(B6=0,"",RANK(B6,$B$2:$B$400,0))</f>
        <v/>
      </c>
      <c r="B6" s="31">
        <f>SUM(N6,Y6,AA6,AC6,AE6,AG6,AI6,AK6,AM6,AO6,AQ6,AS6,AU6,AW6,AY6,BA6,BC6,BE6,BG6,BI6,BK6,BM6,BO6,BQ6,BS6,BU6,BW6,BY6,CA6,CC6,CE6)</f>
        <v/>
      </c>
      <c r="C6" s="32" t="inlineStr">
        <is>
          <t>APOLLOTYRE</t>
        </is>
      </c>
      <c r="D6" s="32" t="inlineStr">
        <is>
          <t>Apollo Tyres Limited</t>
        </is>
      </c>
      <c r="E6" s="30" t="inlineStr">
        <is>
          <t>auto</t>
        </is>
      </c>
      <c r="F6" s="30" t="inlineStr">
        <is>
          <t>tyres</t>
        </is>
      </c>
      <c r="G6" s="30" t="inlineStr">
        <is>
          <t>largecap</t>
        </is>
      </c>
      <c r="H6" s="31" t="n">
        <v>28261.99</v>
      </c>
      <c r="I6" s="31" t="n">
        <v>445.95</v>
      </c>
      <c r="J6" s="31" t="n">
        <v>0.21</v>
      </c>
      <c r="K6" s="31" t="n">
        <v>709497</v>
      </c>
      <c r="L6" s="30" t="n">
        <v>10</v>
      </c>
      <c r="M6" s="30" t="inlineStr">
        <is>
          <t>Underperforming</t>
        </is>
      </c>
      <c r="N6" s="31">
        <f>IF(M6="Underperforming",-5,IF(L6&gt;=95,15,IF(L6&gt;=90,10,IF(L6&gt;=80,5,0))))</f>
        <v/>
      </c>
      <c r="O6" s="31" t="n">
        <v>54.37</v>
      </c>
      <c r="P6" s="31" t="n">
        <v>16.91</v>
      </c>
      <c r="Q6" s="31" t="inlineStr"/>
      <c r="R6" s="30" t="inlineStr">
        <is>
          <t>Earnings / Momentum Support</t>
        </is>
      </c>
      <c r="S6" s="30" t="inlineStr">
        <is>
          <t>Nifty Auto</t>
        </is>
      </c>
      <c r="T6" s="31" t="n">
        <v>13.41</v>
      </c>
      <c r="U6" s="31" t="n">
        <v>-4.18</v>
      </c>
      <c r="V6" s="31" t="n">
        <v>-15.51</v>
      </c>
      <c r="W6" s="31" t="n">
        <v>-1.18</v>
      </c>
      <c r="X6" s="30" t="inlineStr">
        <is>
          <t>Cyclical in an Upturn</t>
        </is>
      </c>
      <c r="Y6" s="30">
        <f>IF(X6="Growing Industry",10,IF(X6="Cyclical in an Upturn",5,0))</f>
        <v/>
      </c>
      <c r="Z6" s="30" t="inlineStr">
        <is>
          <t>Oligopoly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Cyclical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B2C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Fully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Close to 52 week high or retracement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Yes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Between 1.5 to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IF(B7=0,"",RANK(B7,$B$2:$B$400,0))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NAVINFLUOR</t>
        </is>
      </c>
      <c r="D7" s="30" t="inlineStr">
        <is>
          <t>Navin Fluorine International Limited</t>
        </is>
      </c>
      <c r="E7" s="30" t="inlineStr">
        <is>
          <t>chemicals</t>
        </is>
      </c>
      <c r="F7" s="30" t="inlineStr">
        <is>
          <t>chemicals</t>
        </is>
      </c>
      <c r="G7" s="30" t="inlineStr">
        <is>
          <t>largecap</t>
        </is>
      </c>
      <c r="H7" s="31" t="n">
        <v>42422.92</v>
      </c>
      <c r="I7" s="31" t="n">
        <v>8196.5</v>
      </c>
      <c r="J7" s="31" t="n">
        <v>-0.9</v>
      </c>
      <c r="K7" s="31" t="n">
        <v>190608</v>
      </c>
      <c r="L7" s="30" t="n">
        <v>73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76.5</v>
      </c>
      <c r="P7" s="31" t="n">
        <v>55.5</v>
      </c>
      <c r="Q7" s="31" t="inlineStr"/>
      <c r="R7" s="30" t="inlineStr">
        <is>
          <t>Earnings / Momentum Support</t>
        </is>
      </c>
      <c r="S7" s="30" t="inlineStr">
        <is>
          <t>Nifty 50</t>
        </is>
      </c>
      <c r="T7" s="31" t="n">
        <v>0.85</v>
      </c>
      <c r="U7" s="31" t="n">
        <v>72.22</v>
      </c>
      <c r="V7" s="31" t="n">
        <v>70.77</v>
      </c>
      <c r="W7" s="31" t="n">
        <v>15.32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Oligopoly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Shallow Cyclical (2 to 3 Years Growth)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20 to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3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Close to 52 week high or retracement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Between 50% to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IF(B8=0,"",RANK(B8,$B$2:$B$400,0))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APCOTEXIND</t>
        </is>
      </c>
      <c r="D8" s="30" t="inlineStr">
        <is>
          <t>Apcotex Industries Limited</t>
        </is>
      </c>
      <c r="E8" s="30" t="inlineStr">
        <is>
          <t>chemicals</t>
        </is>
      </c>
      <c r="F8" s="30" t="inlineStr">
        <is>
          <t>miscellaneous</t>
        </is>
      </c>
      <c r="G8" s="30" t="inlineStr">
        <is>
          <t>smallcap</t>
        </is>
      </c>
      <c r="H8" s="31" t="n">
        <v>3187.43</v>
      </c>
      <c r="I8" s="31" t="n">
        <v>624.05</v>
      </c>
      <c r="J8" s="31" t="n">
        <v>1.5</v>
      </c>
      <c r="K8" s="31" t="n">
        <v>271630</v>
      </c>
      <c r="L8" s="30" t="n">
        <v>71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73.88</v>
      </c>
      <c r="P8" s="31" t="n">
        <v>64.59</v>
      </c>
      <c r="Q8" s="31" t="inlineStr"/>
      <c r="R8" s="30" t="inlineStr">
        <is>
          <t>Earnings / Momentum Support</t>
        </is>
      </c>
      <c r="S8" s="30" t="inlineStr">
        <is>
          <t>Nifty 50</t>
        </is>
      </c>
      <c r="T8" s="31" t="n">
        <v>0.85</v>
      </c>
      <c r="U8" s="31" t="n">
        <v>53.86</v>
      </c>
      <c r="V8" s="31" t="n">
        <v>52.57</v>
      </c>
      <c r="W8" s="31" t="n">
        <v>14.24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Oligopoly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Cyclical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Fully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1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Sideways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Overhead supply in last 2 years in last 2 years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Between 50% to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IF(B9=0,"",RANK(B9,$B$2:$B$400,0))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RPEL</t>
        </is>
      </c>
      <c r="D9" s="30" t="inlineStr">
        <is>
          <t>Raghav Productivity Enhancers Ltd</t>
        </is>
      </c>
      <c r="E9" s="30" t="inlineStr">
        <is>
          <t>building materials</t>
        </is>
      </c>
      <c r="F9" s="30" t="inlineStr">
        <is>
          <t>refractories / intermediates</t>
        </is>
      </c>
      <c r="G9" s="30" t="inlineStr">
        <is>
          <t>midcap</t>
        </is>
      </c>
      <c r="H9" s="31" t="n">
        <v>5770.09</v>
      </c>
      <c r="I9" s="31" t="n">
        <v>1313.8</v>
      </c>
      <c r="J9" s="31" t="n">
        <v>4.56</v>
      </c>
      <c r="K9" s="31" t="n">
        <v>101708</v>
      </c>
      <c r="L9" s="30" t="n">
        <v>96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69.73</v>
      </c>
      <c r="P9" s="31" t="n">
        <v>51.74</v>
      </c>
      <c r="Q9" s="31" t="inlineStr"/>
      <c r="R9" s="30" t="inlineStr">
        <is>
          <t>Earnings / Momentum Support</t>
        </is>
      </c>
      <c r="S9" s="30" t="inlineStr">
        <is>
          <t>Nifty Infra</t>
        </is>
      </c>
      <c r="T9" s="31" t="n">
        <v>1.74</v>
      </c>
      <c r="U9" s="31" t="n">
        <v>89.84999999999999</v>
      </c>
      <c r="V9" s="31" t="n">
        <v>86.59999999999999</v>
      </c>
      <c r="W9" s="31" t="n">
        <v>35.04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No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3</t>
        </is>
      </c>
      <c r="BC9" s="30">
        <f>IF(BB9="Stage 2",20,IF(BB9="Stage 1",0,IF(BB9="Stage 3",5,IF(BB9="Stage 4",-5,0))))</f>
        <v/>
      </c>
      <c r="BD9" s="30" t="inlineStr">
        <is>
          <t>Negative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Close to 52 week high or retracement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IF(B10=0,"",RANK(B10,$B$2:$B$400,0))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CONFIPET</t>
        </is>
      </c>
      <c r="D10" s="30" t="inlineStr">
        <is>
          <t>Confidence Petroleum India Ltd</t>
        </is>
      </c>
      <c r="E10" s="30" t="inlineStr">
        <is>
          <t>miscellaneous</t>
        </is>
      </c>
      <c r="F10" s="30" t="inlineStr">
        <is>
          <t>miscellaneous</t>
        </is>
      </c>
      <c r="G10" s="30" t="inlineStr">
        <is>
          <t>smallcap</t>
        </is>
      </c>
      <c r="H10" s="31" t="n">
        <v>2700.46</v>
      </c>
      <c r="I10" s="31" t="n">
        <v>82.73999999999999</v>
      </c>
      <c r="J10" s="31" t="n">
        <v>1.8</v>
      </c>
      <c r="K10" s="31" t="n">
        <v>5858829</v>
      </c>
      <c r="L10" s="30" t="n">
        <v>90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72.7</v>
      </c>
      <c r="P10" s="31" t="n">
        <v>69.01000000000001</v>
      </c>
      <c r="Q10" s="31" t="inlineStr"/>
      <c r="R10" s="30" t="inlineStr">
        <is>
          <t>Earnings / Momentum Support</t>
        </is>
      </c>
      <c r="S10" s="30" t="inlineStr">
        <is>
          <t>Nifty 50</t>
        </is>
      </c>
      <c r="T10" s="31" t="n">
        <v>0.85</v>
      </c>
      <c r="U10" s="31" t="n">
        <v>66.91</v>
      </c>
      <c r="V10" s="31" t="n">
        <v>65.5</v>
      </c>
      <c r="W10" s="31" t="n">
        <v>26.52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No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3</t>
        </is>
      </c>
      <c r="BC10" s="30">
        <f>IF(BB10="Stage 2",20,IF(BB10="Stage 1",0,IF(BB10="Stage 3",5,IF(BB10="Stage 4",-5,0))))</f>
        <v/>
      </c>
      <c r="BD10" s="30" t="inlineStr">
        <is>
          <t>Negative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Close to 52 week high or retracement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IF(B11=0,"",RANK(B11,$B$2:$B$400,0))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TINNARUBR</t>
        </is>
      </c>
      <c r="D11" s="30" t="inlineStr">
        <is>
          <t>Tinna Rubber &amp; Infrastructure Ltd</t>
        </is>
      </c>
      <c r="E11" s="30" t="inlineStr">
        <is>
          <t>fmcg</t>
        </is>
      </c>
      <c r="F11" s="30" t="inlineStr">
        <is>
          <t>miscellaneous</t>
        </is>
      </c>
      <c r="G11" s="30" t="inlineStr">
        <is>
          <t>smallcap</t>
        </is>
      </c>
      <c r="H11" s="31" t="n">
        <v>1996.33</v>
      </c>
      <c r="I11" s="31" t="n">
        <v>1118</v>
      </c>
      <c r="J11" s="31" t="n">
        <v>0.89</v>
      </c>
      <c r="K11" s="31" t="n">
        <v>64083</v>
      </c>
      <c r="L11" s="30" t="n">
        <v>56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71.70999999999999</v>
      </c>
      <c r="P11" s="31" t="n">
        <v>43.86</v>
      </c>
      <c r="Q11" s="31" t="inlineStr"/>
      <c r="R11" s="30" t="inlineStr">
        <is>
          <t>Earnings / Momentum Support</t>
        </is>
      </c>
      <c r="S11" s="30" t="inlineStr">
        <is>
          <t>Nifty FMCG</t>
        </is>
      </c>
      <c r="T11" s="31" t="n">
        <v>-13.73</v>
      </c>
      <c r="U11" s="31" t="n">
        <v>0.8</v>
      </c>
      <c r="V11" s="31" t="n">
        <v>16.84</v>
      </c>
      <c r="W11" s="31" t="n">
        <v>9.539999999999999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B2C</t>
        </is>
      </c>
      <c r="AO11" s="30">
        <f>IF(AN11="B2C",10,IF(AN11="B2B",5,0))</f>
        <v/>
      </c>
      <c r="AP11" s="30" t="inlineStr">
        <is>
          <t>No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3</t>
        </is>
      </c>
      <c r="BC11" s="30">
        <f>IF(BB11="Stage 2",20,IF(BB11="Stage 1",0,IF(BB11="Stage 3",5,IF(BB11="Stage 4",-5,0))))</f>
        <v/>
      </c>
      <c r="BD11" s="30" t="inlineStr">
        <is>
          <t>Negative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IF(B12=0,"",RANK(B12,$B$2:$B$400,0))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PRICOLLTD</t>
        </is>
      </c>
      <c r="D12" s="30" t="inlineStr">
        <is>
          <t>Pricol Ltd.</t>
        </is>
      </c>
      <c r="E12" s="30" t="inlineStr">
        <is>
          <t>auto</t>
        </is>
      </c>
      <c r="F12" s="30" t="inlineStr">
        <is>
          <t>auto ancillaries</t>
        </is>
      </c>
      <c r="G12" s="30" t="inlineStr">
        <is>
          <t>midcap</t>
        </is>
      </c>
      <c r="H12" s="31" t="n">
        <v>8993.639999999999</v>
      </c>
      <c r="I12" s="31" t="n">
        <v>732.8</v>
      </c>
      <c r="J12" s="31" t="n">
        <v>-0.6899999999999999</v>
      </c>
      <c r="K12" s="31" t="n">
        <v>579652</v>
      </c>
      <c r="L12" s="30" t="n">
        <v>48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71.13</v>
      </c>
      <c r="P12" s="31" t="n">
        <v>25.87</v>
      </c>
      <c r="Q12" s="31" t="inlineStr"/>
      <c r="R12" s="30" t="inlineStr">
        <is>
          <t>Earnings / Momentum Support</t>
        </is>
      </c>
      <c r="S12" s="30" t="inlineStr">
        <is>
          <t>Nifty Auto</t>
        </is>
      </c>
      <c r="T12" s="31" t="n">
        <v>13.41</v>
      </c>
      <c r="U12" s="31" t="n">
        <v>36.08</v>
      </c>
      <c r="V12" s="31" t="n">
        <v>19.98</v>
      </c>
      <c r="W12" s="31" t="n">
        <v>7.62</v>
      </c>
      <c r="X12" s="30" t="inlineStr">
        <is>
          <t>Cyclical in an Upturn</t>
        </is>
      </c>
      <c r="Y12" s="30">
        <f>IF(X12="Growing Industry",10,IF(X12="Cyclical in an Upturn",5,0))</f>
        <v/>
      </c>
      <c r="Z12" s="30" t="inlineStr">
        <is>
          <t>Oligopoly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Shallow Cyclical (2 to 3 Years Growth)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Fully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Allocated capital in Non-core Areas</t>
        </is>
      </c>
      <c r="AU12" s="30">
        <f>IF(AT12="Good",10,0)</f>
        <v/>
      </c>
      <c r="AV12" s="30" t="inlineStr">
        <is>
          <t>Yes only for next 1 to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Between 12 to 20%</t>
        </is>
      </c>
      <c r="BO12" s="30">
        <f>IF(BN12="More than 20%",10,IF(BN12="Between 12 to 20%",5,IF(BN12="Less than 12%",0,0)))</f>
        <v/>
      </c>
      <c r="BP12" s="30" t="inlineStr">
        <is>
          <t>Yes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Between 1.5 to 2</t>
        </is>
      </c>
      <c r="BU12" s="30">
        <f>IF(BT12="Above 2",0,IF(BT12="Between 1.5 to 2",5,IF(BT12="Less than 1.5",10,0)))</f>
        <v/>
      </c>
      <c r="BV12" s="30" t="inlineStr">
        <is>
          <t>Between 50% to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IF(B13=0,"",RANK(B13,$B$2:$B$400,0))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IOLCP</t>
        </is>
      </c>
      <c r="D13" s="30" t="inlineStr">
        <is>
          <t>Iol Chemicals And Pharmaceuticals Limited</t>
        </is>
      </c>
      <c r="E13" s="30" t="inlineStr">
        <is>
          <t>healthcare</t>
        </is>
      </c>
      <c r="F13" s="30" t="inlineStr">
        <is>
          <t>pharmaceuticals - indian - bulk drugs &amp; formln</t>
        </is>
      </c>
      <c r="G13" s="30" t="inlineStr">
        <is>
          <t>smallcap</t>
        </is>
      </c>
      <c r="H13" s="31" t="n">
        <v>4926.86</v>
      </c>
      <c r="I13" s="31" t="n">
        <v>164.66</v>
      </c>
      <c r="J13" s="31" t="n">
        <v>-1.9</v>
      </c>
      <c r="K13" s="31" t="n">
        <v>15141043</v>
      </c>
      <c r="L13" s="30" t="n">
        <v>94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73</v>
      </c>
      <c r="P13" s="31" t="n">
        <v>75.97</v>
      </c>
      <c r="Q13" s="31" t="inlineStr"/>
      <c r="R13" s="30" t="inlineStr">
        <is>
          <t>Earnings / Momentum Support</t>
        </is>
      </c>
      <c r="S13" s="30" t="inlineStr">
        <is>
          <t>Nifty Pharma</t>
        </is>
      </c>
      <c r="T13" s="31" t="n">
        <v>24.01</v>
      </c>
      <c r="U13" s="31" t="n">
        <v>83.54000000000001</v>
      </c>
      <c r="V13" s="31" t="n">
        <v>48</v>
      </c>
      <c r="W13" s="31" t="n">
        <v>31.52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No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3</t>
        </is>
      </c>
      <c r="BC13" s="30">
        <f>IF(BB13="Stage 2",20,IF(BB13="Stage 1",0,IF(BB13="Stage 3",5,IF(BB13="Stage 4",-5,0))))</f>
        <v/>
      </c>
      <c r="BD13" s="30" t="inlineStr">
        <is>
          <t>Negative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IF(B14=0,"",RANK(B14,$B$2:$B$400,0))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INDOBORAX</t>
        </is>
      </c>
      <c r="D14" s="30" t="inlineStr">
        <is>
          <t>Indo Borax &amp; Chemicals Ltd</t>
        </is>
      </c>
      <c r="E14" s="30" t="inlineStr">
        <is>
          <t>chemicals</t>
        </is>
      </c>
      <c r="F14" s="30" t="inlineStr">
        <is>
          <t>chemicals</t>
        </is>
      </c>
      <c r="G14" s="30" t="inlineStr">
        <is>
          <t>smallcap</t>
        </is>
      </c>
      <c r="H14" s="31" t="n">
        <v>1284.88</v>
      </c>
      <c r="I14" s="31" t="n">
        <v>429.5</v>
      </c>
      <c r="J14" s="31" t="n">
        <v>7.27</v>
      </c>
      <c r="K14" s="31" t="n">
        <v>1906898</v>
      </c>
      <c r="L14" s="30" t="n">
        <v>89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70.45999999999999</v>
      </c>
      <c r="P14" s="31" t="n">
        <v>72.69</v>
      </c>
      <c r="Q14" s="31" t="inlineStr"/>
      <c r="R14" s="30" t="inlineStr">
        <is>
          <t>Earnings / Momentum Support</t>
        </is>
      </c>
      <c r="S14" s="30" t="inlineStr">
        <is>
          <t>Nifty 50</t>
        </is>
      </c>
      <c r="T14" s="31" t="n">
        <v>0.85</v>
      </c>
      <c r="U14" s="31" t="n">
        <v>64.28</v>
      </c>
      <c r="V14" s="31" t="n">
        <v>62.89</v>
      </c>
      <c r="W14" s="31" t="n">
        <v>24.96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No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3</t>
        </is>
      </c>
      <c r="BC14" s="30">
        <f>IF(BB14="Stage 2",20,IF(BB14="Stage 1",0,IF(BB14="Stage 3",5,IF(BB14="Stage 4",-5,0))))</f>
        <v/>
      </c>
      <c r="BD14" s="30" t="inlineStr">
        <is>
          <t>Negative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IF(B15=0,"",RANK(B15,$B$2:$B$400,0))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RPTECH</t>
        </is>
      </c>
      <c r="D15" s="30" t="inlineStr">
        <is>
          <t>Rashi Peripherals Ltd</t>
        </is>
      </c>
      <c r="E15" s="30" t="inlineStr">
        <is>
          <t>services</t>
        </is>
      </c>
      <c r="F15" s="30" t="inlineStr">
        <is>
          <t>trading</t>
        </is>
      </c>
      <c r="G15" s="30" t="inlineStr">
        <is>
          <t>midcap</t>
        </is>
      </c>
      <c r="H15" s="31" t="n">
        <v>5895.71</v>
      </c>
      <c r="I15" s="31" t="n">
        <v>896.7</v>
      </c>
      <c r="J15" s="31" t="n">
        <v>0.23</v>
      </c>
      <c r="K15" s="31" t="n">
        <v>327277</v>
      </c>
      <c r="L15" s="30" t="n">
        <v>97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83</v>
      </c>
      <c r="P15" s="31" t="n">
        <v>79.11</v>
      </c>
      <c r="Q15" s="31" t="inlineStr"/>
      <c r="R15" s="30" t="inlineStr">
        <is>
          <t>Earnings / Momentum Support</t>
        </is>
      </c>
      <c r="S15" s="30" t="inlineStr">
        <is>
          <t>Nifty 50</t>
        </is>
      </c>
      <c r="T15" s="31" t="n">
        <v>0.85</v>
      </c>
      <c r="U15" s="31" t="n">
        <v>221.47</v>
      </c>
      <c r="V15" s="31" t="n">
        <v>218.76</v>
      </c>
      <c r="W15" s="31" t="n">
        <v>42.09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No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3</t>
        </is>
      </c>
      <c r="BC15" s="30">
        <f>IF(BB15="Stage 2",20,IF(BB15="Stage 1",0,IF(BB15="Stage 3",5,IF(BB15="Stage 4",-5,0))))</f>
        <v/>
      </c>
      <c r="BD15" s="30" t="inlineStr">
        <is>
          <t>Negative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IF(B16=0,"",RANK(B16,$B$2:$B$400,0))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AURUM</t>
        </is>
      </c>
      <c r="D16" s="30" t="inlineStr">
        <is>
          <t>Aurum Proptech Ltd</t>
        </is>
      </c>
      <c r="E16" s="30" t="inlineStr">
        <is>
          <t>i.t</t>
        </is>
      </c>
      <c r="F16" s="30" t="inlineStr">
        <is>
          <t>computers - software - medium / small</t>
        </is>
      </c>
      <c r="G16" s="30" t="inlineStr">
        <is>
          <t>smallcap</t>
        </is>
      </c>
      <c r="H16" s="31" t="n">
        <v>1734.31</v>
      </c>
      <c r="I16" s="31" t="n">
        <v>231.27</v>
      </c>
      <c r="J16" s="31" t="n">
        <v>2.33</v>
      </c>
      <c r="K16" s="31" t="n">
        <v>362253</v>
      </c>
      <c r="L16" s="30" t="n">
        <v>59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63.48</v>
      </c>
      <c r="P16" s="31" t="n">
        <v>46.1</v>
      </c>
      <c r="Q16" s="31" t="inlineStr"/>
      <c r="R16" s="30" t="inlineStr">
        <is>
          <t>Earnings / Momentum Support</t>
        </is>
      </c>
      <c r="S16" s="30" t="inlineStr">
        <is>
          <t>Nifty IT</t>
        </is>
      </c>
      <c r="T16" s="31" t="n">
        <v>-8.289999999999999</v>
      </c>
      <c r="U16" s="31" t="n">
        <v>24.05</v>
      </c>
      <c r="V16" s="31" t="n">
        <v>35.26</v>
      </c>
      <c r="W16" s="31" t="n">
        <v>10.55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No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3</t>
        </is>
      </c>
      <c r="BC16" s="30">
        <f>IF(BB16="Stage 2",20,IF(BB16="Stage 1",0,IF(BB16="Stage 3",5,IF(BB16="Stage 4",-5,0))))</f>
        <v/>
      </c>
      <c r="BD16" s="30" t="inlineStr">
        <is>
          <t>Negative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IF(B17=0,"",RANK(B17,$B$2:$B$400,0))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SCPL</t>
        </is>
      </c>
      <c r="D17" s="30" t="inlineStr">
        <is>
          <t>Sheetal Cool Products Ltd</t>
        </is>
      </c>
      <c r="E17" s="30" t="inlineStr">
        <is>
          <t>fmcg</t>
        </is>
      </c>
      <c r="F17" s="30" t="inlineStr">
        <is>
          <t>food - processing - indian</t>
        </is>
      </c>
      <c r="G17" s="30" t="inlineStr">
        <is>
          <t>smallcap</t>
        </is>
      </c>
      <c r="H17" s="31" t="n">
        <v>671.9</v>
      </c>
      <c r="I17" s="31" t="n">
        <v>631.35</v>
      </c>
      <c r="J17" s="31" t="n">
        <v>-1.34</v>
      </c>
      <c r="K17" s="31" t="n">
        <v>133705</v>
      </c>
      <c r="L17" s="30" t="n">
        <v>88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75.3</v>
      </c>
      <c r="P17" s="31" t="n">
        <v>60.47</v>
      </c>
      <c r="Q17" s="31" t="inlineStr"/>
      <c r="R17" s="30" t="inlineStr">
        <is>
          <t>Earnings / Momentum Support</t>
        </is>
      </c>
      <c r="S17" s="30" t="inlineStr">
        <is>
          <t>Nifty FMCG</t>
        </is>
      </c>
      <c r="T17" s="31" t="n">
        <v>-13.73</v>
      </c>
      <c r="U17" s="31" t="n">
        <v>62.03</v>
      </c>
      <c r="V17" s="31" t="n">
        <v>87.81999999999999</v>
      </c>
      <c r="W17" s="31" t="n">
        <v>24.27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B2C</t>
        </is>
      </c>
      <c r="AO17" s="30">
        <f>IF(AN17="B2C",10,IF(AN17="B2B",5,0))</f>
        <v/>
      </c>
      <c r="AP17" s="30" t="inlineStr">
        <is>
          <t>No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3</t>
        </is>
      </c>
      <c r="BC17" s="30">
        <f>IF(BB17="Stage 2",20,IF(BB17="Stage 1",0,IF(BB17="Stage 3",5,IF(BB17="Stage 4",-5,0))))</f>
        <v/>
      </c>
      <c r="BD17" s="30" t="inlineStr">
        <is>
          <t>Negative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IF(B18=0,"",RANK(B18,$B$2:$B$400,0))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VINDHYATEL</t>
        </is>
      </c>
      <c r="D18" s="30" t="inlineStr">
        <is>
          <t>Vindhya Telelinks Limited</t>
        </is>
      </c>
      <c r="E18" s="30" t="inlineStr">
        <is>
          <t>realty</t>
        </is>
      </c>
      <c r="F18" s="30" t="inlineStr">
        <is>
          <t>construction</t>
        </is>
      </c>
      <c r="G18" s="30" t="inlineStr">
        <is>
          <t>smallcap</t>
        </is>
      </c>
      <c r="H18" s="31" t="n">
        <v>2656.61</v>
      </c>
      <c r="I18" s="31" t="n">
        <v>2438.4</v>
      </c>
      <c r="J18" s="31" t="n">
        <v>8.77</v>
      </c>
      <c r="K18" s="31" t="n">
        <v>290828</v>
      </c>
      <c r="L18" s="30" t="n">
        <v>54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63.15</v>
      </c>
      <c r="P18" s="31" t="n">
        <v>51.87</v>
      </c>
      <c r="Q18" s="31" t="inlineStr"/>
      <c r="R18" s="30" t="inlineStr">
        <is>
          <t>Earnings / Momentum Support</t>
        </is>
      </c>
      <c r="S18" s="30" t="inlineStr">
        <is>
          <t>Nifty Realty</t>
        </is>
      </c>
      <c r="T18" s="31" t="n">
        <v>-8.119999999999999</v>
      </c>
      <c r="U18" s="31" t="n">
        <v>7.21</v>
      </c>
      <c r="V18" s="31" t="n">
        <v>16.68</v>
      </c>
      <c r="W18" s="31" t="n">
        <v>9.01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No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3</t>
        </is>
      </c>
      <c r="BC18" s="30">
        <f>IF(BB18="Stage 2",20,IF(BB18="Stage 1",0,IF(BB18="Stage 3",5,IF(BB18="Stage 4",-5,0))))</f>
        <v/>
      </c>
      <c r="BD18" s="30" t="inlineStr">
        <is>
          <t>Negative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IF(B19=0,"",RANK(B19,$B$2:$B$400,0))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SYRMA</t>
        </is>
      </c>
      <c r="D19" s="30" t="inlineStr">
        <is>
          <t>Syrma SGS Technology Ltd</t>
        </is>
      </c>
      <c r="E19" s="30" t="inlineStr">
        <is>
          <t>consumer discretionary</t>
        </is>
      </c>
      <c r="F19" s="30" t="inlineStr">
        <is>
          <t>electronics - components</t>
        </is>
      </c>
      <c r="G19" s="30" t="inlineStr">
        <is>
          <t>largecap</t>
        </is>
      </c>
      <c r="H19" s="31" t="n">
        <v>27472.56</v>
      </c>
      <c r="I19" s="31" t="n">
        <v>1516.4</v>
      </c>
      <c r="J19" s="31" t="n">
        <v>6.44</v>
      </c>
      <c r="K19" s="31" t="n">
        <v>3864241</v>
      </c>
      <c r="L19" s="30" t="n">
        <v>84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67.89</v>
      </c>
      <c r="P19" s="31" t="n">
        <v>59.69</v>
      </c>
      <c r="Q19" s="31" t="inlineStr"/>
      <c r="R19" s="30" t="inlineStr">
        <is>
          <t>Earnings / Momentum Support</t>
        </is>
      </c>
      <c r="S19" s="30" t="inlineStr">
        <is>
          <t>Nifty 50</t>
        </is>
      </c>
      <c r="T19" s="31" t="n">
        <v>0.85</v>
      </c>
      <c r="U19" s="31" t="n">
        <v>103.05</v>
      </c>
      <c r="V19" s="31" t="n">
        <v>101.34</v>
      </c>
      <c r="W19" s="31" t="n">
        <v>21.65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Headwind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No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3</t>
        </is>
      </c>
      <c r="BC19" s="30">
        <f>IF(BB19="Stage 2",20,IF(BB19="Stage 1",0,IF(BB19="Stage 3",5,IF(BB19="Stage 4",-5,0))))</f>
        <v/>
      </c>
      <c r="BD19" s="30" t="inlineStr">
        <is>
          <t>Negative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IF(B20=0,"",RANK(B20,$B$2:$B$400,0))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CHEMBONDCH</t>
        </is>
      </c>
      <c r="D20" s="30" t="inlineStr">
        <is>
          <t>Chembond Chemicals Ltd</t>
        </is>
      </c>
      <c r="E20" s="30" t="inlineStr">
        <is>
          <t>chemicals</t>
        </is>
      </c>
      <c r="F20" s="30" t="inlineStr">
        <is>
          <t>chemicals</t>
        </is>
      </c>
      <c r="G20" s="30" t="inlineStr">
        <is>
          <t>smallcap</t>
        </is>
      </c>
      <c r="H20" s="31" t="n">
        <v>638.58</v>
      </c>
      <c r="I20" s="31" t="n">
        <v>249.29</v>
      </c>
      <c r="J20" s="31" t="n">
        <v>5</v>
      </c>
      <c r="K20" s="31" t="n">
        <v>36393</v>
      </c>
      <c r="L20" s="30" t="n">
        <v>66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64.73</v>
      </c>
      <c r="P20" s="31" t="n">
        <v>43.53</v>
      </c>
      <c r="Q20" s="31" t="inlineStr"/>
      <c r="R20" s="30" t="inlineStr">
        <is>
          <t>Earnings / Momentum Support</t>
        </is>
      </c>
      <c r="S20" s="30" t="inlineStr">
        <is>
          <t>Nifty 50</t>
        </is>
      </c>
      <c r="T20" s="31" t="n">
        <v>0.85</v>
      </c>
      <c r="U20" s="31" t="n">
        <v>35.87</v>
      </c>
      <c r="V20" s="31" t="n">
        <v>34.72</v>
      </c>
      <c r="W20" s="31" t="n">
        <v>13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No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3</t>
        </is>
      </c>
      <c r="BC20" s="30">
        <f>IF(BB20="Stage 2",20,IF(BB20="Stage 1",0,IF(BB20="Stage 3",5,IF(BB20="Stage 4",-5,0))))</f>
        <v/>
      </c>
      <c r="BD20" s="30" t="inlineStr">
        <is>
          <t>Negative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IF(B21=0,"",RANK(B21,$B$2:$B$400,0))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PASUPTAC</t>
        </is>
      </c>
      <c r="D21" s="30" t="inlineStr">
        <is>
          <t>Pasupati Acrylon Ltd</t>
        </is>
      </c>
      <c r="E21" s="30" t="inlineStr">
        <is>
          <t>textiles</t>
        </is>
      </c>
      <c r="F21" s="30" t="inlineStr">
        <is>
          <t>textiles - manmade</t>
        </is>
      </c>
      <c r="G21" s="30" t="inlineStr">
        <is>
          <t>smallcap</t>
        </is>
      </c>
      <c r="H21" s="31" t="n">
        <v>556.01</v>
      </c>
      <c r="I21" s="31" t="n">
        <v>65.3</v>
      </c>
      <c r="J21" s="31" t="n">
        <v>4.68</v>
      </c>
      <c r="K21" s="31" t="n">
        <v>246857</v>
      </c>
      <c r="L21" s="30" t="n">
        <v>57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57.36</v>
      </c>
      <c r="P21" s="31" t="n">
        <v>47.74</v>
      </c>
      <c r="Q21" s="31" t="inlineStr"/>
      <c r="R21" s="30" t="inlineStr">
        <is>
          <t>Earnings / Momentum Support</t>
        </is>
      </c>
      <c r="S21" s="30" t="inlineStr">
        <is>
          <t>Nifty 50</t>
        </is>
      </c>
      <c r="T21" s="31" t="n">
        <v>0.85</v>
      </c>
      <c r="U21" s="31" t="n">
        <v>36.17</v>
      </c>
      <c r="V21" s="31" t="n">
        <v>35.02</v>
      </c>
      <c r="W21" s="31" t="n">
        <v>9.619999999999999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Headwind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No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3</t>
        </is>
      </c>
      <c r="BC21" s="30">
        <f>IF(BB21="Stage 2",20,IF(BB21="Stage 1",0,IF(BB21="Stage 3",5,IF(BB21="Stage 4",-5,0))))</f>
        <v/>
      </c>
      <c r="BD21" s="30" t="inlineStr">
        <is>
          <t>Negative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IF(B22=0,"",RANK(B22,$B$2:$B$400,0))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QUESS</t>
        </is>
      </c>
      <c r="D22" s="30" t="inlineStr">
        <is>
          <t>Quess Corp Limited</t>
        </is>
      </c>
      <c r="E22" s="30" t="inlineStr">
        <is>
          <t>miscellaneous</t>
        </is>
      </c>
      <c r="F22" s="30" t="inlineStr">
        <is>
          <t>diversified - large</t>
        </is>
      </c>
      <c r="G22" s="30" t="inlineStr">
        <is>
          <t>smallcap</t>
        </is>
      </c>
      <c r="H22" s="31" t="n">
        <v>4645.84</v>
      </c>
      <c r="I22" s="31" t="n">
        <v>323.75</v>
      </c>
      <c r="J22" s="31" t="n">
        <v>4.08</v>
      </c>
      <c r="K22" s="31" t="n">
        <v>900407</v>
      </c>
      <c r="L22" s="30" t="n">
        <v>68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70.76000000000001</v>
      </c>
      <c r="P22" s="31" t="n">
        <v>50.04</v>
      </c>
      <c r="Q22" s="31" t="inlineStr"/>
      <c r="R22" s="30" t="inlineStr">
        <is>
          <t>Earnings / Momentum Support</t>
        </is>
      </c>
      <c r="S22" s="30" t="inlineStr">
        <is>
          <t>Nifty 50</t>
        </is>
      </c>
      <c r="T22" s="31" t="n">
        <v>0.85</v>
      </c>
      <c r="U22" s="31" t="n">
        <v>21.89</v>
      </c>
      <c r="V22" s="31" t="n">
        <v>20.86</v>
      </c>
      <c r="W22" s="31" t="n">
        <v>13.69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Headwind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No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3</t>
        </is>
      </c>
      <c r="BC22" s="30">
        <f>IF(BB22="Stage 2",20,IF(BB22="Stage 1",0,IF(BB22="Stage 3",5,IF(BB22="Stage 4",-5,0))))</f>
        <v/>
      </c>
      <c r="BD22" s="30" t="inlineStr">
        <is>
          <t>Negative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IF(B23=0,"",RANK(B23,$B$2:$B$400,0))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KANORICHEM</t>
        </is>
      </c>
      <c r="D23" s="30" t="inlineStr">
        <is>
          <t>Kanoria Chemicals &amp; Industries Limited</t>
        </is>
      </c>
      <c r="E23" s="30" t="inlineStr">
        <is>
          <t>chemicals</t>
        </is>
      </c>
      <c r="F23" s="30" t="inlineStr">
        <is>
          <t>chemicals</t>
        </is>
      </c>
      <c r="G23" s="30" t="inlineStr">
        <is>
          <t>smallcap</t>
        </is>
      </c>
      <c r="H23" s="31" t="n">
        <v>654.05</v>
      </c>
      <c r="I23" s="31" t="n">
        <v>153.55</v>
      </c>
      <c r="J23" s="31" t="n">
        <v>2.58</v>
      </c>
      <c r="K23" s="31" t="n">
        <v>27842</v>
      </c>
      <c r="L23" s="30" t="n">
        <v>90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70.22</v>
      </c>
      <c r="P23" s="31" t="n">
        <v>56.1</v>
      </c>
      <c r="Q23" s="31" t="inlineStr"/>
      <c r="R23" s="30" t="inlineStr">
        <is>
          <t>Earnings / Momentum Support</t>
        </is>
      </c>
      <c r="S23" s="30" t="inlineStr">
        <is>
          <t>Nifty 50</t>
        </is>
      </c>
      <c r="T23" s="31" t="n">
        <v>0.85</v>
      </c>
      <c r="U23" s="31" t="n">
        <v>72.55</v>
      </c>
      <c r="V23" s="31" t="n">
        <v>71.09999999999999</v>
      </c>
      <c r="W23" s="31" t="n">
        <v>25.42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No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3</t>
        </is>
      </c>
      <c r="BC23" s="30">
        <f>IF(BB23="Stage 2",20,IF(BB23="Stage 1",0,IF(BB23="Stage 3",5,IF(BB23="Stage 4",-5,0))))</f>
        <v/>
      </c>
      <c r="BD23" s="30" t="inlineStr">
        <is>
          <t>Negative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IF(B24=0,"",RANK(B24,$B$2:$B$400,0))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FCL</t>
        </is>
      </c>
      <c r="D24" s="30" t="inlineStr">
        <is>
          <t>Fineotex Chemical Limited</t>
        </is>
      </c>
      <c r="E24" s="30" t="inlineStr">
        <is>
          <t>chemicals</t>
        </is>
      </c>
      <c r="F24" s="30" t="inlineStr">
        <is>
          <t>chemicals</t>
        </is>
      </c>
      <c r="G24" s="30" t="inlineStr">
        <is>
          <t>smallcap</t>
        </is>
      </c>
      <c r="H24" s="31" t="n">
        <v>4848.98</v>
      </c>
      <c r="I24" s="31" t="n">
        <v>42.51</v>
      </c>
      <c r="J24" s="31" t="n">
        <v>2.09</v>
      </c>
      <c r="K24" s="31" t="n">
        <v>13354818</v>
      </c>
      <c r="L24" s="30" t="n">
        <v>86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66.92</v>
      </c>
      <c r="P24" s="31" t="n">
        <v>49.85</v>
      </c>
      <c r="Q24" s="31" t="inlineStr"/>
      <c r="R24" s="30" t="inlineStr">
        <is>
          <t>Earnings / Momentum Support</t>
        </is>
      </c>
      <c r="S24" s="30" t="inlineStr">
        <is>
          <t>Nifty 50</t>
        </is>
      </c>
      <c r="T24" s="31" t="n">
        <v>0.85</v>
      </c>
      <c r="U24" s="31" t="n">
        <v>77.59999999999999</v>
      </c>
      <c r="V24" s="31" t="n">
        <v>76.09999999999999</v>
      </c>
      <c r="W24" s="31" t="n">
        <v>23.65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No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3</t>
        </is>
      </c>
      <c r="BC24" s="30">
        <f>IF(BB24="Stage 2",20,IF(BB24="Stage 1",0,IF(BB24="Stage 3",5,IF(BB24="Stage 4",-5,0))))</f>
        <v/>
      </c>
      <c r="BD24" s="30" t="inlineStr">
        <is>
          <t>Negative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IF(B25=0,"",RANK(B25,$B$2:$B$400,0))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ICIL</t>
        </is>
      </c>
      <c r="D25" s="30" t="inlineStr">
        <is>
          <t>Indo Count Industries Limited</t>
        </is>
      </c>
      <c r="E25" s="30" t="inlineStr">
        <is>
          <t>textiles</t>
        </is>
      </c>
      <c r="F25" s="30" t="inlineStr">
        <is>
          <t>textiles - cotton/blended</t>
        </is>
      </c>
      <c r="G25" s="30" t="inlineStr">
        <is>
          <t>midcap</t>
        </is>
      </c>
      <c r="H25" s="31" t="n">
        <v>8449</v>
      </c>
      <c r="I25" s="31" t="n">
        <v>425</v>
      </c>
      <c r="J25" s="31" t="n">
        <v>-0.38</v>
      </c>
      <c r="K25" s="31" t="n">
        <v>363475</v>
      </c>
      <c r="L25" s="30" t="n">
        <v>84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69.34999999999999</v>
      </c>
      <c r="P25" s="31" t="n">
        <v>54.78</v>
      </c>
      <c r="Q25" s="31" t="inlineStr"/>
      <c r="R25" s="30" t="inlineStr">
        <is>
          <t>Earnings / Momentum Support</t>
        </is>
      </c>
      <c r="S25" s="30" t="inlineStr">
        <is>
          <t>Nifty 50</t>
        </is>
      </c>
      <c r="T25" s="31" t="n">
        <v>0.85</v>
      </c>
      <c r="U25" s="31" t="n">
        <v>84.36</v>
      </c>
      <c r="V25" s="31" t="n">
        <v>82.8</v>
      </c>
      <c r="W25" s="31" t="n">
        <v>21.77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Headwind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No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3</t>
        </is>
      </c>
      <c r="BC25" s="30">
        <f>IF(BB25="Stage 2",20,IF(BB25="Stage 1",0,IF(BB25="Stage 3",5,IF(BB25="Stage 4",-5,0))))</f>
        <v/>
      </c>
      <c r="BD25" s="30" t="inlineStr">
        <is>
          <t>Negative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IF(B26=0,"",RANK(B26,$B$2:$B$400,0))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OCCLLTD</t>
        </is>
      </c>
      <c r="D26" s="30" t="inlineStr">
        <is>
          <t>OCCL Ltd</t>
        </is>
      </c>
      <c r="E26" s="30" t="inlineStr">
        <is>
          <t>chemicals</t>
        </is>
      </c>
      <c r="F26" s="30" t="inlineStr">
        <is>
          <t>chemicals</t>
        </is>
      </c>
      <c r="G26" s="30" t="inlineStr">
        <is>
          <t>smallcap</t>
        </is>
      </c>
      <c r="H26" s="31" t="n">
        <v>784.67</v>
      </c>
      <c r="I26" s="31" t="n">
        <v>156.19</v>
      </c>
      <c r="J26" s="31" t="n">
        <v>-0.57</v>
      </c>
      <c r="K26" s="31" t="n">
        <v>67672</v>
      </c>
      <c r="L26" s="30" t="n">
        <v>77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72.12</v>
      </c>
      <c r="P26" s="31" t="n">
        <v>40.05</v>
      </c>
      <c r="Q26" s="31" t="inlineStr"/>
      <c r="R26" s="30" t="inlineStr">
        <is>
          <t>Earnings / Momentum Support</t>
        </is>
      </c>
      <c r="S26" s="30" t="inlineStr">
        <is>
          <t>Nifty 50</t>
        </is>
      </c>
      <c r="T26" s="31" t="n">
        <v>0.85</v>
      </c>
      <c r="U26" s="31" t="n">
        <v>18.15</v>
      </c>
      <c r="V26" s="31" t="n">
        <v>17.16</v>
      </c>
      <c r="W26" s="31" t="n">
        <v>17.21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No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3</t>
        </is>
      </c>
      <c r="BC26" s="30">
        <f>IF(BB26="Stage 2",20,IF(BB26="Stage 1",0,IF(BB26="Stage 3",5,IF(BB26="Stage 4",-5,0))))</f>
        <v/>
      </c>
      <c r="BD26" s="30" t="inlineStr">
        <is>
          <t>Negative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IF(B27=0,"",RANK(B27,$B$2:$B$400,0))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SENORES</t>
        </is>
      </c>
      <c r="D27" s="30" t="inlineStr">
        <is>
          <t>Senores Pharmaceuticals Ltd</t>
        </is>
      </c>
      <c r="E27" s="30" t="inlineStr">
        <is>
          <t>healthcare</t>
        </is>
      </c>
      <c r="F27" s="30" t="inlineStr">
        <is>
          <t>pharmaceuticals - indian - formulations</t>
        </is>
      </c>
      <c r="G27" s="30" t="inlineStr">
        <is>
          <t>midcap</t>
        </is>
      </c>
      <c r="H27" s="31" t="n">
        <v>6183.15</v>
      </c>
      <c r="I27" s="31" t="n">
        <v>1422.2</v>
      </c>
      <c r="J27" s="31" t="n">
        <v>5.93</v>
      </c>
      <c r="K27" s="31" t="n">
        <v>565542</v>
      </c>
      <c r="L27" s="30" t="n">
        <v>88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68.05</v>
      </c>
      <c r="P27" s="31" t="n">
        <v>61.25</v>
      </c>
      <c r="Q27" s="31" t="inlineStr"/>
      <c r="R27" s="30" t="inlineStr">
        <is>
          <t>Earnings / Momentum Support</t>
        </is>
      </c>
      <c r="S27" s="30" t="inlineStr">
        <is>
          <t>Nifty Pharma</t>
        </is>
      </c>
      <c r="T27" s="31" t="n">
        <v>24.01</v>
      </c>
      <c r="U27" s="31" t="n">
        <v>105.79</v>
      </c>
      <c r="V27" s="31" t="n">
        <v>65.94</v>
      </c>
      <c r="W27" s="31" t="n">
        <v>24.3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Headwind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No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3</t>
        </is>
      </c>
      <c r="BC27" s="30">
        <f>IF(BB27="Stage 2",20,IF(BB27="Stage 1",0,IF(BB27="Stage 3",5,IF(BB27="Stage 4",-5,0))))</f>
        <v/>
      </c>
      <c r="BD27" s="30" t="inlineStr">
        <is>
          <t>Negative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IF(B28=0,"",RANK(B28,$B$2:$B$400,0))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SAREGAMA</t>
        </is>
      </c>
      <c r="D28" s="30" t="inlineStr">
        <is>
          <t>Saregama India Limited</t>
        </is>
      </c>
      <c r="E28" s="30" t="inlineStr">
        <is>
          <t>media</t>
        </is>
      </c>
      <c r="F28" s="30" t="inlineStr">
        <is>
          <t>entertainment / electronic media software</t>
        </is>
      </c>
      <c r="G28" s="30" t="inlineStr">
        <is>
          <t>midcap</t>
        </is>
      </c>
      <c r="H28" s="31" t="n">
        <v>10010.67</v>
      </c>
      <c r="I28" s="31" t="n">
        <v>530.05</v>
      </c>
      <c r="J28" s="31" t="n">
        <v>2.09</v>
      </c>
      <c r="K28" s="31" t="n">
        <v>408612</v>
      </c>
      <c r="L28" s="30" t="n">
        <v>64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72.5</v>
      </c>
      <c r="P28" s="31" t="n">
        <v>51.48</v>
      </c>
      <c r="Q28" s="31" t="inlineStr"/>
      <c r="R28" s="30" t="inlineStr">
        <is>
          <t>Earnings / Momentum Support</t>
        </is>
      </c>
      <c r="S28" s="30" t="inlineStr">
        <is>
          <t>Nifty IT</t>
        </is>
      </c>
      <c r="T28" s="31" t="n">
        <v>-8.289999999999999</v>
      </c>
      <c r="U28" s="31" t="n">
        <v>5.89</v>
      </c>
      <c r="V28" s="31" t="n">
        <v>15.46</v>
      </c>
      <c r="W28" s="31" t="n">
        <v>12.3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No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3</t>
        </is>
      </c>
      <c r="BC28" s="30">
        <f>IF(BB28="Stage 2",20,IF(BB28="Stage 1",0,IF(BB28="Stage 3",5,IF(BB28="Stage 4",-5,0))))</f>
        <v/>
      </c>
      <c r="BD28" s="30" t="inlineStr">
        <is>
          <t>Negative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IF(B29=0,"",RANK(B29,$B$2:$B$400,0))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AJANTPHARM</t>
        </is>
      </c>
      <c r="D29" s="30" t="inlineStr">
        <is>
          <t>Ajanta Pharma Limited</t>
        </is>
      </c>
      <c r="E29" s="30" t="inlineStr">
        <is>
          <t>healthcare</t>
        </is>
      </c>
      <c r="F29" s="30" t="inlineStr">
        <is>
          <t>pharmaceuticals - indian - formulations</t>
        </is>
      </c>
      <c r="G29" s="30" t="inlineStr">
        <is>
          <t>largecap</t>
        </is>
      </c>
      <c r="H29" s="31" t="n">
        <v>43592.54</v>
      </c>
      <c r="I29" s="31" t="n">
        <v>3506.2</v>
      </c>
      <c r="J29" s="31" t="n">
        <v>0.49</v>
      </c>
      <c r="K29" s="31" t="n">
        <v>43415</v>
      </c>
      <c r="L29" s="30" t="n">
        <v>57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70.65000000000001</v>
      </c>
      <c r="P29" s="31" t="n">
        <v>45.36</v>
      </c>
      <c r="Q29" s="31" t="inlineStr"/>
      <c r="R29" s="30" t="inlineStr">
        <is>
          <t>Earnings / Momentum Support</t>
        </is>
      </c>
      <c r="S29" s="30" t="inlineStr">
        <is>
          <t>Nifty Pharma</t>
        </is>
      </c>
      <c r="T29" s="31" t="n">
        <v>24.01</v>
      </c>
      <c r="U29" s="31" t="n">
        <v>36.66</v>
      </c>
      <c r="V29" s="31" t="n">
        <v>10.2</v>
      </c>
      <c r="W29" s="31" t="n">
        <v>9.92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No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3</t>
        </is>
      </c>
      <c r="BC29" s="30">
        <f>IF(BB29="Stage 2",20,IF(BB29="Stage 1",0,IF(BB29="Stage 3",5,IF(BB29="Stage 4",-5,0))))</f>
        <v/>
      </c>
      <c r="BD29" s="30" t="inlineStr">
        <is>
          <t>Negative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IF(B30=0,"",RANK(B30,$B$2:$B$400,0))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CUPID</t>
        </is>
      </c>
      <c r="D30" s="30" t="inlineStr">
        <is>
          <t>Cupid Limited</t>
        </is>
      </c>
      <c r="E30" s="30" t="inlineStr">
        <is>
          <t>fmcg</t>
        </is>
      </c>
      <c r="F30" s="30" t="inlineStr">
        <is>
          <t>personal care - indian</t>
        </is>
      </c>
      <c r="G30" s="30" t="inlineStr">
        <is>
          <t>largecap</t>
        </is>
      </c>
      <c r="H30" s="31" t="n">
        <v>35247.59</v>
      </c>
      <c r="I30" s="31" t="n">
        <v>262.71</v>
      </c>
      <c r="J30" s="31" t="n">
        <v>0.22</v>
      </c>
      <c r="K30" s="31" t="n">
        <v>25888287</v>
      </c>
      <c r="L30" s="30" t="n">
        <v>99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91.87</v>
      </c>
      <c r="P30" s="31" t="n">
        <v>70.86</v>
      </c>
      <c r="Q30" s="31" t="inlineStr"/>
      <c r="R30" s="30" t="inlineStr">
        <is>
          <t>Earnings / Momentum Support</t>
        </is>
      </c>
      <c r="S30" s="30" t="inlineStr">
        <is>
          <t>Nifty FMCG</t>
        </is>
      </c>
      <c r="T30" s="31" t="n">
        <v>-13.73</v>
      </c>
      <c r="U30" s="31" t="n">
        <v>631.6900000000001</v>
      </c>
      <c r="V30" s="31" t="n">
        <v>748.13</v>
      </c>
      <c r="W30" s="31" t="n">
        <v>76.51000000000001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B2C</t>
        </is>
      </c>
      <c r="AO30" s="30">
        <f>IF(AN30="B2C",10,IF(AN30="B2B",5,0))</f>
        <v/>
      </c>
      <c r="AP30" s="30" t="inlineStr">
        <is>
          <t>No</t>
        </is>
      </c>
      <c r="AQ30" s="30">
        <f>IF(AP30="Yes",10,0)</f>
        <v/>
      </c>
      <c r="AR30" s="30" t="inlineStr">
        <is>
          <t>Higher Annuity, Lower One Time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3</t>
        </is>
      </c>
      <c r="BC30" s="30">
        <f>IF(BB30="Stage 2",20,IF(BB30="Stage 1",0,IF(BB30="Stage 3",5,IF(BB30="Stage 4",-5,0))))</f>
        <v/>
      </c>
      <c r="BD30" s="30" t="inlineStr">
        <is>
          <t>Negative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IF(B31=0,"",RANK(B31,$B$2:$B$400,0))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AUROPHARMA</t>
        </is>
      </c>
      <c r="D31" s="30" t="inlineStr">
        <is>
          <t>Aurobindo Pharma Limited</t>
        </is>
      </c>
      <c r="E31" s="30" t="inlineStr">
        <is>
          <t>healthcare</t>
        </is>
      </c>
      <c r="F31" s="30" t="inlineStr">
        <is>
          <t>pharmaceuticals - indian - bulk drugs &amp; formln</t>
        </is>
      </c>
      <c r="G31" s="30" t="inlineStr">
        <is>
          <t>largecap</t>
        </is>
      </c>
      <c r="H31" s="31" t="n">
        <v>95397.66</v>
      </c>
      <c r="I31" s="31" t="n">
        <v>1648</v>
      </c>
      <c r="J31" s="31" t="n">
        <v>-0.6</v>
      </c>
      <c r="K31" s="31" t="n">
        <v>2318162</v>
      </c>
      <c r="L31" s="30" t="n">
        <v>64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71.94</v>
      </c>
      <c r="P31" s="31" t="n">
        <v>42.54</v>
      </c>
      <c r="Q31" s="31" t="inlineStr"/>
      <c r="R31" s="30" t="inlineStr">
        <is>
          <t>Earnings / Momentum Support</t>
        </is>
      </c>
      <c r="S31" s="30" t="inlineStr">
        <is>
          <t>Nifty Pharma</t>
        </is>
      </c>
      <c r="T31" s="31" t="n">
        <v>24.01</v>
      </c>
      <c r="U31" s="31" t="n">
        <v>59.1</v>
      </c>
      <c r="V31" s="31" t="n">
        <v>28.29</v>
      </c>
      <c r="W31" s="31" t="n">
        <v>12.33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No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3</t>
        </is>
      </c>
      <c r="BC31" s="30">
        <f>IF(BB31="Stage 2",20,IF(BB31="Stage 1",0,IF(BB31="Stage 3",5,IF(BB31="Stage 4",-5,0))))</f>
        <v/>
      </c>
      <c r="BD31" s="30" t="inlineStr">
        <is>
          <t>Negative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IF(B32=0,"",RANK(B32,$B$2:$B$400,0))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GOKULAGRO</t>
        </is>
      </c>
      <c r="D32" s="30" t="inlineStr">
        <is>
          <t>Gokul Agro Resources Limited</t>
        </is>
      </c>
      <c r="E32" s="30" t="inlineStr">
        <is>
          <t>fmcg</t>
        </is>
      </c>
      <c r="F32" s="30" t="inlineStr">
        <is>
          <t>solvent extraction</t>
        </is>
      </c>
      <c r="G32" s="30" t="inlineStr">
        <is>
          <t>midcap</t>
        </is>
      </c>
      <c r="H32" s="31" t="n">
        <v>6751.58</v>
      </c>
      <c r="I32" s="31" t="n">
        <v>227.06</v>
      </c>
      <c r="J32" s="31" t="n">
        <v>-0.76</v>
      </c>
      <c r="K32" s="31" t="n">
        <v>206402</v>
      </c>
      <c r="L32" s="30" t="n">
        <v>44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60.32</v>
      </c>
      <c r="P32" s="31" t="n">
        <v>26.94</v>
      </c>
      <c r="Q32" s="31" t="inlineStr"/>
      <c r="R32" s="30" t="inlineStr">
        <is>
          <t>Earnings / Momentum Support</t>
        </is>
      </c>
      <c r="S32" s="30" t="inlineStr">
        <is>
          <t>Nifty FMCG</t>
        </is>
      </c>
      <c r="T32" s="31" t="n">
        <v>-13.73</v>
      </c>
      <c r="U32" s="31" t="n">
        <v>30.85</v>
      </c>
      <c r="V32" s="31" t="n">
        <v>51.67</v>
      </c>
      <c r="W32" s="31" t="n">
        <v>6.46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B2C</t>
        </is>
      </c>
      <c r="AO32" s="30">
        <f>IF(AN32="B2C",10,IF(AN32="B2B",5,0))</f>
        <v/>
      </c>
      <c r="AP32" s="30" t="inlineStr">
        <is>
          <t>No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3</t>
        </is>
      </c>
      <c r="BC32" s="30">
        <f>IF(BB32="Stage 2",20,IF(BB32="Stage 1",0,IF(BB32="Stage 3",5,IF(BB32="Stage 4",-5,0))))</f>
        <v/>
      </c>
      <c r="BD32" s="30" t="inlineStr">
        <is>
          <t>Negative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IF(B33=0,"",RANK(B33,$B$2:$B$400,0))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MARKSANS</t>
        </is>
      </c>
      <c r="D33" s="30" t="inlineStr">
        <is>
          <t>Marksans Pharma Limited</t>
        </is>
      </c>
      <c r="E33" s="30" t="inlineStr">
        <is>
          <t>healthcare</t>
        </is>
      </c>
      <c r="F33" s="30" t="inlineStr">
        <is>
          <t>pharmaceuticals - indian - formulations</t>
        </is>
      </c>
      <c r="G33" s="30" t="inlineStr">
        <is>
          <t>midcap</t>
        </is>
      </c>
      <c r="H33" s="31" t="n">
        <v>12409.89</v>
      </c>
      <c r="I33" s="31" t="n">
        <v>271.45</v>
      </c>
      <c r="J33" s="31" t="n">
        <v>-0.88</v>
      </c>
      <c r="K33" s="31" t="n">
        <v>675836</v>
      </c>
      <c r="L33" s="30" t="n">
        <v>71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67.97</v>
      </c>
      <c r="P33" s="31" t="n">
        <v>53.18</v>
      </c>
      <c r="Q33" s="31" t="inlineStr"/>
      <c r="R33" s="30" t="inlineStr">
        <is>
          <t>Earnings / Momentum Support</t>
        </is>
      </c>
      <c r="S33" s="30" t="inlineStr">
        <is>
          <t>Nifty Pharma</t>
        </is>
      </c>
      <c r="T33" s="31" t="n">
        <v>24.01</v>
      </c>
      <c r="U33" s="31" t="n">
        <v>29.82</v>
      </c>
      <c r="V33" s="31" t="n">
        <v>4.68</v>
      </c>
      <c r="W33" s="31" t="n">
        <v>14.43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Headwind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No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3</t>
        </is>
      </c>
      <c r="BC33" s="30">
        <f>IF(BB33="Stage 2",20,IF(BB33="Stage 1",0,IF(BB33="Stage 3",5,IF(BB33="Stage 4",-5,0))))</f>
        <v/>
      </c>
      <c r="BD33" s="30" t="inlineStr">
        <is>
          <t>Negative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IF(B34=0,"",RANK(B34,$B$2:$B$400,0))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SAKAR</t>
        </is>
      </c>
      <c r="D34" s="30" t="inlineStr">
        <is>
          <t>Sakar Healthcare Ltd</t>
        </is>
      </c>
      <c r="E34" s="30" t="inlineStr">
        <is>
          <t>healthcare</t>
        </is>
      </c>
      <c r="F34" s="30" t="inlineStr">
        <is>
          <t>pharmaceuticals - indian - bulk drugs &amp; formln</t>
        </is>
      </c>
      <c r="G34" s="30" t="inlineStr">
        <is>
          <t>smallcap</t>
        </is>
      </c>
      <c r="H34" s="31" t="n">
        <v>2057.34</v>
      </c>
      <c r="I34" s="31" t="n">
        <v>904.8</v>
      </c>
      <c r="J34" s="31" t="n">
        <v>-2.15</v>
      </c>
      <c r="K34" s="31" t="n">
        <v>158797</v>
      </c>
      <c r="L34" s="30" t="n">
        <v>97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71.51000000000001</v>
      </c>
      <c r="P34" s="31" t="n">
        <v>55.66</v>
      </c>
      <c r="Q34" s="31" t="inlineStr"/>
      <c r="R34" s="30" t="inlineStr">
        <is>
          <t>Earnings / Momentum Support</t>
        </is>
      </c>
      <c r="S34" s="30" t="inlineStr">
        <is>
          <t>Nifty Pharma</t>
        </is>
      </c>
      <c r="T34" s="31" t="n">
        <v>24.01</v>
      </c>
      <c r="U34" s="31" t="n">
        <v>181.31</v>
      </c>
      <c r="V34" s="31" t="n">
        <v>126.83</v>
      </c>
      <c r="W34" s="31" t="n">
        <v>38.89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No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3</t>
        </is>
      </c>
      <c r="BC34" s="30">
        <f>IF(BB34="Stage 2",20,IF(BB34="Stage 1",0,IF(BB34="Stage 3",5,IF(BB34="Stage 4",-5,0))))</f>
        <v/>
      </c>
      <c r="BD34" s="30" t="inlineStr">
        <is>
          <t>Negative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IF(B35=0,"",RANK(B35,$B$2:$B$400,0))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UNIVCABLES</t>
        </is>
      </c>
      <c r="D35" s="30" t="inlineStr">
        <is>
          <t>Universal Cables Limited</t>
        </is>
      </c>
      <c r="E35" s="30" t="inlineStr">
        <is>
          <t>industrials</t>
        </is>
      </c>
      <c r="F35" s="30" t="inlineStr">
        <is>
          <t>cables - power</t>
        </is>
      </c>
      <c r="G35" s="30" t="inlineStr">
        <is>
          <t>smallcap</t>
        </is>
      </c>
      <c r="H35" s="31" t="n">
        <v>4896.21</v>
      </c>
      <c r="I35" s="31" t="n">
        <v>1693.4</v>
      </c>
      <c r="J35" s="31" t="n">
        <v>20</v>
      </c>
      <c r="K35" s="31" t="n">
        <v>1907323</v>
      </c>
      <c r="L35" s="30" t="n">
        <v>78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70.66</v>
      </c>
      <c r="P35" s="31" t="n">
        <v>57.58</v>
      </c>
      <c r="Q35" s="31" t="inlineStr"/>
      <c r="R35" s="30" t="inlineStr">
        <is>
          <t>Volume Spike / Accumulation</t>
        </is>
      </c>
      <c r="S35" s="30" t="inlineStr">
        <is>
          <t>Nifty Energy</t>
        </is>
      </c>
      <c r="T35" s="31" t="n">
        <v>8.41</v>
      </c>
      <c r="U35" s="31" t="n">
        <v>52.2</v>
      </c>
      <c r="V35" s="31" t="n">
        <v>40.4</v>
      </c>
      <c r="W35" s="31" t="n">
        <v>17.73</v>
      </c>
      <c r="X35" s="30" t="inlineStr">
        <is>
          <t>Cyclical in an Upturn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3</t>
        </is>
      </c>
      <c r="BC35" s="30">
        <f>IF(BB35="Stage 2",20,IF(BB35="Stage 1",0,IF(BB35="Stage 3",5,IF(BB35="Stage 4",-5,0))))</f>
        <v/>
      </c>
      <c r="BD35" s="30" t="inlineStr">
        <is>
          <t>Negative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IF(B36=0,"",RANK(B36,$B$2:$B$400,0))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RISHABH</t>
        </is>
      </c>
      <c r="D36" s="30" t="inlineStr">
        <is>
          <t>Rishabh Instruments Ltd</t>
        </is>
      </c>
      <c r="E36" s="30" t="inlineStr">
        <is>
          <t>industrials</t>
        </is>
      </c>
      <c r="F36" s="30" t="inlineStr">
        <is>
          <t>electric equipment</t>
        </is>
      </c>
      <c r="G36" s="30" t="inlineStr">
        <is>
          <t>smallcap</t>
        </is>
      </c>
      <c r="H36" s="31" t="n">
        <v>2463.86</v>
      </c>
      <c r="I36" s="31" t="n">
        <v>671.9</v>
      </c>
      <c r="J36" s="31" t="n">
        <v>5.12</v>
      </c>
      <c r="K36" s="31" t="n">
        <v>482144</v>
      </c>
      <c r="L36" s="30" t="n">
        <v>91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66.56</v>
      </c>
      <c r="P36" s="31" t="n">
        <v>42.35</v>
      </c>
      <c r="Q36" s="31" t="inlineStr"/>
      <c r="R36" s="30" t="inlineStr">
        <is>
          <t>Earnings / Momentum Support</t>
        </is>
      </c>
      <c r="S36" s="30" t="inlineStr">
        <is>
          <t>Nifty Infra</t>
        </is>
      </c>
      <c r="T36" s="31" t="n">
        <v>1.74</v>
      </c>
      <c r="U36" s="31" t="n">
        <v>118.81</v>
      </c>
      <c r="V36" s="31" t="n">
        <v>115.07</v>
      </c>
      <c r="W36" s="31" t="n">
        <v>26.68</v>
      </c>
      <c r="X36" s="30" t="inlineStr">
        <is>
          <t>Cyclical in an Upturn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No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3</t>
        </is>
      </c>
      <c r="BC36" s="30">
        <f>IF(BB36="Stage 2",20,IF(BB36="Stage 1",0,IF(BB36="Stage 3",5,IF(BB36="Stage 4",-5,0))))</f>
        <v/>
      </c>
      <c r="BD36" s="30" t="inlineStr">
        <is>
          <t>Negative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IF(B37=0,"",RANK(B37,$B$2:$B$400,0))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MODISONLTD</t>
        </is>
      </c>
      <c r="D37" s="30" t="inlineStr">
        <is>
          <t>Modison Ltd</t>
        </is>
      </c>
      <c r="E37" s="30" t="inlineStr">
        <is>
          <t>industrials</t>
        </is>
      </c>
      <c r="F37" s="30" t="inlineStr">
        <is>
          <t>electric equipment</t>
        </is>
      </c>
      <c r="G37" s="30" t="inlineStr">
        <is>
          <t>smallcap</t>
        </is>
      </c>
      <c r="H37" s="31" t="n">
        <v>905.1900000000001</v>
      </c>
      <c r="I37" s="31" t="n">
        <v>292.85</v>
      </c>
      <c r="J37" s="31" t="n">
        <v>4.98</v>
      </c>
      <c r="K37" s="31" t="n">
        <v>91330</v>
      </c>
      <c r="L37" s="30" t="n">
        <v>93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61.47</v>
      </c>
      <c r="P37" s="31" t="n">
        <v>55.25</v>
      </c>
      <c r="Q37" s="31" t="inlineStr"/>
      <c r="R37" s="30" t="inlineStr">
        <is>
          <t>Earnings / Momentum Support</t>
        </is>
      </c>
      <c r="S37" s="30" t="inlineStr">
        <is>
          <t>Nifty 50</t>
        </is>
      </c>
      <c r="T37" s="31" t="n">
        <v>0.85</v>
      </c>
      <c r="U37" s="31" t="n">
        <v>84</v>
      </c>
      <c r="V37" s="31" t="n">
        <v>82.45</v>
      </c>
      <c r="W37" s="31" t="n">
        <v>29.73</v>
      </c>
      <c r="X37" s="30" t="inlineStr">
        <is>
          <t>Cyclical in an Upturn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No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3</t>
        </is>
      </c>
      <c r="BC37" s="30">
        <f>IF(BB37="Stage 2",20,IF(BB37="Stage 1",0,IF(BB37="Stage 3",5,IF(BB37="Stage 4",-5,0))))</f>
        <v/>
      </c>
      <c r="BD37" s="30" t="inlineStr">
        <is>
          <t>Negative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IF(B38=0,"",RANK(B38,$B$2:$B$400,0))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SANGHVIMOV</t>
        </is>
      </c>
      <c r="D38" s="30" t="inlineStr">
        <is>
          <t>Sanghvi Movers Limited</t>
        </is>
      </c>
      <c r="E38" s="30" t="inlineStr">
        <is>
          <t>miscellaneous</t>
        </is>
      </c>
      <c r="F38" s="30" t="inlineStr">
        <is>
          <t>miscellaneous</t>
        </is>
      </c>
      <c r="G38" s="30" t="inlineStr">
        <is>
          <t>smallcap</t>
        </is>
      </c>
      <c r="H38" s="31" t="n">
        <v>4228.37</v>
      </c>
      <c r="I38" s="31" t="n">
        <v>511.4</v>
      </c>
      <c r="J38" s="31" t="n">
        <v>4.71</v>
      </c>
      <c r="K38" s="31" t="n">
        <v>1897196</v>
      </c>
      <c r="L38" s="30" t="n">
        <v>82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66.13</v>
      </c>
      <c r="P38" s="31" t="n">
        <v>36.85</v>
      </c>
      <c r="Q38" s="31" t="inlineStr"/>
      <c r="R38" s="30" t="inlineStr">
        <is>
          <t>Earnings / Momentum Support</t>
        </is>
      </c>
      <c r="S38" s="30" t="inlineStr">
        <is>
          <t>Nifty 50</t>
        </is>
      </c>
      <c r="T38" s="31" t="n">
        <v>0.85</v>
      </c>
      <c r="U38" s="31" t="n">
        <v>59.61</v>
      </c>
      <c r="V38" s="31" t="n">
        <v>58.27</v>
      </c>
      <c r="W38" s="31" t="n">
        <v>20.53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No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3</t>
        </is>
      </c>
      <c r="BC38" s="30">
        <f>IF(BB38="Stage 2",20,IF(BB38="Stage 1",0,IF(BB38="Stage 3",5,IF(BB38="Stage 4",-5,0))))</f>
        <v/>
      </c>
      <c r="BD38" s="30" t="inlineStr">
        <is>
          <t>Negative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IF(B39=0,"",RANK(B39,$B$2:$B$400,0))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MENONBE</t>
        </is>
      </c>
      <c r="D39" s="30" t="inlineStr">
        <is>
          <t>Menon Bearings Limited</t>
        </is>
      </c>
      <c r="E39" s="30" t="inlineStr">
        <is>
          <t>auto</t>
        </is>
      </c>
      <c r="F39" s="30" t="inlineStr">
        <is>
          <t>auto ancillaries</t>
        </is>
      </c>
      <c r="G39" s="30" t="inlineStr">
        <is>
          <t>smallcap</t>
        </is>
      </c>
      <c r="H39" s="31" t="n">
        <v>1330.11</v>
      </c>
      <c r="I39" s="31" t="n">
        <v>246.55</v>
      </c>
      <c r="J39" s="31" t="n">
        <v>3.88</v>
      </c>
      <c r="K39" s="31" t="n">
        <v>83901</v>
      </c>
      <c r="L39" s="30" t="n">
        <v>86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80.84999999999999</v>
      </c>
      <c r="P39" s="31" t="n">
        <v>54.03</v>
      </c>
      <c r="Q39" s="31" t="inlineStr"/>
      <c r="R39" s="30" t="inlineStr">
        <is>
          <t>Earnings / Momentum Support</t>
        </is>
      </c>
      <c r="S39" s="30" t="inlineStr">
        <is>
          <t>Nifty Auto</t>
        </is>
      </c>
      <c r="T39" s="31" t="n">
        <v>13.41</v>
      </c>
      <c r="U39" s="31" t="n">
        <v>59.56</v>
      </c>
      <c r="V39" s="31" t="n">
        <v>40.68</v>
      </c>
      <c r="W39" s="31" t="n">
        <v>23.69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3</t>
        </is>
      </c>
      <c r="BC39" s="30">
        <f>IF(BB39="Stage 2",20,IF(BB39="Stage 1",0,IF(BB39="Stage 3",5,IF(BB39="Stage 4",-5,0))))</f>
        <v/>
      </c>
      <c r="BD39" s="30" t="inlineStr">
        <is>
          <t>Negative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IF(B40=0,"",RANK(B40,$B$2:$B$400,0))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STYLAMIND</t>
        </is>
      </c>
      <c r="D40" s="30" t="inlineStr">
        <is>
          <t>Stylam Industries Ltd</t>
        </is>
      </c>
      <c r="E40" s="30" t="inlineStr">
        <is>
          <t>building materials</t>
        </is>
      </c>
      <c r="F40" s="30" t="inlineStr">
        <is>
          <t>miscellaneous</t>
        </is>
      </c>
      <c r="G40" s="30" t="inlineStr">
        <is>
          <t>midcap</t>
        </is>
      </c>
      <c r="H40" s="31" t="n">
        <v>5993.68</v>
      </c>
      <c r="I40" s="31" t="n">
        <v>3651.2</v>
      </c>
      <c r="J40" s="31" t="n">
        <v>3.24</v>
      </c>
      <c r="K40" s="31" t="n">
        <v>50559</v>
      </c>
      <c r="L40" s="30" t="n">
        <v>86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82.59999999999999</v>
      </c>
      <c r="P40" s="31" t="n">
        <v>73.91</v>
      </c>
      <c r="Q40" s="31" t="inlineStr"/>
      <c r="R40" s="30" t="inlineStr">
        <is>
          <t>Earnings / Momentum Support</t>
        </is>
      </c>
      <c r="S40" s="30" t="inlineStr">
        <is>
          <t>Nifty Infra</t>
        </is>
      </c>
      <c r="T40" s="31" t="n">
        <v>1.74</v>
      </c>
      <c r="U40" s="31" t="n">
        <v>86.75</v>
      </c>
      <c r="V40" s="31" t="n">
        <v>83.56</v>
      </c>
      <c r="W40" s="31" t="n">
        <v>23.3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No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3</t>
        </is>
      </c>
      <c r="BC40" s="30">
        <f>IF(BB40="Stage 2",20,IF(BB40="Stage 1",0,IF(BB40="Stage 3",5,IF(BB40="Stage 4",-5,0))))</f>
        <v/>
      </c>
      <c r="BD40" s="30" t="inlineStr">
        <is>
          <t>Negative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IF(B41=0,"",RANK(B41,$B$2:$B$400,0))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HFCL</t>
        </is>
      </c>
      <c r="D41" s="30" t="inlineStr">
        <is>
          <t>HFCL Ltd</t>
        </is>
      </c>
      <c r="E41" s="30" t="inlineStr">
        <is>
          <t>telecom</t>
        </is>
      </c>
      <c r="F41" s="30" t="inlineStr">
        <is>
          <t>cables - telephone</t>
        </is>
      </c>
      <c r="G41" s="30" t="inlineStr">
        <is>
          <t>largecap</t>
        </is>
      </c>
      <c r="H41" s="31" t="n">
        <v>31833.47</v>
      </c>
      <c r="I41" s="31" t="n">
        <v>212.97</v>
      </c>
      <c r="J41" s="31" t="n">
        <v>2.4</v>
      </c>
      <c r="K41" s="31" t="n">
        <v>19215845</v>
      </c>
      <c r="L41" s="30" t="n">
        <v>98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73.40000000000001</v>
      </c>
      <c r="P41" s="31" t="n">
        <v>65.93000000000001</v>
      </c>
      <c r="Q41" s="31" t="inlineStr"/>
      <c r="R41" s="30" t="inlineStr">
        <is>
          <t>Earnings / Momentum Support</t>
        </is>
      </c>
      <c r="S41" s="30" t="inlineStr">
        <is>
          <t>Nifty Infra</t>
        </is>
      </c>
      <c r="T41" s="31" t="n">
        <v>1.74</v>
      </c>
      <c r="U41" s="31" t="n">
        <v>161.74</v>
      </c>
      <c r="V41" s="31" t="n">
        <v>157.26</v>
      </c>
      <c r="W41" s="31" t="n">
        <v>53.93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Oligopoly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No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3</t>
        </is>
      </c>
      <c r="BC41" s="30">
        <f>IF(BB41="Stage 2",20,IF(BB41="Stage 1",0,IF(BB41="Stage 3",5,IF(BB41="Stage 4",-5,0))))</f>
        <v/>
      </c>
      <c r="BD41" s="30" t="inlineStr">
        <is>
          <t>Negative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IF(B42=0,"",RANK(B42,$B$2:$B$400,0))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STOVEKRAFT</t>
        </is>
      </c>
      <c r="D42" s="30" t="inlineStr">
        <is>
          <t>Stove Kraft Ltd</t>
        </is>
      </c>
      <c r="E42" s="30" t="inlineStr">
        <is>
          <t>consumer discretionary</t>
        </is>
      </c>
      <c r="F42" s="30" t="inlineStr">
        <is>
          <t>domestic appliances</t>
        </is>
      </c>
      <c r="G42" s="30" t="inlineStr">
        <is>
          <t>smallcap</t>
        </is>
      </c>
      <c r="H42" s="31" t="n">
        <v>2640.47</v>
      </c>
      <c r="I42" s="31" t="n">
        <v>808.85</v>
      </c>
      <c r="J42" s="31" t="n">
        <v>1.42</v>
      </c>
      <c r="K42" s="31" t="n">
        <v>534797</v>
      </c>
      <c r="L42" s="30" t="n">
        <v>78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73.3</v>
      </c>
      <c r="P42" s="31" t="n">
        <v>47.93</v>
      </c>
      <c r="Q42" s="31" t="inlineStr"/>
      <c r="R42" s="30" t="inlineStr">
        <is>
          <t>Earnings / Momentum Support</t>
        </is>
      </c>
      <c r="S42" s="30" t="inlineStr">
        <is>
          <t>Nifty 50</t>
        </is>
      </c>
      <c r="T42" s="31" t="n">
        <v>0.85</v>
      </c>
      <c r="U42" s="31" t="n">
        <v>32.62</v>
      </c>
      <c r="V42" s="31" t="n">
        <v>31.5</v>
      </c>
      <c r="W42" s="31" t="n">
        <v>17.29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Headwind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3</t>
        </is>
      </c>
      <c r="BC42" s="30">
        <f>IF(BB42="Stage 2",20,IF(BB42="Stage 1",0,IF(BB42="Stage 3",5,IF(BB42="Stage 4",-5,0))))</f>
        <v/>
      </c>
      <c r="BD42" s="30" t="inlineStr">
        <is>
          <t>Negative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IF(B43=0,"",RANK(B43,$B$2:$B$400,0))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UNIPARTS</t>
        </is>
      </c>
      <c r="D43" s="30" t="inlineStr">
        <is>
          <t>Uniparts India Ltd</t>
        </is>
      </c>
      <c r="E43" s="30" t="inlineStr">
        <is>
          <t>industrials</t>
        </is>
      </c>
      <c r="F43" s="30" t="inlineStr">
        <is>
          <t>engineering</t>
        </is>
      </c>
      <c r="G43" s="30" t="inlineStr">
        <is>
          <t>smallcap</t>
        </is>
      </c>
      <c r="H43" s="31" t="n">
        <v>3677.36</v>
      </c>
      <c r="I43" s="31" t="n">
        <v>823.2</v>
      </c>
      <c r="J43" s="31" t="n">
        <v>1.06</v>
      </c>
      <c r="K43" s="31" t="n">
        <v>284761</v>
      </c>
      <c r="L43" s="30" t="n">
        <v>94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78.89</v>
      </c>
      <c r="P43" s="31" t="n">
        <v>61.54</v>
      </c>
      <c r="Q43" s="31" t="inlineStr"/>
      <c r="R43" s="30" t="inlineStr">
        <is>
          <t>Earnings / Momentum Support</t>
        </is>
      </c>
      <c r="S43" s="30" t="inlineStr">
        <is>
          <t>Nifty 50</t>
        </is>
      </c>
      <c r="T43" s="31" t="n">
        <v>0.85</v>
      </c>
      <c r="U43" s="31" t="n">
        <v>159.52</v>
      </c>
      <c r="V43" s="31" t="n">
        <v>157.33</v>
      </c>
      <c r="W43" s="31" t="n">
        <v>31.72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Headwind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No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3</t>
        </is>
      </c>
      <c r="BC43" s="30">
        <f>IF(BB43="Stage 2",20,IF(BB43="Stage 1",0,IF(BB43="Stage 3",5,IF(BB43="Stage 4",-5,0))))</f>
        <v/>
      </c>
      <c r="BD43" s="30" t="inlineStr">
        <is>
          <t>Negative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IF(B44=0,"",RANK(B44,$B$2:$B$400,0))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REDINGTON</t>
        </is>
      </c>
      <c r="D44" s="30" t="inlineStr">
        <is>
          <t>Redington (india) Limited</t>
        </is>
      </c>
      <c r="E44" s="30" t="inlineStr">
        <is>
          <t>services</t>
        </is>
      </c>
      <c r="F44" s="30" t="inlineStr">
        <is>
          <t>trading</t>
        </is>
      </c>
      <c r="G44" s="30" t="inlineStr">
        <is>
          <t>largecap</t>
        </is>
      </c>
      <c r="H44" s="31" t="n">
        <v>27741.27</v>
      </c>
      <c r="I44" s="31" t="n">
        <v>353.2</v>
      </c>
      <c r="J44" s="31" t="n">
        <v>-0.47</v>
      </c>
      <c r="K44" s="31" t="n">
        <v>2226183</v>
      </c>
      <c r="L44" s="30" t="n">
        <v>88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72.79000000000001</v>
      </c>
      <c r="P44" s="31" t="n">
        <v>31.6</v>
      </c>
      <c r="Q44" s="31" t="inlineStr"/>
      <c r="R44" s="30" t="inlineStr">
        <is>
          <t>Earnings / Momentum Support</t>
        </is>
      </c>
      <c r="S44" s="30" t="inlineStr">
        <is>
          <t>Nifty 50</t>
        </is>
      </c>
      <c r="T44" s="31" t="n">
        <v>0.85</v>
      </c>
      <c r="U44" s="31" t="n">
        <v>50.41</v>
      </c>
      <c r="V44" s="31" t="n">
        <v>49.14</v>
      </c>
      <c r="W44" s="31" t="n">
        <v>24.27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No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3</t>
        </is>
      </c>
      <c r="BC44" s="30">
        <f>IF(BB44="Stage 2",20,IF(BB44="Stage 1",0,IF(BB44="Stage 3",5,IF(BB44="Stage 4",-5,0))))</f>
        <v/>
      </c>
      <c r="BD44" s="30" t="inlineStr">
        <is>
          <t>Negative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IF(B45=0,"",RANK(B45,$B$2:$B$400,0))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ATHERENERG</t>
        </is>
      </c>
      <c r="D45" s="30" t="inlineStr">
        <is>
          <t>Ather Energy Ltd</t>
        </is>
      </c>
      <c r="E45" s="30" t="inlineStr">
        <is>
          <t>auto</t>
        </is>
      </c>
      <c r="F45" s="30" t="inlineStr">
        <is>
          <t>automobiles - scooters and 3 - wheelers</t>
        </is>
      </c>
      <c r="G45" s="30" t="inlineStr">
        <is>
          <t>largecap</t>
        </is>
      </c>
      <c r="H45" s="31" t="n">
        <v>58389.66</v>
      </c>
      <c r="I45" s="31" t="n">
        <v>1466.2</v>
      </c>
      <c r="J45" s="31" t="n">
        <v>-1.03</v>
      </c>
      <c r="K45" s="31" t="n">
        <v>3972989</v>
      </c>
      <c r="L45" s="30" t="n">
        <v>97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80.06999999999999</v>
      </c>
      <c r="P45" s="31" t="n">
        <v>60.14</v>
      </c>
      <c r="Q45" s="31" t="inlineStr"/>
      <c r="R45" s="30" t="inlineStr">
        <is>
          <t>Earnings / Momentum Support</t>
        </is>
      </c>
      <c r="S45" s="30" t="inlineStr">
        <is>
          <t>Nifty Auto</t>
        </is>
      </c>
      <c r="T45" s="31" t="n">
        <v>13.41</v>
      </c>
      <c r="U45" s="31" t="n">
        <v>275.68</v>
      </c>
      <c r="V45" s="31" t="n">
        <v>231.25</v>
      </c>
      <c r="W45" s="31" t="n">
        <v>46.25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No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3</t>
        </is>
      </c>
      <c r="BC45" s="30">
        <f>IF(BB45="Stage 2",20,IF(BB45="Stage 1",0,IF(BB45="Stage 3",5,IF(BB45="Stage 4",-5,0))))</f>
        <v/>
      </c>
      <c r="BD45" s="30" t="inlineStr">
        <is>
          <t>Negative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IF(B46=0,"",RANK(B46,$B$2:$B$400,0))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APARINDS</t>
        </is>
      </c>
      <c r="D46" s="30" t="inlineStr">
        <is>
          <t>Apar Industries Limited</t>
        </is>
      </c>
      <c r="E46" s="30" t="inlineStr">
        <is>
          <t>industrials</t>
        </is>
      </c>
      <c r="F46" s="30" t="inlineStr">
        <is>
          <t>electric equipment</t>
        </is>
      </c>
      <c r="G46" s="30" t="inlineStr">
        <is>
          <t>largecap</t>
        </is>
      </c>
      <c r="H46" s="31" t="n">
        <v>66813.77</v>
      </c>
      <c r="I46" s="31" t="n">
        <v>16448</v>
      </c>
      <c r="J46" s="31" t="n">
        <v>-1.1</v>
      </c>
      <c r="K46" s="31" t="n">
        <v>171685</v>
      </c>
      <c r="L46" s="30" t="n">
        <v>82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71.33</v>
      </c>
      <c r="P46" s="31" t="n">
        <v>41.7</v>
      </c>
      <c r="Q46" s="31" t="inlineStr"/>
      <c r="R46" s="30" t="inlineStr">
        <is>
          <t>Earnings / Momentum Support</t>
        </is>
      </c>
      <c r="S46" s="30" t="inlineStr">
        <is>
          <t>Nifty 50</t>
        </is>
      </c>
      <c r="T46" s="31" t="n">
        <v>0.85</v>
      </c>
      <c r="U46" s="31" t="n">
        <v>91.23999999999999</v>
      </c>
      <c r="V46" s="31" t="n">
        <v>89.62</v>
      </c>
      <c r="W46" s="31" t="n">
        <v>20.89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No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3</t>
        </is>
      </c>
      <c r="BC46" s="30">
        <f>IF(BB46="Stage 2",20,IF(BB46="Stage 1",0,IF(BB46="Stage 3",5,IF(BB46="Stage 4",-5,0))))</f>
        <v/>
      </c>
      <c r="BD46" s="30" t="inlineStr">
        <is>
          <t>Negative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IF(B47=0,"",RANK(B47,$B$2:$B$400,0))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PGIL</t>
        </is>
      </c>
      <c r="D47" s="30" t="inlineStr">
        <is>
          <t>Pearl Global Industries Limited</t>
        </is>
      </c>
      <c r="E47" s="30" t="inlineStr">
        <is>
          <t>consumer discretionary</t>
        </is>
      </c>
      <c r="F47" s="30" t="inlineStr">
        <is>
          <t>textiles - products</t>
        </is>
      </c>
      <c r="G47" s="30" t="inlineStr">
        <is>
          <t>midcap</t>
        </is>
      </c>
      <c r="H47" s="31" t="n">
        <v>11380.23</v>
      </c>
      <c r="I47" s="31" t="n">
        <v>2428.9</v>
      </c>
      <c r="J47" s="31" t="n">
        <v>-1.43</v>
      </c>
      <c r="K47" s="31" t="n">
        <v>144312</v>
      </c>
      <c r="L47" s="30" t="n">
        <v>91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75.76000000000001</v>
      </c>
      <c r="P47" s="31" t="n">
        <v>53.75</v>
      </c>
      <c r="Q47" s="31" t="inlineStr"/>
      <c r="R47" s="30" t="inlineStr">
        <is>
          <t>Earnings / Momentum Support</t>
        </is>
      </c>
      <c r="S47" s="30" t="inlineStr">
        <is>
          <t>Nifty 50</t>
        </is>
      </c>
      <c r="T47" s="31" t="n">
        <v>0.85</v>
      </c>
      <c r="U47" s="31" t="n">
        <v>86.56999999999999</v>
      </c>
      <c r="V47" s="31" t="n">
        <v>84.98999999999999</v>
      </c>
      <c r="W47" s="31" t="n">
        <v>26.71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Headwind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No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3</t>
        </is>
      </c>
      <c r="BC47" s="30">
        <f>IF(BB47="Stage 2",20,IF(BB47="Stage 1",0,IF(BB47="Stage 3",5,IF(BB47="Stage 4",-5,0))))</f>
        <v/>
      </c>
      <c r="BD47" s="30" t="inlineStr">
        <is>
          <t>Negative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IF(B48=0,"",RANK(B48,$B$2:$B$400,0))</f>
        <v/>
      </c>
      <c r="B48" s="31">
        <f>SUM(N48,Y48,AA48,AC48,AE48,AG48,AI48,AK48,AM48,AO48,AQ48,AS48,AU48,AW48,AY48,BA48,BC48,BE48,BG48,BI48,BK48,BM48,BO48,BQ48,BS48,BU48,BW48,BY48,CA48,CC48,CE48)</f>
        <v/>
      </c>
      <c r="C48" s="32" t="inlineStr">
        <is>
          <t>KOVAI</t>
        </is>
      </c>
      <c r="D48" s="32" t="inlineStr">
        <is>
          <t>Kovai Medical Center &amp; Hospital Ltd</t>
        </is>
      </c>
      <c r="E48" s="30" t="inlineStr">
        <is>
          <t>healthcare</t>
        </is>
      </c>
      <c r="F48" s="30" t="inlineStr">
        <is>
          <t>healthcare</t>
        </is>
      </c>
      <c r="G48" s="30" t="inlineStr">
        <is>
          <t>midcap</t>
        </is>
      </c>
      <c r="H48" s="31" t="n">
        <v>6394.11</v>
      </c>
      <c r="I48" s="31" t="n">
        <v>6162</v>
      </c>
      <c r="J48" s="31" t="n">
        <v>5.45</v>
      </c>
      <c r="K48" s="31" t="n">
        <v>15049</v>
      </c>
      <c r="L48" s="30" t="n">
        <v>13</v>
      </c>
      <c r="M48" s="30" t="inlineStr">
        <is>
          <t>Underperforming</t>
        </is>
      </c>
      <c r="N48" s="31">
        <f>IF(M48="Underperforming",-5,IF(L48&gt;=95,15,IF(L48&gt;=90,10,IF(L48&gt;=80,5,0))))</f>
        <v/>
      </c>
      <c r="O48" s="31" t="n">
        <v>55.7</v>
      </c>
      <c r="P48" s="31" t="n">
        <v>22.76</v>
      </c>
      <c r="Q48" s="31" t="inlineStr"/>
      <c r="R48" s="30" t="inlineStr">
        <is>
          <t>Volume Spike / Accumulation</t>
        </is>
      </c>
      <c r="S48" s="30" t="inlineStr">
        <is>
          <t>Nifty Pharma</t>
        </is>
      </c>
      <c r="T48" s="31" t="n">
        <v>24.01</v>
      </c>
      <c r="U48" s="31" t="n">
        <v>-6.1</v>
      </c>
      <c r="V48" s="31" t="n">
        <v>-24.28</v>
      </c>
      <c r="W48" s="31" t="n">
        <v>-0.43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3</t>
        </is>
      </c>
      <c r="BC48" s="30">
        <f>IF(BB48="Stage 2",20,IF(BB48="Stage 1",0,IF(BB48="Stage 3",5,IF(BB48="Stage 4",-5,0))))</f>
        <v/>
      </c>
      <c r="BD48" s="30" t="inlineStr">
        <is>
          <t>Negative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IF(B49=0,"",RANK(B49,$B$2:$B$400,0))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E2E</t>
        </is>
      </c>
      <c r="D49" s="30" t="inlineStr">
        <is>
          <t>E2E Networks Ltd</t>
        </is>
      </c>
      <c r="E49" s="30" t="inlineStr">
        <is>
          <t>i.t</t>
        </is>
      </c>
      <c r="F49" s="30" t="inlineStr">
        <is>
          <t>computers - software - medium / small</t>
        </is>
      </c>
      <c r="G49" s="30" t="inlineStr">
        <is>
          <t>midcap</t>
        </is>
      </c>
      <c r="H49" s="31" t="n">
        <v>11829.23</v>
      </c>
      <c r="I49" s="31" t="n">
        <v>602.8</v>
      </c>
      <c r="J49" s="31" t="n">
        <v>4.75</v>
      </c>
      <c r="K49" s="31" t="n">
        <v>3378109</v>
      </c>
      <c r="L49" s="30" t="n">
        <v>97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75.02</v>
      </c>
      <c r="P49" s="31" t="n">
        <v>48.08</v>
      </c>
      <c r="Q49" s="31" t="inlineStr"/>
      <c r="R49" s="30" t="inlineStr">
        <is>
          <t>Earnings / Momentum Support</t>
        </is>
      </c>
      <c r="S49" s="30" t="inlineStr">
        <is>
          <t>Nifty IT</t>
        </is>
      </c>
      <c r="T49" s="31" t="n">
        <v>-8.289999999999999</v>
      </c>
      <c r="U49" s="31" t="n">
        <v>183.89</v>
      </c>
      <c r="V49" s="31" t="n">
        <v>209.55</v>
      </c>
      <c r="W49" s="31" t="n">
        <v>41.12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Headwind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3</t>
        </is>
      </c>
      <c r="BC49" s="30">
        <f>IF(BB49="Stage 2",20,IF(BB49="Stage 1",0,IF(BB49="Stage 3",5,IF(BB49="Stage 4",-5,0))))</f>
        <v/>
      </c>
      <c r="BD49" s="30" t="inlineStr">
        <is>
          <t>Negative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IF(B50=0,"",RANK(B50,$B$2:$B$400,0))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RADICO</t>
        </is>
      </c>
      <c r="D50" s="30" t="inlineStr">
        <is>
          <t>Radico Khaitan Limited</t>
        </is>
      </c>
      <c r="E50" s="30" t="inlineStr">
        <is>
          <t>fmcg</t>
        </is>
      </c>
      <c r="F50" s="30" t="inlineStr">
        <is>
          <t>breweries &amp; distilleries</t>
        </is>
      </c>
      <c r="G50" s="30" t="inlineStr">
        <is>
          <t>largecap</t>
        </is>
      </c>
      <c r="H50" s="31" t="n">
        <v>60255.71</v>
      </c>
      <c r="I50" s="31" t="n">
        <v>4550</v>
      </c>
      <c r="J50" s="31" t="n">
        <v>1.13</v>
      </c>
      <c r="K50" s="31" t="n">
        <v>751749</v>
      </c>
      <c r="L50" s="30" t="n">
        <v>73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85.51000000000001</v>
      </c>
      <c r="P50" s="31" t="n">
        <v>62.9</v>
      </c>
      <c r="Q50" s="31" t="inlineStr"/>
      <c r="R50" s="30" t="inlineStr">
        <is>
          <t>Earnings / Momentum Support</t>
        </is>
      </c>
      <c r="S50" s="30" t="inlineStr">
        <is>
          <t>Nifty FMCG</t>
        </is>
      </c>
      <c r="T50" s="31" t="n">
        <v>-13.73</v>
      </c>
      <c r="U50" s="31" t="n">
        <v>50.97</v>
      </c>
      <c r="V50" s="31" t="n">
        <v>75</v>
      </c>
      <c r="W50" s="31" t="n">
        <v>14.99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B2C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Annuity, Lower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3</t>
        </is>
      </c>
      <c r="BC50" s="30">
        <f>IF(BB50="Stage 2",20,IF(BB50="Stage 1",0,IF(BB50="Stage 3",5,IF(BB50="Stage 4",-5,0))))</f>
        <v/>
      </c>
      <c r="BD50" s="30" t="inlineStr">
        <is>
          <t>Negative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IF(B51=0,"",RANK(B51,$B$2:$B$400,0))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EMCURE</t>
        </is>
      </c>
      <c r="D51" s="30" t="inlineStr">
        <is>
          <t>Emcure Pharmaceuticals Ltd</t>
        </is>
      </c>
      <c r="E51" s="30" t="inlineStr">
        <is>
          <t>healthcare</t>
        </is>
      </c>
      <c r="F51" s="30" t="inlineStr">
        <is>
          <t>pharmaceuticals - indian - bulk drugs &amp; formln</t>
        </is>
      </c>
      <c r="G51" s="30" t="inlineStr">
        <is>
          <t>largecap</t>
        </is>
      </c>
      <c r="H51" s="31" t="n">
        <v>37526.32</v>
      </c>
      <c r="I51" s="31" t="n">
        <v>1995.2</v>
      </c>
      <c r="J51" s="31" t="n">
        <v>0.85</v>
      </c>
      <c r="K51" s="31" t="n">
        <v>205967</v>
      </c>
      <c r="L51" s="30" t="n">
        <v>63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71.06999999999999</v>
      </c>
      <c r="P51" s="31" t="n">
        <v>62.06</v>
      </c>
      <c r="Q51" s="31" t="inlineStr"/>
      <c r="R51" s="30" t="inlineStr">
        <is>
          <t>Earnings / Momentum Support</t>
        </is>
      </c>
      <c r="S51" s="30" t="inlineStr">
        <is>
          <t>Nifty Pharma</t>
        </is>
      </c>
      <c r="T51" s="31" t="n">
        <v>24.01</v>
      </c>
      <c r="U51" s="31" t="n">
        <v>43.07</v>
      </c>
      <c r="V51" s="31" t="n">
        <v>15.36</v>
      </c>
      <c r="W51" s="31" t="n">
        <v>11.8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No</t>
        </is>
      </c>
      <c r="AQ51" s="30">
        <f>IF(AP51="Yes",10,0)</f>
        <v/>
      </c>
      <c r="AR51" s="30" t="inlineStr">
        <is>
          <t>Higher Annuity, Lower One Time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3</t>
        </is>
      </c>
      <c r="BC51" s="30">
        <f>IF(BB51="Stage 2",20,IF(BB51="Stage 1",0,IF(BB51="Stage 3",5,IF(BB51="Stage 4",-5,0))))</f>
        <v/>
      </c>
      <c r="BD51" s="30" t="inlineStr">
        <is>
          <t>Negative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IF(B52=0,"",RANK(B52,$B$2:$B$400,0))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SUPRIYA</t>
        </is>
      </c>
      <c r="D52" s="30" t="inlineStr">
        <is>
          <t>Supriya Lifescience Ltd</t>
        </is>
      </c>
      <c r="E52" s="30" t="inlineStr">
        <is>
          <t>healthcare</t>
        </is>
      </c>
      <c r="F52" s="30" t="inlineStr">
        <is>
          <t>pharmaceuticals - indian - bulk drugs &amp; formln</t>
        </is>
      </c>
      <c r="G52" s="30" t="inlineStr">
        <is>
          <t>midcap</t>
        </is>
      </c>
      <c r="H52" s="31" t="n">
        <v>7432.18</v>
      </c>
      <c r="I52" s="31" t="n">
        <v>928.2</v>
      </c>
      <c r="J52" s="31" t="n">
        <v>0.51</v>
      </c>
      <c r="K52" s="31" t="n">
        <v>240832</v>
      </c>
      <c r="L52" s="30" t="n">
        <v>71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61.95</v>
      </c>
      <c r="P52" s="31" t="n">
        <v>48.4</v>
      </c>
      <c r="Q52" s="31" t="inlineStr"/>
      <c r="R52" s="30" t="inlineStr">
        <is>
          <t>Earnings / Momentum Support</t>
        </is>
      </c>
      <c r="S52" s="30" t="inlineStr">
        <is>
          <t>Nifty Pharma</t>
        </is>
      </c>
      <c r="T52" s="31" t="n">
        <v>24.01</v>
      </c>
      <c r="U52" s="31" t="n">
        <v>40.61</v>
      </c>
      <c r="V52" s="31" t="n">
        <v>13.38</v>
      </c>
      <c r="W52" s="31" t="n">
        <v>14.38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Annuity, Lower One Time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3</t>
        </is>
      </c>
      <c r="BC52" s="30">
        <f>IF(BB52="Stage 2",20,IF(BB52="Stage 1",0,IF(BB52="Stage 3",5,IF(BB52="Stage 4",-5,0))))</f>
        <v/>
      </c>
      <c r="BD52" s="30" t="inlineStr">
        <is>
          <t>Negative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Between 50% to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IF(B53=0,"",RANK(B53,$B$2:$B$400,0))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63MOONS</t>
        </is>
      </c>
      <c r="D53" s="30" t="inlineStr">
        <is>
          <t>63 Moons Technologies Ltd</t>
        </is>
      </c>
      <c r="E53" s="30" t="inlineStr">
        <is>
          <t>i.t</t>
        </is>
      </c>
      <c r="F53" s="30" t="inlineStr">
        <is>
          <t>computers - software - medium / small</t>
        </is>
      </c>
      <c r="G53" s="30" t="inlineStr">
        <is>
          <t>smallcap</t>
        </is>
      </c>
      <c r="H53" s="31" t="n">
        <v>3952.39</v>
      </c>
      <c r="I53" s="31" t="n">
        <v>861.1</v>
      </c>
      <c r="J53" s="31" t="n">
        <v>0.39</v>
      </c>
      <c r="K53" s="31" t="n">
        <v>242854</v>
      </c>
      <c r="L53" s="30" t="n">
        <v>30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62.08</v>
      </c>
      <c r="P53" s="31" t="n">
        <v>21.05</v>
      </c>
      <c r="Q53" s="31" t="inlineStr"/>
      <c r="R53" s="30" t="inlineStr">
        <is>
          <t>Earnings / Momentum Support</t>
        </is>
      </c>
      <c r="S53" s="30" t="inlineStr">
        <is>
          <t>Nifty IT</t>
        </is>
      </c>
      <c r="T53" s="31" t="n">
        <v>-8.289999999999999</v>
      </c>
      <c r="U53" s="31" t="n">
        <v>-5.96</v>
      </c>
      <c r="V53" s="31" t="n">
        <v>2.54</v>
      </c>
      <c r="W53" s="31" t="n">
        <v>3.59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No</t>
        </is>
      </c>
      <c r="AQ53" s="30">
        <f>IF(AP53="Yes",10,0)</f>
        <v/>
      </c>
      <c r="AR53" s="30" t="inlineStr">
        <is>
          <t>Higher Annuity, Lower One Time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3</t>
        </is>
      </c>
      <c r="BC53" s="30">
        <f>IF(BB53="Stage 2",20,IF(BB53="Stage 1",0,IF(BB53="Stage 3",5,IF(BB53="Stage 4",-5,0))))</f>
        <v/>
      </c>
      <c r="BD53" s="30" t="inlineStr">
        <is>
          <t>Negative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IF(B54=0,"",RANK(B54,$B$2:$B$400,0))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RAMCOIND</t>
        </is>
      </c>
      <c r="D54" s="30" t="inlineStr">
        <is>
          <t>Ramco Industries Limited</t>
        </is>
      </c>
      <c r="E54" s="30" t="inlineStr">
        <is>
          <t>building materials</t>
        </is>
      </c>
      <c r="F54" s="30" t="inlineStr">
        <is>
          <t>cement products</t>
        </is>
      </c>
      <c r="G54" s="30" t="inlineStr">
        <is>
          <t>smallcap</t>
        </is>
      </c>
      <c r="H54" s="31" t="n">
        <v>2949.57</v>
      </c>
      <c r="I54" s="31" t="n">
        <v>377.2</v>
      </c>
      <c r="J54" s="31" t="n">
        <v>11.06</v>
      </c>
      <c r="K54" s="31" t="n">
        <v>21233222</v>
      </c>
      <c r="L54" s="30" t="n">
        <v>59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58.02</v>
      </c>
      <c r="P54" s="31" t="n">
        <v>31.45</v>
      </c>
      <c r="Q54" s="31" t="inlineStr"/>
      <c r="R54" s="30" t="inlineStr">
        <is>
          <t>Volume Spike / Accumulation</t>
        </is>
      </c>
      <c r="S54" s="30" t="inlineStr">
        <is>
          <t>Nifty Infra</t>
        </is>
      </c>
      <c r="T54" s="31" t="n">
        <v>1.74</v>
      </c>
      <c r="U54" s="31" t="n">
        <v>22.34</v>
      </c>
      <c r="V54" s="31" t="n">
        <v>20.24</v>
      </c>
      <c r="W54" s="31" t="n">
        <v>10.25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3</t>
        </is>
      </c>
      <c r="BC54" s="30">
        <f>IF(BB54="Stage 2",20,IF(BB54="Stage 1",0,IF(BB54="Stage 3",5,IF(BB54="Stage 4",-5,0))))</f>
        <v/>
      </c>
      <c r="BD54" s="30" t="inlineStr">
        <is>
          <t>Negative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IF(B55=0,"",RANK(B55,$B$2:$B$400,0))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IRISDOREME</t>
        </is>
      </c>
      <c r="D55" s="30" t="inlineStr">
        <is>
          <t>Iris Clothings Ltd</t>
        </is>
      </c>
      <c r="E55" s="30" t="inlineStr">
        <is>
          <t>consumer discretionary</t>
        </is>
      </c>
      <c r="F55" s="30" t="inlineStr">
        <is>
          <t>textiles - products</t>
        </is>
      </c>
      <c r="G55" s="30" t="inlineStr">
        <is>
          <t>smallcap</t>
        </is>
      </c>
      <c r="H55" s="31" t="n">
        <v>1037.69</v>
      </c>
      <c r="I55" s="31" t="n">
        <v>56.19</v>
      </c>
      <c r="J55" s="31" t="n">
        <v>3.06</v>
      </c>
      <c r="K55" s="31" t="n">
        <v>7435585</v>
      </c>
      <c r="L55" s="30" t="n">
        <v>83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82.5</v>
      </c>
      <c r="P55" s="31" t="n">
        <v>39.05</v>
      </c>
      <c r="Q55" s="31" t="inlineStr"/>
      <c r="R55" s="30" t="inlineStr">
        <is>
          <t>Volume Spike / Accumulation</t>
        </is>
      </c>
      <c r="S55" s="30" t="inlineStr">
        <is>
          <t>Nifty 50</t>
        </is>
      </c>
      <c r="T55" s="31" t="n">
        <v>0.85</v>
      </c>
      <c r="U55" s="31" t="n">
        <v>65.31</v>
      </c>
      <c r="V55" s="31" t="n">
        <v>63.92</v>
      </c>
      <c r="W55" s="31" t="n">
        <v>21.02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3</t>
        </is>
      </c>
      <c r="BC55" s="30">
        <f>IF(BB55="Stage 2",20,IF(BB55="Stage 1",0,IF(BB55="Stage 3",5,IF(BB55="Stage 4",-5,0))))</f>
        <v/>
      </c>
      <c r="BD55" s="30" t="inlineStr">
        <is>
          <t>Negative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IF(B56=0,"",RANK(B56,$B$2:$B$400,0))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HSCL</t>
        </is>
      </c>
      <c r="D56" s="30" t="inlineStr">
        <is>
          <t>Himadri Speciality Chemical Limited</t>
        </is>
      </c>
      <c r="E56" s="30" t="inlineStr">
        <is>
          <t>chemicals</t>
        </is>
      </c>
      <c r="F56" s="30" t="inlineStr">
        <is>
          <t>chemicals</t>
        </is>
      </c>
      <c r="G56" s="30" t="inlineStr">
        <is>
          <t>largecap</t>
        </is>
      </c>
      <c r="H56" s="31" t="n">
        <v>37974.32</v>
      </c>
      <c r="I56" s="31" t="n">
        <v>772.05</v>
      </c>
      <c r="J56" s="31" t="n">
        <v>2.58</v>
      </c>
      <c r="K56" s="31" t="n">
        <v>3188066</v>
      </c>
      <c r="L56" s="30" t="n">
        <v>74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70.14</v>
      </c>
      <c r="P56" s="31" t="n">
        <v>44.24</v>
      </c>
      <c r="Q56" s="31" t="inlineStr"/>
      <c r="R56" s="30" t="inlineStr">
        <is>
          <t>Earnings / Momentum Support</t>
        </is>
      </c>
      <c r="S56" s="30" t="inlineStr">
        <is>
          <t>Nifty 50</t>
        </is>
      </c>
      <c r="T56" s="31" t="n">
        <v>0.85</v>
      </c>
      <c r="U56" s="31" t="n">
        <v>67.72</v>
      </c>
      <c r="V56" s="31" t="n">
        <v>66.31</v>
      </c>
      <c r="W56" s="31" t="n">
        <v>15.55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Headwind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3</t>
        </is>
      </c>
      <c r="BC56" s="30">
        <f>IF(BB56="Stage 2",20,IF(BB56="Stage 1",0,IF(BB56="Stage 3",5,IF(BB56="Stage 4",-5,0))))</f>
        <v/>
      </c>
      <c r="BD56" s="30" t="inlineStr">
        <is>
          <t>Negative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Between 1.5 to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IF(B57=0,"",RANK(B57,$B$2:$B$400,0))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GNA</t>
        </is>
      </c>
      <c r="D57" s="30" t="inlineStr">
        <is>
          <t>Gna Axles Limited</t>
        </is>
      </c>
      <c r="E57" s="30" t="inlineStr">
        <is>
          <t>auto</t>
        </is>
      </c>
      <c r="F57" s="30" t="inlineStr">
        <is>
          <t>auto ancillaries</t>
        </is>
      </c>
      <c r="G57" s="30" t="inlineStr">
        <is>
          <t>smallcap</t>
        </is>
      </c>
      <c r="H57" s="31" t="n">
        <v>2263.31</v>
      </c>
      <c r="I57" s="31" t="n">
        <v>538.7</v>
      </c>
      <c r="J57" s="31" t="n">
        <v>2.18</v>
      </c>
      <c r="K57" s="31" t="n">
        <v>1054786</v>
      </c>
      <c r="L57" s="30" t="n">
        <v>79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65.18000000000001</v>
      </c>
      <c r="P57" s="31" t="n">
        <v>30.6</v>
      </c>
      <c r="Q57" s="31" t="inlineStr"/>
      <c r="R57" s="30" t="inlineStr">
        <is>
          <t>Earnings / Momentum Support</t>
        </is>
      </c>
      <c r="S57" s="30" t="inlineStr">
        <is>
          <t>Nifty Auto</t>
        </is>
      </c>
      <c r="T57" s="31" t="n">
        <v>13.41</v>
      </c>
      <c r="U57" s="31" t="n">
        <v>68.69</v>
      </c>
      <c r="V57" s="31" t="n">
        <v>48.74</v>
      </c>
      <c r="W57" s="31" t="n">
        <v>18.24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No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3</t>
        </is>
      </c>
      <c r="BC57" s="30">
        <f>IF(BB57="Stage 2",20,IF(BB57="Stage 1",0,IF(BB57="Stage 3",5,IF(BB57="Stage 4",-5,0))))</f>
        <v/>
      </c>
      <c r="BD57" s="30" t="inlineStr">
        <is>
          <t>Negative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IF(B58=0,"",RANK(B58,$B$2:$B$400,0))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FILATEX</t>
        </is>
      </c>
      <c r="D58" s="30" t="inlineStr">
        <is>
          <t>Filatex India Limited</t>
        </is>
      </c>
      <c r="E58" s="30" t="inlineStr">
        <is>
          <t>textiles</t>
        </is>
      </c>
      <c r="F58" s="30" t="inlineStr">
        <is>
          <t>textiles - manmade</t>
        </is>
      </c>
      <c r="G58" s="30" t="inlineStr">
        <is>
          <t>smallcap</t>
        </is>
      </c>
      <c r="H58" s="31" t="n">
        <v>3700.34</v>
      </c>
      <c r="I58" s="31" t="n">
        <v>84.78</v>
      </c>
      <c r="J58" s="31" t="n">
        <v>1.74</v>
      </c>
      <c r="K58" s="31" t="n">
        <v>4575349</v>
      </c>
      <c r="L58" s="30" t="n">
        <v>95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76.15000000000001</v>
      </c>
      <c r="P58" s="31" t="n">
        <v>34.19</v>
      </c>
      <c r="Q58" s="31" t="inlineStr"/>
      <c r="R58" s="30" t="inlineStr">
        <is>
          <t>Earnings / Momentum Support</t>
        </is>
      </c>
      <c r="S58" s="30" t="inlineStr">
        <is>
          <t>Nifty 50</t>
        </is>
      </c>
      <c r="T58" s="31" t="n">
        <v>0.85</v>
      </c>
      <c r="U58" s="31" t="n">
        <v>58.07</v>
      </c>
      <c r="V58" s="31" t="n">
        <v>56.73</v>
      </c>
      <c r="W58" s="31" t="n">
        <v>32.16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No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3</t>
        </is>
      </c>
      <c r="BC58" s="30">
        <f>IF(BB58="Stage 2",20,IF(BB58="Stage 1",0,IF(BB58="Stage 3",5,IF(BB58="Stage 4",-5,0))))</f>
        <v/>
      </c>
      <c r="BD58" s="30" t="inlineStr">
        <is>
          <t>Negative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Between 12 to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IF(B59=0,"",RANK(B59,$B$2:$B$400,0))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AETHER</t>
        </is>
      </c>
      <c r="D59" s="30" t="inlineStr">
        <is>
          <t>Aether Industries Ltd</t>
        </is>
      </c>
      <c r="E59" s="30" t="inlineStr">
        <is>
          <t>chemicals</t>
        </is>
      </c>
      <c r="F59" s="30" t="inlineStr">
        <is>
          <t>chemicals</t>
        </is>
      </c>
      <c r="G59" s="30" t="inlineStr">
        <is>
          <t>largecap</t>
        </is>
      </c>
      <c r="H59" s="31" t="n">
        <v>21122.53</v>
      </c>
      <c r="I59" s="31" t="n">
        <v>1602</v>
      </c>
      <c r="J59" s="31" t="n">
        <v>0.65</v>
      </c>
      <c r="K59" s="31" t="n">
        <v>131288</v>
      </c>
      <c r="L59" s="30" t="n">
        <v>87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74.81999999999999</v>
      </c>
      <c r="P59" s="31" t="n">
        <v>46.14</v>
      </c>
      <c r="Q59" s="31" t="inlineStr"/>
      <c r="R59" s="30" t="inlineStr">
        <is>
          <t>Earnings / Momentum Support</t>
        </is>
      </c>
      <c r="S59" s="30" t="inlineStr">
        <is>
          <t>Nifty 50</t>
        </is>
      </c>
      <c r="T59" s="31" t="n">
        <v>0.85</v>
      </c>
      <c r="U59" s="31" t="n">
        <v>116.82</v>
      </c>
      <c r="V59" s="31" t="n">
        <v>114.99</v>
      </c>
      <c r="W59" s="31" t="n">
        <v>24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3</t>
        </is>
      </c>
      <c r="BC59" s="30">
        <f>IF(BB59="Stage 2",20,IF(BB59="Stage 1",0,IF(BB59="Stage 3",5,IF(BB59="Stage 4",-5,0))))</f>
        <v/>
      </c>
      <c r="BD59" s="30" t="inlineStr">
        <is>
          <t>Negative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IF(B60=0,"",RANK(B60,$B$2:$B$400,0))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PLASTIBLEN</t>
        </is>
      </c>
      <c r="D60" s="30" t="inlineStr">
        <is>
          <t>Plastiblends India Limited</t>
        </is>
      </c>
      <c r="E60" s="30" t="inlineStr">
        <is>
          <t>chemicals</t>
        </is>
      </c>
      <c r="F60" s="30" t="inlineStr">
        <is>
          <t>chemicals</t>
        </is>
      </c>
      <c r="G60" s="30" t="inlineStr">
        <is>
          <t>smallcap</t>
        </is>
      </c>
      <c r="H60" s="31" t="n">
        <v>513.78</v>
      </c>
      <c r="I60" s="31" t="n">
        <v>198.44</v>
      </c>
      <c r="J60" s="31" t="n">
        <v>0.38</v>
      </c>
      <c r="K60" s="31" t="n">
        <v>58489</v>
      </c>
      <c r="L60" s="30" t="n">
        <v>30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65.79000000000001</v>
      </c>
      <c r="P60" s="31" t="n">
        <v>27.87</v>
      </c>
      <c r="Q60" s="31" t="inlineStr"/>
      <c r="R60" s="30" t="inlineStr">
        <is>
          <t>Earnings / Momentum Support</t>
        </is>
      </c>
      <c r="S60" s="30" t="inlineStr">
        <is>
          <t>Nifty 50</t>
        </is>
      </c>
      <c r="T60" s="31" t="n">
        <v>0.85</v>
      </c>
      <c r="U60" s="31" t="n">
        <v>3.79</v>
      </c>
      <c r="V60" s="31" t="n">
        <v>2.91</v>
      </c>
      <c r="W60" s="31" t="n">
        <v>3.51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3</t>
        </is>
      </c>
      <c r="BC60" s="30">
        <f>IF(BB60="Stage 2",20,IF(BB60="Stage 1",0,IF(BB60="Stage 3",5,IF(BB60="Stage 4",-5,0))))</f>
        <v/>
      </c>
      <c r="BD60" s="30" t="inlineStr">
        <is>
          <t>Negative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IF(B61=0,"",RANK(B61,$B$2:$B$400,0))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JUBLINGREA</t>
        </is>
      </c>
      <c r="D61" s="30" t="inlineStr">
        <is>
          <t>Jubilant Ingrevia Ltd</t>
        </is>
      </c>
      <c r="E61" s="30" t="inlineStr">
        <is>
          <t>chemicals</t>
        </is>
      </c>
      <c r="F61" s="30" t="inlineStr">
        <is>
          <t>chemicals</t>
        </is>
      </c>
      <c r="G61" s="30" t="inlineStr">
        <is>
          <t>midcap</t>
        </is>
      </c>
      <c r="H61" s="31" t="n">
        <v>11790.79</v>
      </c>
      <c r="I61" s="31" t="n">
        <v>741.85</v>
      </c>
      <c r="J61" s="31" t="n">
        <v>0.22</v>
      </c>
      <c r="K61" s="31" t="n">
        <v>384565</v>
      </c>
      <c r="L61" s="30" t="n">
        <v>20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59.76</v>
      </c>
      <c r="P61" s="31" t="n">
        <v>21.1</v>
      </c>
      <c r="Q61" s="31" t="inlineStr"/>
      <c r="R61" s="30" t="inlineStr">
        <is>
          <t>Earnings / Momentum Support</t>
        </is>
      </c>
      <c r="S61" s="30" t="inlineStr">
        <is>
          <t>Nifty 50</t>
        </is>
      </c>
      <c r="T61" s="31" t="n">
        <v>0.85</v>
      </c>
      <c r="U61" s="31" t="n">
        <v>6.39</v>
      </c>
      <c r="V61" s="31" t="n">
        <v>5.49</v>
      </c>
      <c r="W61" s="31" t="n">
        <v>1.73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Headwind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No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3</t>
        </is>
      </c>
      <c r="BC61" s="30">
        <f>IF(BB61="Stage 2",20,IF(BB61="Stage 1",0,IF(BB61="Stage 3",5,IF(BB61="Stage 4",-5,0))))</f>
        <v/>
      </c>
      <c r="BD61" s="30" t="inlineStr">
        <is>
          <t>Negative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IF(B62=0,"",RANK(B62,$B$2:$B$400,0))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BAJAJ-AUTO</t>
        </is>
      </c>
      <c r="D62" s="30" t="inlineStr">
        <is>
          <t>Bajaj Auto Limited</t>
        </is>
      </c>
      <c r="E62" s="30" t="inlineStr">
        <is>
          <t>auto</t>
        </is>
      </c>
      <c r="F62" s="30" t="inlineStr">
        <is>
          <t>automobiles - scooters and 3 - wheelers</t>
        </is>
      </c>
      <c r="G62" s="30" t="inlineStr">
        <is>
          <t>largecap</t>
        </is>
      </c>
      <c r="H62" s="31" t="n">
        <v>325950.38</v>
      </c>
      <c r="I62" s="31" t="n">
        <v>11677</v>
      </c>
      <c r="J62" s="31" t="n">
        <v>0.13</v>
      </c>
      <c r="K62" s="31" t="n">
        <v>389839</v>
      </c>
      <c r="L62" s="30" t="n">
        <v>44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72.98999999999999</v>
      </c>
      <c r="P62" s="31" t="n">
        <v>23.42</v>
      </c>
      <c r="Q62" s="31" t="inlineStr"/>
      <c r="R62" s="30" t="inlineStr">
        <is>
          <t>Earnings / Momentum Support</t>
        </is>
      </c>
      <c r="S62" s="30" t="inlineStr">
        <is>
          <t>Nifty Auto</t>
        </is>
      </c>
      <c r="T62" s="31" t="n">
        <v>13.41</v>
      </c>
      <c r="U62" s="31" t="n">
        <v>26.86</v>
      </c>
      <c r="V62" s="31" t="n">
        <v>11.86</v>
      </c>
      <c r="W62" s="31" t="n">
        <v>6.6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3</t>
        </is>
      </c>
      <c r="BC62" s="30">
        <f>IF(BB62="Stage 2",20,IF(BB62="Stage 1",0,IF(BB62="Stage 3",5,IF(BB62="Stage 4",-5,0))))</f>
        <v/>
      </c>
      <c r="BD62" s="30" t="inlineStr">
        <is>
          <t>Negative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IF(B63=0,"",RANK(B63,$B$2:$B$400,0))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CENTENKA</t>
        </is>
      </c>
      <c r="D63" s="30" t="inlineStr">
        <is>
          <t>Century Enka Limited</t>
        </is>
      </c>
      <c r="E63" s="30" t="inlineStr">
        <is>
          <t>textiles</t>
        </is>
      </c>
      <c r="F63" s="30" t="inlineStr">
        <is>
          <t>textiles - manmade</t>
        </is>
      </c>
      <c r="G63" s="30" t="inlineStr">
        <is>
          <t>smallcap</t>
        </is>
      </c>
      <c r="H63" s="31" t="n">
        <v>1333.43</v>
      </c>
      <c r="I63" s="31" t="n">
        <v>610.45</v>
      </c>
      <c r="J63" s="31" t="n">
        <v>0.03</v>
      </c>
      <c r="K63" s="31" t="n">
        <v>44959</v>
      </c>
      <c r="L63" s="30" t="n">
        <v>67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71.06999999999999</v>
      </c>
      <c r="P63" s="31" t="n">
        <v>64.03</v>
      </c>
      <c r="Q63" s="31" t="inlineStr"/>
      <c r="R63" s="30" t="inlineStr">
        <is>
          <t>Earnings / Momentum Support</t>
        </is>
      </c>
      <c r="S63" s="30" t="inlineStr">
        <is>
          <t>Nifty 50</t>
        </is>
      </c>
      <c r="T63" s="31" t="n">
        <v>0.85</v>
      </c>
      <c r="U63" s="31" t="n">
        <v>23.22</v>
      </c>
      <c r="V63" s="31" t="n">
        <v>22.18</v>
      </c>
      <c r="W63" s="31" t="n">
        <v>13.14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3</t>
        </is>
      </c>
      <c r="BC63" s="30">
        <f>IF(BB63="Stage 2",20,IF(BB63="Stage 1",0,IF(BB63="Stage 3",5,IF(BB63="Stage 4",-5,0))))</f>
        <v/>
      </c>
      <c r="BD63" s="30" t="inlineStr">
        <is>
          <t>Negative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IF(B64=0,"",RANK(B64,$B$2:$B$400,0))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KDDL</t>
        </is>
      </c>
      <c r="D64" s="30" t="inlineStr">
        <is>
          <t>Kddl Limited</t>
        </is>
      </c>
      <c r="E64" s="30" t="inlineStr">
        <is>
          <t>consumer discretionary</t>
        </is>
      </c>
      <c r="F64" s="30" t="inlineStr">
        <is>
          <t>miscellaneous</t>
        </is>
      </c>
      <c r="G64" s="30" t="inlineStr">
        <is>
          <t>smallcap</t>
        </is>
      </c>
      <c r="H64" s="31" t="n">
        <v>4727.72</v>
      </c>
      <c r="I64" s="31" t="n">
        <v>3835.8</v>
      </c>
      <c r="J64" s="31" t="n">
        <v>-0.21</v>
      </c>
      <c r="K64" s="31" t="n">
        <v>53094</v>
      </c>
      <c r="L64" s="30" t="n">
        <v>84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76.55</v>
      </c>
      <c r="P64" s="31" t="n">
        <v>40.69</v>
      </c>
      <c r="Q64" s="31" t="inlineStr"/>
      <c r="R64" s="30" t="inlineStr">
        <is>
          <t>Earnings / Momentum Support</t>
        </is>
      </c>
      <c r="S64" s="30" t="inlineStr">
        <is>
          <t>Nifty 50</t>
        </is>
      </c>
      <c r="T64" s="31" t="n">
        <v>0.85</v>
      </c>
      <c r="U64" s="31" t="n">
        <v>48.46</v>
      </c>
      <c r="V64" s="31" t="n">
        <v>47.21</v>
      </c>
      <c r="W64" s="31" t="n">
        <v>21.55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3</t>
        </is>
      </c>
      <c r="BC64" s="30">
        <f>IF(BB64="Stage 2",20,IF(BB64="Stage 1",0,IF(BB64="Stage 3",5,IF(BB64="Stage 4",-5,0))))</f>
        <v/>
      </c>
      <c r="BD64" s="30" t="inlineStr">
        <is>
          <t>Negative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IF(B65=0,"",RANK(B65,$B$2:$B$400,0))</f>
        <v/>
      </c>
      <c r="B65" s="31">
        <f>SUM(N65,Y65,AA65,AC65,AE65,AG65,AI65,AK65,AM65,AO65,AQ65,AS65,AU65,AW65,AY65,BA65,BC65,BE65,BG65,BI65,BK65,BM65,BO65,BQ65,BS65,BU65,BW65,BY65,CA65,CC65,CE65)</f>
        <v/>
      </c>
      <c r="C65" s="32" t="inlineStr">
        <is>
          <t>WSTCSTPAPR</t>
        </is>
      </c>
      <c r="D65" s="32" t="inlineStr">
        <is>
          <t>West Coast Paper Mills Limited</t>
        </is>
      </c>
      <c r="E65" s="30" t="inlineStr">
        <is>
          <t>building materials</t>
        </is>
      </c>
      <c r="F65" s="30" t="inlineStr">
        <is>
          <t>paper</t>
        </is>
      </c>
      <c r="G65" s="30" t="inlineStr">
        <is>
          <t>smallcap</t>
        </is>
      </c>
      <c r="H65" s="31" t="n">
        <v>3956.99</v>
      </c>
      <c r="I65" s="31" t="n">
        <v>586.25</v>
      </c>
      <c r="J65" s="31" t="n">
        <v>-2.14</v>
      </c>
      <c r="K65" s="31" t="n">
        <v>116741</v>
      </c>
      <c r="L65" s="30" t="n">
        <v>17</v>
      </c>
      <c r="M65" s="30" t="inlineStr">
        <is>
          <t>Underperforming</t>
        </is>
      </c>
      <c r="N65" s="31">
        <f>IF(M65="Underperforming",-5,IF(L65&gt;=95,15,IF(L65&gt;=90,10,IF(L65&gt;=80,5,0))))</f>
        <v/>
      </c>
      <c r="O65" s="31" t="n">
        <v>68.65000000000001</v>
      </c>
      <c r="P65" s="31" t="n">
        <v>40.95</v>
      </c>
      <c r="Q65" s="31" t="inlineStr"/>
      <c r="R65" s="30" t="inlineStr">
        <is>
          <t>Earnings / Momentum Support</t>
        </is>
      </c>
      <c r="S65" s="30" t="inlineStr">
        <is>
          <t>Nifty Infra</t>
        </is>
      </c>
      <c r="T65" s="31" t="n">
        <v>1.74</v>
      </c>
      <c r="U65" s="31" t="n">
        <v>-6.14</v>
      </c>
      <c r="V65" s="31" t="n">
        <v>-7.75</v>
      </c>
      <c r="W65" s="31" t="n">
        <v>0.65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3</t>
        </is>
      </c>
      <c r="BC65" s="30">
        <f>IF(BB65="Stage 2",20,IF(BB65="Stage 1",0,IF(BB65="Stage 3",5,IF(BB65="Stage 4",-5,0))))</f>
        <v/>
      </c>
      <c r="BD65" s="30" t="inlineStr">
        <is>
          <t>Negative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Between 12 to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IF(B66=0,"",RANK(B66,$B$2:$B$400,0))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GOCLCORP</t>
        </is>
      </c>
      <c r="D66" s="30" t="inlineStr">
        <is>
          <t>Gocl Corporation Limited</t>
        </is>
      </c>
      <c r="E66" s="30" t="inlineStr">
        <is>
          <t>miscellaneous</t>
        </is>
      </c>
      <c r="F66" s="30" t="inlineStr">
        <is>
          <t>diversified - medium / small</t>
        </is>
      </c>
      <c r="G66" s="30" t="inlineStr">
        <is>
          <t>smallcap</t>
        </is>
      </c>
      <c r="H66" s="31" t="n">
        <v>2172.51</v>
      </c>
      <c r="I66" s="31" t="n">
        <v>428.2</v>
      </c>
      <c r="J66" s="31" t="n">
        <v>-2.29</v>
      </c>
      <c r="K66" s="31" t="n">
        <v>106192</v>
      </c>
      <c r="L66" s="30" t="n">
        <v>69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67.52</v>
      </c>
      <c r="P66" s="31" t="n">
        <v>42.84</v>
      </c>
      <c r="Q66" s="31" t="inlineStr"/>
      <c r="R66" s="30" t="inlineStr">
        <is>
          <t>Earnings / Momentum Support</t>
        </is>
      </c>
      <c r="S66" s="30" t="inlineStr">
        <is>
          <t>Nifty 50</t>
        </is>
      </c>
      <c r="T66" s="31" t="n">
        <v>0.85</v>
      </c>
      <c r="U66" s="31" t="n">
        <v>30.43</v>
      </c>
      <c r="V66" s="31" t="n">
        <v>29.33</v>
      </c>
      <c r="W66" s="31" t="n">
        <v>13.85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3</t>
        </is>
      </c>
      <c r="BC66" s="30">
        <f>IF(BB66="Stage 2",20,IF(BB66="Stage 1",0,IF(BB66="Stage 3",5,IF(BB66="Stage 4",-5,0))))</f>
        <v/>
      </c>
      <c r="BD66" s="30" t="inlineStr">
        <is>
          <t>Negative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IF(B67=0,"",RANK(B67,$B$2:$B$400,0))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SHILPAMED</t>
        </is>
      </c>
      <c r="D67" s="30" t="inlineStr">
        <is>
          <t>Shilpa Medicare Limited</t>
        </is>
      </c>
      <c r="E67" s="30" t="inlineStr">
        <is>
          <t>healthcare</t>
        </is>
      </c>
      <c r="F67" s="30" t="inlineStr">
        <is>
          <t>pharmaceuticals - indian - formulations</t>
        </is>
      </c>
      <c r="G67" s="30" t="inlineStr">
        <is>
          <t>midcap</t>
        </is>
      </c>
      <c r="H67" s="31" t="n">
        <v>14859.33</v>
      </c>
      <c r="I67" s="31" t="n">
        <v>807.55</v>
      </c>
      <c r="J67" s="31" t="n">
        <v>6.29</v>
      </c>
      <c r="K67" s="31" t="n">
        <v>6377695</v>
      </c>
      <c r="L67" s="30" t="n">
        <v>95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87.43000000000001</v>
      </c>
      <c r="P67" s="31" t="n">
        <v>72.98999999999999</v>
      </c>
      <c r="Q67" s="31" t="inlineStr"/>
      <c r="R67" s="30" t="inlineStr">
        <is>
          <t>Earnings / Momentum Support</t>
        </is>
      </c>
      <c r="S67" s="30" t="inlineStr">
        <is>
          <t>Nifty Pharma</t>
        </is>
      </c>
      <c r="T67" s="31" t="n">
        <v>24.01</v>
      </c>
      <c r="U67" s="31" t="n">
        <v>82.84999999999999</v>
      </c>
      <c r="V67" s="31" t="n">
        <v>47.45</v>
      </c>
      <c r="W67" s="31" t="n">
        <v>32.09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3</t>
        </is>
      </c>
      <c r="BC67" s="30">
        <f>IF(BB67="Stage 2",20,IF(BB67="Stage 1",0,IF(BB67="Stage 3",5,IF(BB67="Stage 4",-5,0))))</f>
        <v/>
      </c>
      <c r="BD67" s="30" t="inlineStr">
        <is>
          <t>Negative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IF(B68=0,"",RANK(B68,$B$2:$B$400,0))</f>
        <v/>
      </c>
      <c r="B68" s="31">
        <f>SUM(N68,Y68,AA68,AC68,AE68,AG68,AI68,AK68,AM68,AO68,AQ68,AS68,AU68,AW68,AY68,BA68,BC68,BE68,BG68,BI68,BK68,BM68,BO68,BQ68,BS68,BU68,BW68,BY68,CA68,CC68,CE68)</f>
        <v/>
      </c>
      <c r="C68" s="32" t="inlineStr">
        <is>
          <t>ENTERO</t>
        </is>
      </c>
      <c r="D68" s="32" t="inlineStr">
        <is>
          <t>Entero Healthcare Solutions Ltd</t>
        </is>
      </c>
      <c r="E68" s="30" t="inlineStr">
        <is>
          <t>healthcare</t>
        </is>
      </c>
      <c r="F68" s="30" t="inlineStr">
        <is>
          <t>trading</t>
        </is>
      </c>
      <c r="G68" s="30" t="inlineStr">
        <is>
          <t>midcap</t>
        </is>
      </c>
      <c r="H68" s="31" t="n">
        <v>5408.61</v>
      </c>
      <c r="I68" s="31" t="n">
        <v>1315.1</v>
      </c>
      <c r="J68" s="31" t="n">
        <v>5.83</v>
      </c>
      <c r="K68" s="31" t="n">
        <v>1413561</v>
      </c>
      <c r="L68" s="30" t="n">
        <v>14</v>
      </c>
      <c r="M68" s="30" t="inlineStr">
        <is>
          <t>Underperforming</t>
        </is>
      </c>
      <c r="N68" s="31">
        <f>IF(M68="Underperforming",-5,IF(L68&gt;=95,15,IF(L68&gt;=90,10,IF(L68&gt;=80,5,0))))</f>
        <v/>
      </c>
      <c r="O68" s="31" t="n">
        <v>54.79</v>
      </c>
      <c r="P68" s="31" t="n">
        <v>21.01</v>
      </c>
      <c r="Q68" s="31" t="inlineStr"/>
      <c r="R68" s="30" t="inlineStr">
        <is>
          <t>Volume Spike / Accumulation</t>
        </is>
      </c>
      <c r="S68" s="30" t="inlineStr">
        <is>
          <t>Nifty Pharma</t>
        </is>
      </c>
      <c r="T68" s="31" t="n">
        <v>24.01</v>
      </c>
      <c r="U68" s="31" t="n">
        <v>-3.58</v>
      </c>
      <c r="V68" s="31" t="n">
        <v>-22.25</v>
      </c>
      <c r="W68" s="31" t="n">
        <v>-0.09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3</t>
        </is>
      </c>
      <c r="BC68" s="30">
        <f>IF(BB68="Stage 2",20,IF(BB68="Stage 1",0,IF(BB68="Stage 3",5,IF(BB68="Stage 4",-5,0))))</f>
        <v/>
      </c>
      <c r="BD68" s="30" t="inlineStr">
        <is>
          <t>Negative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IF(B69=0,"",RANK(B69,$B$2:$B$400,0))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SUVEN</t>
        </is>
      </c>
      <c r="D69" s="30" t="inlineStr">
        <is>
          <t>Suven Life Sciences Limited</t>
        </is>
      </c>
      <c r="E69" s="30" t="inlineStr">
        <is>
          <t>healthcare</t>
        </is>
      </c>
      <c r="F69" s="30" t="inlineStr">
        <is>
          <t>miscellaneous</t>
        </is>
      </c>
      <c r="G69" s="30" t="inlineStr">
        <is>
          <t>smallcap</t>
        </is>
      </c>
      <c r="H69" s="31" t="n">
        <v>615.11</v>
      </c>
      <c r="I69" s="31" t="n">
        <v>332.6</v>
      </c>
      <c r="J69" s="31" t="n">
        <v>4.46</v>
      </c>
      <c r="K69" s="31" t="n">
        <v>1102629</v>
      </c>
      <c r="L69" s="30" t="n">
        <v>77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65.01000000000001</v>
      </c>
      <c r="P69" s="31" t="n">
        <v>46.64</v>
      </c>
      <c r="Q69" s="31" t="inlineStr"/>
      <c r="R69" s="30" t="inlineStr">
        <is>
          <t>Earnings / Momentum Support</t>
        </is>
      </c>
      <c r="S69" s="30" t="inlineStr">
        <is>
          <t>Nifty Pharma</t>
        </is>
      </c>
      <c r="T69" s="31" t="n">
        <v>24.01</v>
      </c>
      <c r="U69" s="31" t="n">
        <v>26.95</v>
      </c>
      <c r="V69" s="31" t="n">
        <v>2.37</v>
      </c>
      <c r="W69" s="31" t="n">
        <v>16.97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3</t>
        </is>
      </c>
      <c r="BC69" s="30">
        <f>IF(BB69="Stage 2",20,IF(BB69="Stage 1",0,IF(BB69="Stage 3",5,IF(BB69="Stage 4",-5,0))))</f>
        <v/>
      </c>
      <c r="BD69" s="30" t="inlineStr">
        <is>
          <t>Negative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IF(B70=0,"",RANK(B70,$B$2:$B$400,0))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HESTERBIO</t>
        </is>
      </c>
      <c r="D70" s="30" t="inlineStr">
        <is>
          <t>Hester Biosciences Limited</t>
        </is>
      </c>
      <c r="E70" s="30" t="inlineStr">
        <is>
          <t>healthcare</t>
        </is>
      </c>
      <c r="F70" s="30" t="inlineStr">
        <is>
          <t>pharmaceuticals - indian - formulations</t>
        </is>
      </c>
      <c r="G70" s="30" t="inlineStr">
        <is>
          <t>smallcap</t>
        </is>
      </c>
      <c r="H70" s="31" t="n">
        <v>2056.87</v>
      </c>
      <c r="I70" s="31" t="n">
        <v>2499.9</v>
      </c>
      <c r="J70" s="31" t="n">
        <v>3.39</v>
      </c>
      <c r="K70" s="31" t="n">
        <v>11921</v>
      </c>
      <c r="L70" s="30" t="n">
        <v>75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70.17</v>
      </c>
      <c r="P70" s="31" t="n">
        <v>60.68</v>
      </c>
      <c r="Q70" s="31" t="inlineStr"/>
      <c r="R70" s="30" t="inlineStr">
        <is>
          <t>Earnings / Momentum Support</t>
        </is>
      </c>
      <c r="S70" s="30" t="inlineStr">
        <is>
          <t>Nifty Pharma</t>
        </is>
      </c>
      <c r="T70" s="31" t="n">
        <v>24.01</v>
      </c>
      <c r="U70" s="31" t="n">
        <v>24.43</v>
      </c>
      <c r="V70" s="31" t="n">
        <v>0.34</v>
      </c>
      <c r="W70" s="31" t="n">
        <v>16.08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3</t>
        </is>
      </c>
      <c r="BC70" s="30">
        <f>IF(BB70="Stage 2",20,IF(BB70="Stage 1",0,IF(BB70="Stage 3",5,IF(BB70="Stage 4",-5,0))))</f>
        <v/>
      </c>
      <c r="BD70" s="30" t="inlineStr">
        <is>
          <t>Negative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IF(B71=0,"",RANK(B71,$B$2:$B$400,0))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THYROCARE</t>
        </is>
      </c>
      <c r="D71" s="30" t="inlineStr">
        <is>
          <t>Thyrocare Technologies Limited</t>
        </is>
      </c>
      <c r="E71" s="30" t="inlineStr">
        <is>
          <t>healthcare</t>
        </is>
      </c>
      <c r="F71" s="30" t="inlineStr">
        <is>
          <t>healthcare</t>
        </is>
      </c>
      <c r="G71" s="30" t="inlineStr">
        <is>
          <t>midcap</t>
        </is>
      </c>
      <c r="H71" s="31" t="n">
        <v>9601.65</v>
      </c>
      <c r="I71" s="31" t="n">
        <v>622.1</v>
      </c>
      <c r="J71" s="31" t="n">
        <v>3.12</v>
      </c>
      <c r="K71" s="31" t="n">
        <v>342145</v>
      </c>
      <c r="L71" s="30" t="n">
        <v>65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71.43000000000001</v>
      </c>
      <c r="P71" s="31" t="n">
        <v>57.05</v>
      </c>
      <c r="Q71" s="31" t="inlineStr"/>
      <c r="R71" s="30" t="inlineStr">
        <is>
          <t>Earnings / Momentum Support</t>
        </is>
      </c>
      <c r="S71" s="30" t="inlineStr">
        <is>
          <t>Nifty Pharma</t>
        </is>
      </c>
      <c r="T71" s="31" t="n">
        <v>24.01</v>
      </c>
      <c r="U71" s="31" t="n">
        <v>37.85</v>
      </c>
      <c r="V71" s="31" t="n">
        <v>11.16</v>
      </c>
      <c r="W71" s="31" t="n">
        <v>12.65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Headwind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3</t>
        </is>
      </c>
      <c r="BC71" s="30">
        <f>IF(BB71="Stage 2",20,IF(BB71="Stage 1",0,IF(BB71="Stage 3",5,IF(BB71="Stage 4",-5,0))))</f>
        <v/>
      </c>
      <c r="BD71" s="30" t="inlineStr">
        <is>
          <t>Negative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Between 1.5 to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IF(B72=0,"",RANK(B72,$B$2:$B$400,0))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GLAND</t>
        </is>
      </c>
      <c r="D72" s="30" t="inlineStr">
        <is>
          <t>Gland Pharma Ltd</t>
        </is>
      </c>
      <c r="E72" s="30" t="inlineStr">
        <is>
          <t>healthcare</t>
        </is>
      </c>
      <c r="F72" s="30" t="inlineStr">
        <is>
          <t>pharmaceuticals - indian - formulations</t>
        </is>
      </c>
      <c r="G72" s="30" t="inlineStr">
        <is>
          <t>largecap</t>
        </is>
      </c>
      <c r="H72" s="31" t="n">
        <v>42906.01</v>
      </c>
      <c r="I72" s="31" t="n">
        <v>2667.3</v>
      </c>
      <c r="J72" s="31" t="n">
        <v>2.55</v>
      </c>
      <c r="K72" s="31" t="n">
        <v>720772</v>
      </c>
      <c r="L72" s="30" t="n">
        <v>72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72.26000000000001</v>
      </c>
      <c r="P72" s="31" t="n">
        <v>57.92</v>
      </c>
      <c r="Q72" s="31" t="inlineStr"/>
      <c r="R72" s="30" t="inlineStr">
        <is>
          <t>Earnings / Momentum Support</t>
        </is>
      </c>
      <c r="S72" s="30" t="inlineStr">
        <is>
          <t>Nifty Pharma</t>
        </is>
      </c>
      <c r="T72" s="31" t="n">
        <v>24.01</v>
      </c>
      <c r="U72" s="31" t="n">
        <v>35.7</v>
      </c>
      <c r="V72" s="31" t="n">
        <v>9.42</v>
      </c>
      <c r="W72" s="31" t="n">
        <v>14.52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Headwind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No</t>
        </is>
      </c>
      <c r="AQ72" s="30">
        <f>IF(AP72="Yes",10,0)</f>
        <v/>
      </c>
      <c r="AR72" s="30" t="inlineStr">
        <is>
          <t>Higher Annuity, Lower One Time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3</t>
        </is>
      </c>
      <c r="BC72" s="30">
        <f>IF(BB72="Stage 2",20,IF(BB72="Stage 1",0,IF(BB72="Stage 3",5,IF(BB72="Stage 4",-5,0))))</f>
        <v/>
      </c>
      <c r="BD72" s="30" t="inlineStr">
        <is>
          <t>Negative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Between 50% to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IF(B73=0,"",RANK(B73,$B$2:$B$400,0))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AVTNPL</t>
        </is>
      </c>
      <c r="D73" s="30" t="inlineStr">
        <is>
          <t>Avt Natural Products Limited</t>
        </is>
      </c>
      <c r="E73" s="30" t="inlineStr">
        <is>
          <t>fmcg</t>
        </is>
      </c>
      <c r="F73" s="30" t="inlineStr">
        <is>
          <t>solvent extraction</t>
        </is>
      </c>
      <c r="G73" s="30" t="inlineStr">
        <is>
          <t>smallcap</t>
        </is>
      </c>
      <c r="H73" s="31" t="n">
        <v>1094.31</v>
      </c>
      <c r="I73" s="31" t="n">
        <v>71.5</v>
      </c>
      <c r="J73" s="31" t="n">
        <v>-0.5</v>
      </c>
      <c r="K73" s="31" t="n">
        <v>46521</v>
      </c>
      <c r="L73" s="30" t="n">
        <v>19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57.97</v>
      </c>
      <c r="P73" s="31" t="n">
        <v>31.43</v>
      </c>
      <c r="Q73" s="31" t="inlineStr"/>
      <c r="R73" s="30" t="inlineStr">
        <is>
          <t>Earnings / Momentum Support</t>
        </is>
      </c>
      <c r="S73" s="30" t="inlineStr">
        <is>
          <t>Nifty FMCG</t>
        </is>
      </c>
      <c r="T73" s="31" t="n">
        <v>-13.73</v>
      </c>
      <c r="U73" s="31" t="n">
        <v>2.14</v>
      </c>
      <c r="V73" s="31" t="n">
        <v>18.39</v>
      </c>
      <c r="W73" s="31" t="n">
        <v>1.38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Headwind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B2C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Annuity, Lower One Time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3</t>
        </is>
      </c>
      <c r="BC73" s="30">
        <f>IF(BB73="Stage 2",20,IF(BB73="Stage 1",0,IF(BB73="Stage 3",5,IF(BB73="Stage 4",-5,0))))</f>
        <v/>
      </c>
      <c r="BD73" s="30" t="inlineStr">
        <is>
          <t>Negative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Less than 50%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IF(B74=0,"",RANK(B74,$B$2:$B$400,0))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VENKEYS</t>
        </is>
      </c>
      <c r="D74" s="30" t="inlineStr">
        <is>
          <t>Venky's (india) Limited</t>
        </is>
      </c>
      <c r="E74" s="30" t="inlineStr">
        <is>
          <t>fmcg</t>
        </is>
      </c>
      <c r="F74" s="30" t="inlineStr">
        <is>
          <t>miscellaneous</t>
        </is>
      </c>
      <c r="G74" s="30" t="inlineStr">
        <is>
          <t>smallcap</t>
        </is>
      </c>
      <c r="H74" s="31" t="n">
        <v>2216.5</v>
      </c>
      <c r="I74" s="31" t="n">
        <v>1564</v>
      </c>
      <c r="J74" s="31" t="n">
        <v>-0.6</v>
      </c>
      <c r="K74" s="31" t="n">
        <v>43689</v>
      </c>
      <c r="L74" s="30" t="n">
        <v>5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57.99</v>
      </c>
      <c r="P74" s="31" t="n">
        <v>36.73</v>
      </c>
      <c r="Q74" s="31" t="inlineStr"/>
      <c r="R74" s="30" t="inlineStr">
        <is>
          <t>Earnings / Momentum Support</t>
        </is>
      </c>
      <c r="S74" s="30" t="inlineStr">
        <is>
          <t>Nifty FMCG</t>
        </is>
      </c>
      <c r="T74" s="31" t="n">
        <v>-13.73</v>
      </c>
      <c r="U74" s="31" t="n">
        <v>-7.57</v>
      </c>
      <c r="V74" s="31" t="n">
        <v>7.13</v>
      </c>
      <c r="W74" s="31" t="n">
        <v>-3.14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Headwind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B2C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Annuity, Lower One Time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3</t>
        </is>
      </c>
      <c r="BC74" s="30">
        <f>IF(BB74="Stage 2",20,IF(BB74="Stage 1",0,IF(BB74="Stage 3",5,IF(BB74="Stage 4",-5,0))))</f>
        <v/>
      </c>
      <c r="BD74" s="30" t="inlineStr">
        <is>
          <t>Negative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IF(B75=0,"",RANK(B75,$B$2:$B$400,0))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NESTLEIND</t>
        </is>
      </c>
      <c r="D75" s="30" t="inlineStr">
        <is>
          <t>Nestle India Limited</t>
        </is>
      </c>
      <c r="E75" s="30" t="inlineStr">
        <is>
          <t>fmcg</t>
        </is>
      </c>
      <c r="F75" s="30" t="inlineStr">
        <is>
          <t>food - processing - mnc</t>
        </is>
      </c>
      <c r="G75" s="30" t="inlineStr">
        <is>
          <t>largecap</t>
        </is>
      </c>
      <c r="H75" s="31" t="n">
        <v>296960.41</v>
      </c>
      <c r="I75" s="31" t="n">
        <v>1528.6</v>
      </c>
      <c r="J75" s="31" t="n">
        <v>-0.74</v>
      </c>
      <c r="K75" s="31" t="n">
        <v>2745463</v>
      </c>
      <c r="L75" s="30" t="n">
        <v>39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70.95</v>
      </c>
      <c r="P75" s="31" t="n">
        <v>34.39</v>
      </c>
      <c r="Q75" s="31" t="inlineStr"/>
      <c r="R75" s="30" t="inlineStr">
        <is>
          <t>Earnings / Momentum Support</t>
        </is>
      </c>
      <c r="S75" s="30" t="inlineStr">
        <is>
          <t>Nifty FMCG</t>
        </is>
      </c>
      <c r="T75" s="31" t="n">
        <v>-13.73</v>
      </c>
      <c r="U75" s="31" t="n">
        <v>16.64</v>
      </c>
      <c r="V75" s="31" t="n">
        <v>35.2</v>
      </c>
      <c r="W75" s="31" t="n">
        <v>5.54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Headwind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B2C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Annuity, Lower One Time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3</t>
        </is>
      </c>
      <c r="BC75" s="30">
        <f>IF(BB75="Stage 2",20,IF(BB75="Stage 1",0,IF(BB75="Stage 3",5,IF(BB75="Stage 4",-5,0))))</f>
        <v/>
      </c>
      <c r="BD75" s="30" t="inlineStr">
        <is>
          <t>Negative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Between 1.5 to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IF(B76=0,"",RANK(B76,$B$2:$B$400,0))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MPSLTD</t>
        </is>
      </c>
      <c r="D76" s="30" t="inlineStr">
        <is>
          <t>Mps Limited</t>
        </is>
      </c>
      <c r="E76" s="30" t="inlineStr">
        <is>
          <t>i.t</t>
        </is>
      </c>
      <c r="F76" s="30" t="inlineStr">
        <is>
          <t>computers - software - medium / small</t>
        </is>
      </c>
      <c r="G76" s="30" t="inlineStr">
        <is>
          <t>midcap</t>
        </is>
      </c>
      <c r="H76" s="31" t="n">
        <v>5014.06</v>
      </c>
      <c r="I76" s="31" t="n">
        <v>2864</v>
      </c>
      <c r="J76" s="31" t="n">
        <v>-2.29</v>
      </c>
      <c r="K76" s="31" t="n">
        <v>55546</v>
      </c>
      <c r="L76" s="30" t="n">
        <v>88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77.15000000000001</v>
      </c>
      <c r="P76" s="31" t="n">
        <v>34.97</v>
      </c>
      <c r="Q76" s="31" t="inlineStr"/>
      <c r="R76" s="30" t="inlineStr">
        <is>
          <t>Earnings / Momentum Support</t>
        </is>
      </c>
      <c r="S76" s="30" t="inlineStr">
        <is>
          <t>Nifty IT</t>
        </is>
      </c>
      <c r="T76" s="31" t="n">
        <v>-8.289999999999999</v>
      </c>
      <c r="U76" s="31" t="n">
        <v>32.1</v>
      </c>
      <c r="V76" s="31" t="n">
        <v>44.03</v>
      </c>
      <c r="W76" s="31" t="n">
        <v>24.58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Headwind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Annuity, Lower One Time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3</t>
        </is>
      </c>
      <c r="BC76" s="30">
        <f>IF(BB76="Stage 2",20,IF(BB76="Stage 1",0,IF(BB76="Stage 3",5,IF(BB76="Stage 4",-5,0))))</f>
        <v/>
      </c>
      <c r="BD76" s="30" t="inlineStr">
        <is>
          <t>Negative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IF(B77=0,"",RANK(B77,$B$2:$B$400,0))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KABRAEXTRU</t>
        </is>
      </c>
      <c r="D77" s="30" t="inlineStr">
        <is>
          <t>Kabra Extrusion Technik Limited</t>
        </is>
      </c>
      <c r="E77" s="30" t="inlineStr">
        <is>
          <t>industrials</t>
        </is>
      </c>
      <c r="F77" s="30" t="inlineStr">
        <is>
          <t>engineering</t>
        </is>
      </c>
      <c r="G77" s="30" t="inlineStr">
        <is>
          <t>smallcap</t>
        </is>
      </c>
      <c r="H77" s="31" t="n">
        <v>1568.88</v>
      </c>
      <c r="I77" s="31" t="n">
        <v>510.75</v>
      </c>
      <c r="J77" s="31" t="n">
        <v>13.85</v>
      </c>
      <c r="K77" s="31" t="n">
        <v>2087592</v>
      </c>
      <c r="L77" s="30" t="n">
        <v>95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83.23</v>
      </c>
      <c r="P77" s="31" t="n">
        <v>33.47</v>
      </c>
      <c r="Q77" s="31" t="inlineStr"/>
      <c r="R77" s="30" t="inlineStr">
        <is>
          <t>Volume Spike / Accumulation</t>
        </is>
      </c>
      <c r="S77" s="30" t="inlineStr">
        <is>
          <t>Nifty 50</t>
        </is>
      </c>
      <c r="T77" s="31" t="n">
        <v>0.85</v>
      </c>
      <c r="U77" s="31" t="n">
        <v>76.81999999999999</v>
      </c>
      <c r="V77" s="31" t="n">
        <v>75.33</v>
      </c>
      <c r="W77" s="31" t="n">
        <v>33.49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Headwind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3</t>
        </is>
      </c>
      <c r="BC77" s="30">
        <f>IF(BB77="Stage 2",20,IF(BB77="Stage 1",0,IF(BB77="Stage 3",5,IF(BB77="Stage 4",-5,0))))</f>
        <v/>
      </c>
      <c r="BD77" s="30" t="inlineStr">
        <is>
          <t>Negative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IF(B78=0,"",RANK(B78,$B$2:$B$400,0))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CARYSIL</t>
        </is>
      </c>
      <c r="D78" s="30" t="inlineStr">
        <is>
          <t>Carysil Ltd</t>
        </is>
      </c>
      <c r="E78" s="30" t="inlineStr">
        <is>
          <t>consumer discretionary</t>
        </is>
      </c>
      <c r="F78" s="30" t="inlineStr">
        <is>
          <t>domestic appliances</t>
        </is>
      </c>
      <c r="G78" s="30" t="inlineStr">
        <is>
          <t>smallcap</t>
        </is>
      </c>
      <c r="H78" s="31" t="n">
        <v>3367.32</v>
      </c>
      <c r="I78" s="31" t="n">
        <v>1251.7</v>
      </c>
      <c r="J78" s="31" t="n">
        <v>5.73</v>
      </c>
      <c r="K78" s="31" t="n">
        <v>493239</v>
      </c>
      <c r="L78" s="30" t="n">
        <v>70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65.67</v>
      </c>
      <c r="P78" s="31" t="n">
        <v>33.24</v>
      </c>
      <c r="Q78" s="31" t="inlineStr"/>
      <c r="R78" s="30" t="inlineStr">
        <is>
          <t>Earnings / Momentum Support</t>
        </is>
      </c>
      <c r="S78" s="30" t="inlineStr">
        <is>
          <t>Nifty 50</t>
        </is>
      </c>
      <c r="T78" s="31" t="n">
        <v>0.85</v>
      </c>
      <c r="U78" s="31" t="n">
        <v>51.36</v>
      </c>
      <c r="V78" s="31" t="n">
        <v>50.08</v>
      </c>
      <c r="W78" s="31" t="n">
        <v>14.08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Headwind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3</t>
        </is>
      </c>
      <c r="BC78" s="30">
        <f>IF(BB78="Stage 2",20,IF(BB78="Stage 1",0,IF(BB78="Stage 3",5,IF(BB78="Stage 4",-5,0))))</f>
        <v/>
      </c>
      <c r="BD78" s="30" t="inlineStr">
        <is>
          <t>Negative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Between 50% to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IF(B79=0,"",RANK(B79,$B$2:$B$400,0))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PDSL</t>
        </is>
      </c>
      <c r="D79" s="30" t="inlineStr">
        <is>
          <t>PDS Ltd</t>
        </is>
      </c>
      <c r="E79" s="30" t="inlineStr">
        <is>
          <t>textiles</t>
        </is>
      </c>
      <c r="F79" s="30" t="inlineStr">
        <is>
          <t>trading</t>
        </is>
      </c>
      <c r="G79" s="30" t="inlineStr">
        <is>
          <t>midcap</t>
        </is>
      </c>
      <c r="H79" s="31" t="n">
        <v>5118.08</v>
      </c>
      <c r="I79" s="31" t="n">
        <v>382.25</v>
      </c>
      <c r="J79" s="31" t="n">
        <v>5.64</v>
      </c>
      <c r="K79" s="31" t="n">
        <v>550825</v>
      </c>
      <c r="L79" s="30" t="n">
        <v>47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59.38</v>
      </c>
      <c r="P79" s="31" t="n">
        <v>33.27</v>
      </c>
      <c r="Q79" s="31" t="inlineStr"/>
      <c r="R79" s="30" t="inlineStr">
        <is>
          <t>Earnings / Momentum Support</t>
        </is>
      </c>
      <c r="S79" s="30" t="inlineStr">
        <is>
          <t>Nifty 50</t>
        </is>
      </c>
      <c r="T79" s="31" t="n">
        <v>0.85</v>
      </c>
      <c r="U79" s="31" t="n">
        <v>13.2</v>
      </c>
      <c r="V79" s="31" t="n">
        <v>12.24</v>
      </c>
      <c r="W79" s="31" t="n">
        <v>7.45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Headwind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3</t>
        </is>
      </c>
      <c r="BC79" s="30">
        <f>IF(BB79="Stage 2",20,IF(BB79="Stage 1",0,IF(BB79="Stage 3",5,IF(BB79="Stage 4",-5,0))))</f>
        <v/>
      </c>
      <c r="BD79" s="30" t="inlineStr">
        <is>
          <t>Negative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IF(B80=0,"",RANK(B80,$B$2:$B$400,0))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ORBTEXP</t>
        </is>
      </c>
      <c r="D80" s="30" t="inlineStr">
        <is>
          <t>Orbit Exports Limited</t>
        </is>
      </c>
      <c r="E80" s="30" t="inlineStr">
        <is>
          <t>textiles</t>
        </is>
      </c>
      <c r="F80" s="30" t="inlineStr">
        <is>
          <t>textiles - processing</t>
        </is>
      </c>
      <c r="G80" s="30" t="inlineStr">
        <is>
          <t>smallcap</t>
        </is>
      </c>
      <c r="H80" s="31" t="n">
        <v>669.99</v>
      </c>
      <c r="I80" s="31" t="n">
        <v>265.35</v>
      </c>
      <c r="J80" s="31" t="n">
        <v>5</v>
      </c>
      <c r="K80" s="31" t="n">
        <v>9312</v>
      </c>
      <c r="L80" s="30" t="n">
        <v>80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69.84</v>
      </c>
      <c r="P80" s="31" t="n">
        <v>41.11</v>
      </c>
      <c r="Q80" s="31" t="inlineStr"/>
      <c r="R80" s="30" t="inlineStr">
        <is>
          <t>Earnings / Momentum Support</t>
        </is>
      </c>
      <c r="S80" s="30" t="inlineStr">
        <is>
          <t>Nifty 50</t>
        </is>
      </c>
      <c r="T80" s="31" t="n">
        <v>0.85</v>
      </c>
      <c r="U80" s="31" t="n">
        <v>33.6</v>
      </c>
      <c r="V80" s="31" t="n">
        <v>32.47</v>
      </c>
      <c r="W80" s="31" t="n">
        <v>18.66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Headwind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3</t>
        </is>
      </c>
      <c r="BC80" s="30">
        <f>IF(BB80="Stage 2",20,IF(BB80="Stage 1",0,IF(BB80="Stage 3",5,IF(BB80="Stage 4",-5,0))))</f>
        <v/>
      </c>
      <c r="BD80" s="30" t="inlineStr">
        <is>
          <t>Negative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Less than 12%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IF(B81=0,"",RANK(B81,$B$2:$B$400,0))</f>
        <v/>
      </c>
      <c r="B81" s="31">
        <f>SUM(N81,Y81,AA81,AC81,AE81,AG81,AI81,AK81,AM81,AO81,AQ81,AS81,AU81,AW81,AY81,BA81,BC81,BE81,BG81,BI81,BK81,BM81,BO81,BQ81,BS81,BU81,BW81,BY81,CA81,CC81,CE81)</f>
        <v/>
      </c>
      <c r="C81" s="32" t="inlineStr">
        <is>
          <t>VISAKAIND</t>
        </is>
      </c>
      <c r="D81" s="32" t="inlineStr">
        <is>
          <t>Visaka Industries Limited</t>
        </is>
      </c>
      <c r="E81" s="30" t="inlineStr">
        <is>
          <t>building materials</t>
        </is>
      </c>
      <c r="F81" s="30" t="inlineStr">
        <is>
          <t>cement products</t>
        </is>
      </c>
      <c r="G81" s="30" t="inlineStr">
        <is>
          <t>smallcap</t>
        </is>
      </c>
      <c r="H81" s="31" t="n">
        <v>852.99</v>
      </c>
      <c r="I81" s="31" t="n">
        <v>103.52</v>
      </c>
      <c r="J81" s="31" t="n">
        <v>4.86</v>
      </c>
      <c r="K81" s="31" t="n">
        <v>4940371</v>
      </c>
      <c r="L81" s="30" t="n">
        <v>40</v>
      </c>
      <c r="M81" s="30" t="inlineStr">
        <is>
          <t>Underperforming</t>
        </is>
      </c>
      <c r="N81" s="31">
        <f>IF(M81="Underperforming",-5,IF(L81&gt;=95,15,IF(L81&gt;=90,10,IF(L81&gt;=80,5,0))))</f>
        <v/>
      </c>
      <c r="O81" s="31" t="n">
        <v>79.34</v>
      </c>
      <c r="P81" s="31" t="n">
        <v>41.31</v>
      </c>
      <c r="Q81" s="31" t="inlineStr"/>
      <c r="R81" s="30" t="inlineStr">
        <is>
          <t>Volume Spike / Accumulation</t>
        </is>
      </c>
      <c r="S81" s="30" t="inlineStr">
        <is>
          <t>Nifty Infra</t>
        </is>
      </c>
      <c r="T81" s="31" t="n">
        <v>1.74</v>
      </c>
      <c r="U81" s="31" t="n">
        <v>-2.47</v>
      </c>
      <c r="V81" s="31" t="n">
        <v>-4.13</v>
      </c>
      <c r="W81" s="31" t="n">
        <v>5.66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Headwind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3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IF(B82=0,"",RANK(B82,$B$2:$B$400,0))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NRBBEARING</t>
        </is>
      </c>
      <c r="D82" s="30" t="inlineStr">
        <is>
          <t>Nrb Bearing Limited</t>
        </is>
      </c>
      <c r="E82" s="30" t="inlineStr">
        <is>
          <t>industrials</t>
        </is>
      </c>
      <c r="F82" s="30" t="inlineStr">
        <is>
          <t>bearings</t>
        </is>
      </c>
      <c r="G82" s="30" t="inlineStr">
        <is>
          <t>smallcap</t>
        </is>
      </c>
      <c r="H82" s="31" t="n">
        <v>4472.98</v>
      </c>
      <c r="I82" s="31" t="n">
        <v>478.25</v>
      </c>
      <c r="J82" s="31" t="n">
        <v>3.63</v>
      </c>
      <c r="K82" s="31" t="n">
        <v>2221157</v>
      </c>
      <c r="L82" s="30" t="n">
        <v>84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74.79000000000001</v>
      </c>
      <c r="P82" s="31" t="n">
        <v>49.29</v>
      </c>
      <c r="Q82" s="31" t="inlineStr"/>
      <c r="R82" s="30" t="inlineStr">
        <is>
          <t>Earnings / Momentum Support</t>
        </is>
      </c>
      <c r="S82" s="30" t="inlineStr">
        <is>
          <t>Nifty 50</t>
        </is>
      </c>
      <c r="T82" s="31" t="n">
        <v>0.85</v>
      </c>
      <c r="U82" s="31" t="n">
        <v>71.51000000000001</v>
      </c>
      <c r="V82" s="31" t="n">
        <v>70.06999999999999</v>
      </c>
      <c r="W82" s="31" t="n">
        <v>21.92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Headwind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3</t>
        </is>
      </c>
      <c r="BC82" s="30">
        <f>IF(BB82="Stage 2",20,IF(BB82="Stage 1",0,IF(BB82="Stage 3",5,IF(BB82="Stage 4",-5,0))))</f>
        <v/>
      </c>
      <c r="BD82" s="30" t="inlineStr">
        <is>
          <t>Negative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Between 12 to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IF(B83=0,"",RANK(B83,$B$2:$B$400,0))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HUHTAMAKI</t>
        </is>
      </c>
      <c r="D83" s="30" t="inlineStr">
        <is>
          <t>Huhtamaki India Ltd</t>
        </is>
      </c>
      <c r="E83" s="30" t="inlineStr">
        <is>
          <t>industrials</t>
        </is>
      </c>
      <c r="F83" s="30" t="inlineStr">
        <is>
          <t>packaging</t>
        </is>
      </c>
      <c r="G83" s="30" t="inlineStr">
        <is>
          <t>smallcap</t>
        </is>
      </c>
      <c r="H83" s="31" t="n">
        <v>2076.48</v>
      </c>
      <c r="I83" s="31" t="n">
        <v>284.7</v>
      </c>
      <c r="J83" s="31" t="n">
        <v>3.55</v>
      </c>
      <c r="K83" s="31" t="n">
        <v>222153</v>
      </c>
      <c r="L83" s="30" t="n">
        <v>51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65.66</v>
      </c>
      <c r="P83" s="31" t="n">
        <v>33.37</v>
      </c>
      <c r="Q83" s="31" t="inlineStr"/>
      <c r="R83" s="30" t="inlineStr">
        <is>
          <t>Earnings / Momentum Support</t>
        </is>
      </c>
      <c r="S83" s="30" t="inlineStr">
        <is>
          <t>Nifty Infra</t>
        </is>
      </c>
      <c r="T83" s="31" t="n">
        <v>1.74</v>
      </c>
      <c r="U83" s="31" t="n">
        <v>5.47</v>
      </c>
      <c r="V83" s="31" t="n">
        <v>3.66</v>
      </c>
      <c r="W83" s="31" t="n">
        <v>8.24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Headwind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No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3</t>
        </is>
      </c>
      <c r="BC83" s="30">
        <f>IF(BB83="Stage 2",20,IF(BB83="Stage 1",0,IF(BB83="Stage 3",5,IF(BB83="Stage 4",-5,0))))</f>
        <v/>
      </c>
      <c r="BD83" s="30" t="inlineStr">
        <is>
          <t>Negative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IF(B84=0,"",RANK(B84,$B$2:$B$400,0))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KRISHANA</t>
        </is>
      </c>
      <c r="D84" s="30" t="inlineStr">
        <is>
          <t>Krishana Phoschem Ltd</t>
        </is>
      </c>
      <c r="E84" s="30" t="inlineStr">
        <is>
          <t>chemicals</t>
        </is>
      </c>
      <c r="F84" s="30" t="inlineStr">
        <is>
          <t>fertilizers</t>
        </is>
      </c>
      <c r="G84" s="30" t="inlineStr">
        <is>
          <t>smallcap</t>
        </is>
      </c>
      <c r="H84" s="31" t="n">
        <v>1104.67</v>
      </c>
      <c r="I84" s="31" t="n">
        <v>183.54</v>
      </c>
      <c r="J84" s="31" t="n">
        <v>2.73</v>
      </c>
      <c r="K84" s="31" t="n">
        <v>504500</v>
      </c>
      <c r="L84" s="30" t="n">
        <v>80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74.86</v>
      </c>
      <c r="P84" s="31" t="n">
        <v>46.91</v>
      </c>
      <c r="Q84" s="31" t="inlineStr"/>
      <c r="R84" s="30" t="inlineStr">
        <is>
          <t>Earnings / Momentum Support</t>
        </is>
      </c>
      <c r="S84" s="30" t="inlineStr">
        <is>
          <t>Nifty 50</t>
        </is>
      </c>
      <c r="T84" s="31" t="n">
        <v>0.85</v>
      </c>
      <c r="U84" s="31" t="n">
        <v>74.06</v>
      </c>
      <c r="V84" s="31" t="n">
        <v>72.59</v>
      </c>
      <c r="W84" s="31" t="n">
        <v>18.62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Headwind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3</t>
        </is>
      </c>
      <c r="BC84" s="30">
        <f>IF(BB84="Stage 2",20,IF(BB84="Stage 1",0,IF(BB84="Stage 3",5,IF(BB84="Stage 4",-5,0))))</f>
        <v/>
      </c>
      <c r="BD84" s="30" t="inlineStr">
        <is>
          <t>Negative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More than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IF(B85=0,"",RANK(B85,$B$2:$B$400,0))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ADOR</t>
        </is>
      </c>
      <c r="D85" s="30" t="inlineStr">
        <is>
          <t>Ador Welding Ltd</t>
        </is>
      </c>
      <c r="E85" s="30" t="inlineStr">
        <is>
          <t>industrials</t>
        </is>
      </c>
      <c r="F85" s="30" t="inlineStr">
        <is>
          <t>electrodes - welding equipment</t>
        </is>
      </c>
      <c r="G85" s="30" t="inlineStr">
        <is>
          <t>smallcap</t>
        </is>
      </c>
      <c r="H85" s="31" t="n">
        <v>2581.53</v>
      </c>
      <c r="I85" s="31" t="n">
        <v>1520</v>
      </c>
      <c r="J85" s="31" t="n">
        <v>2.47</v>
      </c>
      <c r="K85" s="31" t="n">
        <v>64008</v>
      </c>
      <c r="L85" s="30" t="n">
        <v>77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80.02</v>
      </c>
      <c r="P85" s="31" t="n">
        <v>50.52</v>
      </c>
      <c r="Q85" s="31" t="inlineStr"/>
      <c r="R85" s="30" t="inlineStr">
        <is>
          <t>Earnings / Momentum Support</t>
        </is>
      </c>
      <c r="S85" s="30" t="inlineStr">
        <is>
          <t>Nifty 50</t>
        </is>
      </c>
      <c r="T85" s="31" t="n">
        <v>0.85</v>
      </c>
      <c r="U85" s="31" t="n">
        <v>48.93</v>
      </c>
      <c r="V85" s="31" t="n">
        <v>47.67</v>
      </c>
      <c r="W85" s="31" t="n">
        <v>17.24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Headwind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3</t>
        </is>
      </c>
      <c r="BC85" s="30">
        <f>IF(BB85="Stage 2",20,IF(BB85="Stage 1",0,IF(BB85="Stage 3",5,IF(BB85="Stage 4",-5,0))))</f>
        <v/>
      </c>
      <c r="BD85" s="30" t="inlineStr">
        <is>
          <t>Negative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IF(B86=0,"",RANK(B86,$B$2:$B$400,0))</f>
        <v/>
      </c>
      <c r="B86" s="31">
        <f>SUM(N86,Y86,AA86,AC86,AE86,AG86,AI86,AK86,AM86,AO86,AQ86,AS86,AU86,AW86,AY86,BA86,BC86,BE86,BG86,BI86,BK86,BM86,BO86,BQ86,BS86,BU86,BW86,BY86,CA86,CC86,CE86)</f>
        <v/>
      </c>
      <c r="C86" s="32" t="inlineStr">
        <is>
          <t>SREEL</t>
        </is>
      </c>
      <c r="D86" s="32" t="inlineStr">
        <is>
          <t>Sreeleathers Limited</t>
        </is>
      </c>
      <c r="E86" s="30" t="inlineStr">
        <is>
          <t>consumer discretionary</t>
        </is>
      </c>
      <c r="F86" s="30" t="inlineStr">
        <is>
          <t>trading</t>
        </is>
      </c>
      <c r="G86" s="30" t="inlineStr">
        <is>
          <t>smallcap</t>
        </is>
      </c>
      <c r="H86" s="31" t="n">
        <v>501.38</v>
      </c>
      <c r="I86" s="31" t="n">
        <v>221.75</v>
      </c>
      <c r="J86" s="31" t="n">
        <v>2.41</v>
      </c>
      <c r="K86" s="31" t="n">
        <v>11071</v>
      </c>
      <c r="L86" s="30" t="n">
        <v>25</v>
      </c>
      <c r="M86" s="30" t="inlineStr">
        <is>
          <t>Underperforming</t>
        </is>
      </c>
      <c r="N86" s="31">
        <f>IF(M86="Underperforming",-5,IF(L86&gt;=95,15,IF(L86&gt;=90,10,IF(L86&gt;=80,5,0))))</f>
        <v/>
      </c>
      <c r="O86" s="31" t="n">
        <v>56.62</v>
      </c>
      <c r="P86" s="31" t="n">
        <v>38.51</v>
      </c>
      <c r="Q86" s="31" t="inlineStr"/>
      <c r="R86" s="30" t="inlineStr">
        <is>
          <t>Earnings / Momentum Support</t>
        </is>
      </c>
      <c r="S86" s="30" t="inlineStr">
        <is>
          <t>Nifty 50</t>
        </is>
      </c>
      <c r="T86" s="31" t="n">
        <v>0.85</v>
      </c>
      <c r="U86" s="31" t="n">
        <v>-7.27</v>
      </c>
      <c r="V86" s="31" t="n">
        <v>-8.050000000000001</v>
      </c>
      <c r="W86" s="31" t="n">
        <v>2.54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Headwind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3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IF(B87=0,"",RANK(B87,$B$2:$B$400,0))</f>
        <v/>
      </c>
      <c r="B87" s="31">
        <f>SUM(N87,Y87,AA87,AC87,AE87,AG87,AI87,AK87,AM87,AO87,AQ87,AS87,AU87,AW87,AY87,BA87,BC87,BE87,BG87,BI87,BK87,BM87,BO87,BQ87,BS87,BU87,BW87,BY87,CA87,CC87,CE87)</f>
        <v/>
      </c>
      <c r="C87" s="32" t="inlineStr">
        <is>
          <t>DPABHUSHAN</t>
        </is>
      </c>
      <c r="D87" s="32" t="inlineStr">
        <is>
          <t>D.P. Abhushan Ltd</t>
        </is>
      </c>
      <c r="E87" s="30" t="inlineStr">
        <is>
          <t>consumer discretionary</t>
        </is>
      </c>
      <c r="F87" s="30" t="inlineStr">
        <is>
          <t>diamond cutting / jewellery</t>
        </is>
      </c>
      <c r="G87" s="30" t="inlineStr">
        <is>
          <t>smallcap</t>
        </is>
      </c>
      <c r="H87" s="31" t="n">
        <v>3294.98</v>
      </c>
      <c r="I87" s="31" t="n">
        <v>1470.1</v>
      </c>
      <c r="J87" s="31" t="n">
        <v>1.85</v>
      </c>
      <c r="K87" s="31" t="n">
        <v>28158</v>
      </c>
      <c r="L87" s="30" t="n">
        <v>36</v>
      </c>
      <c r="M87" s="30" t="inlineStr">
        <is>
          <t>Underperforming</t>
        </is>
      </c>
      <c r="N87" s="31">
        <f>IF(M87="Underperforming",-5,IF(L87&gt;=95,15,IF(L87&gt;=90,10,IF(L87&gt;=80,5,0))))</f>
        <v/>
      </c>
      <c r="O87" s="31" t="n">
        <v>66.48999999999999</v>
      </c>
      <c r="P87" s="31" t="n">
        <v>33.81</v>
      </c>
      <c r="Q87" s="31" t="inlineStr"/>
      <c r="R87" s="30" t="inlineStr">
        <is>
          <t>Earnings / Momentum Support</t>
        </is>
      </c>
      <c r="S87" s="30" t="inlineStr">
        <is>
          <t>Nifty 50</t>
        </is>
      </c>
      <c r="T87" s="31" t="n">
        <v>0.85</v>
      </c>
      <c r="U87" s="31" t="n">
        <v>-11.11</v>
      </c>
      <c r="V87" s="31" t="n">
        <v>-11.86</v>
      </c>
      <c r="W87" s="31" t="n">
        <v>5.09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Headwind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3</t>
        </is>
      </c>
      <c r="BC87" s="30">
        <f>IF(BB87="Stage 2",20,IF(BB87="Stage 1",0,IF(BB87="Stage 3",5,IF(BB87="Stage 4",-5,0))))</f>
        <v/>
      </c>
      <c r="BD87" s="30" t="inlineStr">
        <is>
          <t>Negative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IF(B88=0,"",RANK(B88,$B$2:$B$400,0))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ACE</t>
        </is>
      </c>
      <c r="D88" s="30" t="inlineStr">
        <is>
          <t>Action Construction Equipment Limited</t>
        </is>
      </c>
      <c r="E88" s="30" t="inlineStr">
        <is>
          <t>industrials</t>
        </is>
      </c>
      <c r="F88" s="30" t="inlineStr">
        <is>
          <t>engineering</t>
        </is>
      </c>
      <c r="G88" s="30" t="inlineStr">
        <is>
          <t>midcap</t>
        </is>
      </c>
      <c r="H88" s="31" t="n">
        <v>13031.27</v>
      </c>
      <c r="I88" s="31" t="n">
        <v>1113.6</v>
      </c>
      <c r="J88" s="31" t="n">
        <v>1.76</v>
      </c>
      <c r="K88" s="31" t="n">
        <v>305830</v>
      </c>
      <c r="L88" s="30" t="n">
        <v>31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68.53</v>
      </c>
      <c r="P88" s="31" t="n">
        <v>22.69</v>
      </c>
      <c r="Q88" s="31" t="inlineStr"/>
      <c r="R88" s="30" t="inlineStr">
        <is>
          <t>Earnings / Momentum Support</t>
        </is>
      </c>
      <c r="S88" s="30" t="inlineStr">
        <is>
          <t>Nifty 50</t>
        </is>
      </c>
      <c r="T88" s="31" t="n">
        <v>0.85</v>
      </c>
      <c r="U88" s="31" t="n">
        <v>1.72</v>
      </c>
      <c r="V88" s="31" t="n">
        <v>0.86</v>
      </c>
      <c r="W88" s="31" t="n">
        <v>3.81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Headwind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3</t>
        </is>
      </c>
      <c r="BC88" s="30">
        <f>IF(BB88="Stage 2",20,IF(BB88="Stage 1",0,IF(BB88="Stage 3",5,IF(BB88="Stage 4",-5,0))))</f>
        <v/>
      </c>
      <c r="BD88" s="30" t="inlineStr">
        <is>
          <t>Negative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IF(B89=0,"",RANK(B89,$B$2:$B$400,0))</f>
        <v/>
      </c>
      <c r="B89" s="31">
        <f>SUM(N89,Y89,AA89,AC89,AE89,AG89,AI89,AK89,AM89,AO89,AQ89,AS89,AU89,AW89,AY89,BA89,BC89,BE89,BG89,BI89,BK89,BM89,BO89,BQ89,BS89,BU89,BW89,BY89,CA89,CC89,CE89)</f>
        <v/>
      </c>
      <c r="C89" s="32" t="inlineStr">
        <is>
          <t>KROSS</t>
        </is>
      </c>
      <c r="D89" s="32" t="inlineStr">
        <is>
          <t>Kross Ltd</t>
        </is>
      </c>
      <c r="E89" s="30" t="inlineStr">
        <is>
          <t>auto</t>
        </is>
      </c>
      <c r="F89" s="30" t="inlineStr">
        <is>
          <t>auto ancillaries</t>
        </is>
      </c>
      <c r="G89" s="30" t="inlineStr">
        <is>
          <t>smallcap</t>
        </is>
      </c>
      <c r="H89" s="31" t="n">
        <v>1307.93</v>
      </c>
      <c r="I89" s="31" t="n">
        <v>206.06</v>
      </c>
      <c r="J89" s="31" t="n">
        <v>1.63</v>
      </c>
      <c r="K89" s="31" t="n">
        <v>308066</v>
      </c>
      <c r="L89" s="30" t="n">
        <v>14</v>
      </c>
      <c r="M89" s="30" t="inlineStr">
        <is>
          <t>Underperforming</t>
        </is>
      </c>
      <c r="N89" s="31">
        <f>IF(M89="Underperforming",-5,IF(L89&gt;=95,15,IF(L89&gt;=90,10,IF(L89&gt;=80,5,0))))</f>
        <v/>
      </c>
      <c r="O89" s="31" t="n">
        <v>54.98</v>
      </c>
      <c r="P89" s="31" t="n">
        <v>24.04</v>
      </c>
      <c r="Q89" s="31" t="inlineStr"/>
      <c r="R89" s="30" t="inlineStr">
        <is>
          <t>Earnings / Momentum Support</t>
        </is>
      </c>
      <c r="S89" s="30" t="inlineStr">
        <is>
          <t>Nifty Auto</t>
        </is>
      </c>
      <c r="T89" s="31" t="n">
        <v>13.41</v>
      </c>
      <c r="U89" s="31" t="n">
        <v>-0.02</v>
      </c>
      <c r="V89" s="31" t="n">
        <v>-11.84</v>
      </c>
      <c r="W89" s="31" t="n">
        <v>-0.08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Headwind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3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IF(B90=0,"",RANK(B90,$B$2:$B$400,0))</f>
        <v/>
      </c>
      <c r="B90" s="31">
        <f>SUM(N90,Y90,AA90,AC90,AE90,AG90,AI90,AK90,AM90,AO90,AQ90,AS90,AU90,AW90,AY90,BA90,BC90,BE90,BG90,BI90,BK90,BM90,BO90,BQ90,BS90,BU90,BW90,BY90,CA90,CC90,CE90)</f>
        <v/>
      </c>
      <c r="C90" s="32" t="inlineStr">
        <is>
          <t>JKPAPER</t>
        </is>
      </c>
      <c r="D90" s="32" t="inlineStr">
        <is>
          <t>Jk Paper Limited</t>
        </is>
      </c>
      <c r="E90" s="30" t="inlineStr">
        <is>
          <t>building materials</t>
        </is>
      </c>
      <c r="F90" s="30" t="inlineStr">
        <is>
          <t>paper</t>
        </is>
      </c>
      <c r="G90" s="30" t="inlineStr">
        <is>
          <t>midcap</t>
        </is>
      </c>
      <c r="H90" s="31" t="n">
        <v>7017.94</v>
      </c>
      <c r="I90" s="31" t="n">
        <v>392.7</v>
      </c>
      <c r="J90" s="31" t="n">
        <v>1.46</v>
      </c>
      <c r="K90" s="31" t="n">
        <v>453034</v>
      </c>
      <c r="L90" s="30" t="n">
        <v>11</v>
      </c>
      <c r="M90" s="30" t="inlineStr">
        <is>
          <t>Underperforming</t>
        </is>
      </c>
      <c r="N90" s="31">
        <f>IF(M90="Underperforming",-5,IF(L90&gt;=95,15,IF(L90&gt;=90,10,IF(L90&gt;=80,5,0))))</f>
        <v/>
      </c>
      <c r="O90" s="31" t="n">
        <v>58.07</v>
      </c>
      <c r="P90" s="31" t="n">
        <v>24.67</v>
      </c>
      <c r="Q90" s="31" t="inlineStr"/>
      <c r="R90" s="30" t="inlineStr">
        <is>
          <t>Earnings / Momentum Support</t>
        </is>
      </c>
      <c r="S90" s="30" t="inlineStr">
        <is>
          <t>Nifty Infra</t>
        </is>
      </c>
      <c r="T90" s="31" t="n">
        <v>1.74</v>
      </c>
      <c r="U90" s="31" t="n">
        <v>-4.04</v>
      </c>
      <c r="V90" s="31" t="n">
        <v>-5.68</v>
      </c>
      <c r="W90" s="31" t="n">
        <v>-0.71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Headwind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3</t>
        </is>
      </c>
      <c r="BC90" s="30">
        <f>IF(BB90="Stage 2",20,IF(BB90="Stage 1",0,IF(BB90="Stage 3",5,IF(BB90="Stage 4",-5,0))))</f>
        <v/>
      </c>
      <c r="BD90" s="30" t="inlineStr">
        <is>
          <t>Negative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IF(B91=0,"",RANK(B91,$B$2:$B$400,0))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HARSHA</t>
        </is>
      </c>
      <c r="D91" s="30" t="inlineStr">
        <is>
          <t>Harsha Engineers International Ltd</t>
        </is>
      </c>
      <c r="E91" s="30" t="inlineStr">
        <is>
          <t>industrials</t>
        </is>
      </c>
      <c r="F91" s="30" t="inlineStr">
        <is>
          <t>engineering</t>
        </is>
      </c>
      <c r="G91" s="30" t="inlineStr">
        <is>
          <t>smallcap</t>
        </is>
      </c>
      <c r="H91" s="31" t="n">
        <v>3882.12</v>
      </c>
      <c r="I91" s="31" t="n">
        <v>432.6</v>
      </c>
      <c r="J91" s="31" t="n">
        <v>1.45</v>
      </c>
      <c r="K91" s="31" t="n">
        <v>424599</v>
      </c>
      <c r="L91" s="30" t="n">
        <v>18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58</v>
      </c>
      <c r="P91" s="31" t="n">
        <v>40.22</v>
      </c>
      <c r="Q91" s="31" t="inlineStr"/>
      <c r="R91" s="30" t="inlineStr">
        <is>
          <t>Earnings / Momentum Support</t>
        </is>
      </c>
      <c r="S91" s="30" t="inlineStr">
        <is>
          <t>Nifty 50</t>
        </is>
      </c>
      <c r="T91" s="31" t="n">
        <v>0.85</v>
      </c>
      <c r="U91" s="31" t="n">
        <v>3.35</v>
      </c>
      <c r="V91" s="31" t="n">
        <v>2.48</v>
      </c>
      <c r="W91" s="31" t="n">
        <v>0.89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Headwind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3</t>
        </is>
      </c>
      <c r="BC91" s="30">
        <f>IF(BB91="Stage 2",20,IF(BB91="Stage 1",0,IF(BB91="Stage 3",5,IF(BB91="Stage 4",-5,0))))</f>
        <v/>
      </c>
      <c r="BD91" s="30" t="inlineStr">
        <is>
          <t>Negative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Less than 50%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IF(B92=0,"",RANK(B92,$B$2:$B$400,0))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HAPPYFORGE</t>
        </is>
      </c>
      <c r="D92" s="30" t="inlineStr">
        <is>
          <t>Happy Forgings Ltd</t>
        </is>
      </c>
      <c r="E92" s="30" t="inlineStr">
        <is>
          <t>industrials</t>
        </is>
      </c>
      <c r="F92" s="30" t="inlineStr">
        <is>
          <t>castings &amp; forgings</t>
        </is>
      </c>
      <c r="G92" s="30" t="inlineStr">
        <is>
          <t>midcap</t>
        </is>
      </c>
      <c r="H92" s="31" t="n">
        <v>17990.47</v>
      </c>
      <c r="I92" s="31" t="n">
        <v>1926</v>
      </c>
      <c r="J92" s="31" t="n">
        <v>1.04</v>
      </c>
      <c r="K92" s="31" t="n">
        <v>116488</v>
      </c>
      <c r="L92" s="30" t="n">
        <v>85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82.37</v>
      </c>
      <c r="P92" s="31" t="n">
        <v>52.75</v>
      </c>
      <c r="Q92" s="31" t="inlineStr"/>
      <c r="R92" s="30" t="inlineStr">
        <is>
          <t>Earnings / Momentum Support</t>
        </is>
      </c>
      <c r="S92" s="30" t="inlineStr">
        <is>
          <t>Nifty 50</t>
        </is>
      </c>
      <c r="T92" s="31" t="n">
        <v>0.85</v>
      </c>
      <c r="U92" s="31" t="n">
        <v>99.70999999999999</v>
      </c>
      <c r="V92" s="31" t="n">
        <v>98.02</v>
      </c>
      <c r="W92" s="31" t="n">
        <v>22.11</v>
      </c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Headwind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3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IF(B93=0,"",RANK(B93,$B$2:$B$400,0))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SETL</t>
        </is>
      </c>
      <c r="D93" s="30" t="inlineStr">
        <is>
          <t>Standard Enginnering Technology Ltd</t>
        </is>
      </c>
      <c r="E93" s="30" t="inlineStr">
        <is>
          <t>industrials</t>
        </is>
      </c>
      <c r="F93" s="30" t="inlineStr">
        <is>
          <t>engineering</t>
        </is>
      </c>
      <c r="G93" s="30" t="inlineStr">
        <is>
          <t>midcap</t>
        </is>
      </c>
      <c r="H93" s="31" t="n">
        <v>5605.72</v>
      </c>
      <c r="I93" s="31" t="n">
        <v>283.75</v>
      </c>
      <c r="J93" s="31" t="n">
        <v>0.98</v>
      </c>
      <c r="K93" s="31" t="n">
        <v>423549</v>
      </c>
      <c r="L93" s="30" t="n">
        <v>96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78.31999999999999</v>
      </c>
      <c r="P93" s="31" t="n">
        <v>47.24</v>
      </c>
      <c r="Q93" s="31" t="inlineStr"/>
      <c r="R93" s="30" t="inlineStr">
        <is>
          <t>Earnings / Momentum Support</t>
        </is>
      </c>
      <c r="S93" s="30" t="inlineStr">
        <is>
          <t>Nifty 50</t>
        </is>
      </c>
      <c r="T93" s="31" t="n">
        <v>0.85</v>
      </c>
      <c r="U93" s="31" t="n">
        <v>71.25</v>
      </c>
      <c r="V93" s="31" t="n">
        <v>69.8</v>
      </c>
      <c r="W93" s="31" t="n">
        <v>38.33</v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Headwind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Above 75</t>
        </is>
      </c>
      <c r="BA93" s="30">
        <f>IF(AZ93="Between 50 to 75",10,IF(AZ93="Above 75",0,0))</f>
        <v/>
      </c>
      <c r="BB93" s="30" t="inlineStr">
        <is>
          <t>Stage 3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IF(B94=0,"",RANK(B94,$B$2:$B$400,0))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ASIANPAINT</t>
        </is>
      </c>
      <c r="D94" s="30" t="inlineStr">
        <is>
          <t>Asian Paints Limited</t>
        </is>
      </c>
      <c r="E94" s="30" t="inlineStr">
        <is>
          <t>building materials</t>
        </is>
      </c>
      <c r="F94" s="30" t="inlineStr">
        <is>
          <t>paints / varnishes</t>
        </is>
      </c>
      <c r="G94" s="30" t="inlineStr">
        <is>
          <t>largecap</t>
        </is>
      </c>
      <c r="H94" s="31" t="n">
        <v>262340.6</v>
      </c>
      <c r="I94" s="31" t="n">
        <v>2750</v>
      </c>
      <c r="J94" s="31" t="n">
        <v>0.55</v>
      </c>
      <c r="K94" s="31" t="n">
        <v>1929383</v>
      </c>
      <c r="L94" s="30" t="n">
        <v>36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59.59</v>
      </c>
      <c r="P94" s="31" t="n">
        <v>23.63</v>
      </c>
      <c r="Q94" s="31" t="inlineStr"/>
      <c r="R94" s="30" t="inlineStr">
        <is>
          <t>Earnings / Momentum Support</t>
        </is>
      </c>
      <c r="S94" s="30" t="inlineStr">
        <is>
          <t>Nifty Infra</t>
        </is>
      </c>
      <c r="T94" s="31" t="n">
        <v>1.74</v>
      </c>
      <c r="U94" s="31" t="n">
        <v>14.03</v>
      </c>
      <c r="V94" s="31" t="n">
        <v>12.08</v>
      </c>
      <c r="W94" s="31" t="n">
        <v>4.98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Headwind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No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3</t>
        </is>
      </c>
      <c r="BC94" s="30">
        <f>IF(BB94="Stage 2",20,IF(BB94="Stage 1",0,IF(BB94="Stage 3",5,IF(BB94="Stage 4",-5,0))))</f>
        <v/>
      </c>
      <c r="BD94" s="30" t="inlineStr">
        <is>
          <t>Negative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IF(B95=0,"",RANK(B95,$B$2:$B$400,0))</f>
        <v/>
      </c>
      <c r="B95" s="31">
        <f>SUM(N95,Y95,AA95,AC95,AE95,AG95,AI95,AK95,AM95,AO95,AQ95,AS95,AU95,AW95,AY95,BA95,BC95,BE95,BG95,BI95,BK95,BM95,BO95,BQ95,BS95,BU95,BW95,BY95,CA95,CC95,CE95)</f>
        <v/>
      </c>
      <c r="C95" s="32" t="inlineStr">
        <is>
          <t>KRYSTAL</t>
        </is>
      </c>
      <c r="D95" s="32" t="inlineStr">
        <is>
          <t>Krystal Integrated Services Ltd</t>
        </is>
      </c>
      <c r="E95" s="30" t="inlineStr">
        <is>
          <t>miscellaneous</t>
        </is>
      </c>
      <c r="F95" s="30" t="inlineStr">
        <is>
          <t>miscellaneous</t>
        </is>
      </c>
      <c r="G95" s="30" t="inlineStr">
        <is>
          <t>smallcap</t>
        </is>
      </c>
      <c r="H95" s="31" t="n">
        <v>838.67</v>
      </c>
      <c r="I95" s="31" t="n">
        <v>602.55</v>
      </c>
      <c r="J95" s="31" t="n">
        <v>0.38</v>
      </c>
      <c r="K95" s="31" t="n">
        <v>63651</v>
      </c>
      <c r="L95" s="30" t="n">
        <v>12</v>
      </c>
      <c r="M95" s="30" t="inlineStr">
        <is>
          <t>Underperforming</t>
        </is>
      </c>
      <c r="N95" s="31">
        <f>IF(M95="Underperforming",-5,IF(L95&gt;=95,15,IF(L95&gt;=90,10,IF(L95&gt;=80,5,0))))</f>
        <v/>
      </c>
      <c r="O95" s="31" t="n">
        <v>53.29</v>
      </c>
      <c r="P95" s="31" t="n">
        <v>23.62</v>
      </c>
      <c r="Q95" s="31" t="inlineStr"/>
      <c r="R95" s="30" t="inlineStr">
        <is>
          <t>Earnings / Momentum Support</t>
        </is>
      </c>
      <c r="S95" s="30" t="inlineStr">
        <is>
          <t>Nifty 50</t>
        </is>
      </c>
      <c r="T95" s="31" t="n">
        <v>0.85</v>
      </c>
      <c r="U95" s="31" t="n">
        <v>-3.76</v>
      </c>
      <c r="V95" s="31" t="n">
        <v>-4.57</v>
      </c>
      <c r="W95" s="31" t="n">
        <v>-0.6899999999999999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Headwind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No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3</t>
        </is>
      </c>
      <c r="BC95" s="30">
        <f>IF(BB95="Stage 2",20,IF(BB95="Stage 1",0,IF(BB95="Stage 3",5,IF(BB95="Stage 4",-5,0))))</f>
        <v/>
      </c>
      <c r="BD95" s="30" t="inlineStr">
        <is>
          <t>Negative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Less than 1.5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IF(B96=0,"",RANK(B96,$B$2:$B$400,0))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HITECHCORP</t>
        </is>
      </c>
      <c r="D96" s="30" t="inlineStr">
        <is>
          <t>Hitech Corporation</t>
        </is>
      </c>
      <c r="E96" s="30" t="inlineStr">
        <is>
          <t>industrials</t>
        </is>
      </c>
      <c r="F96" s="30" t="inlineStr">
        <is>
          <t>packaging</t>
        </is>
      </c>
      <c r="G96" s="30" t="inlineStr">
        <is>
          <t>smallcap</t>
        </is>
      </c>
      <c r="H96" s="31" t="n">
        <v>553.5700000000001</v>
      </c>
      <c r="I96" s="31" t="n">
        <v>323</v>
      </c>
      <c r="J96" s="31" t="n">
        <v>0.22</v>
      </c>
      <c r="K96" s="31" t="n">
        <v>11964</v>
      </c>
      <c r="L96" s="30" t="n">
        <v>97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80.36</v>
      </c>
      <c r="P96" s="31" t="n">
        <v>58.78</v>
      </c>
      <c r="Q96" s="31" t="inlineStr"/>
      <c r="R96" s="30" t="inlineStr">
        <is>
          <t>Earnings / Momentum Support</t>
        </is>
      </c>
      <c r="S96" s="30" t="inlineStr">
        <is>
          <t>Nifty 50</t>
        </is>
      </c>
      <c r="T96" s="31" t="n">
        <v>0.85</v>
      </c>
      <c r="U96" s="31" t="n">
        <v>78.37</v>
      </c>
      <c r="V96" s="31" t="n">
        <v>76.87</v>
      </c>
      <c r="W96" s="31" t="n">
        <v>47.28</v>
      </c>
      <c r="X96" s="30" t="inlineStr">
        <is>
          <t>Cyclical in an Upturn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Headwind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No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3</t>
        </is>
      </c>
      <c r="BC96" s="30">
        <f>IF(BB96="Stage 2",20,IF(BB96="Stage 1",0,IF(BB96="Stage 3",5,IF(BB96="Stage 4",-5,0))))</f>
        <v/>
      </c>
      <c r="BD96" s="30" t="inlineStr">
        <is>
          <t>Negative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Between 50% to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IF(B97=0,"",RANK(B97,$B$2:$B$400,0))</f>
        <v/>
      </c>
      <c r="B97" s="31">
        <f>SUM(N97,Y97,AA97,AC97,AE97,AG97,AI97,AK97,AM97,AO97,AQ97,AS97,AU97,AW97,AY97,BA97,BC97,BE97,BG97,BI97,BK97,BM97,BO97,BQ97,BS97,BU97,BW97,BY97,CA97,CC97,CE97)</f>
        <v/>
      </c>
      <c r="C97" s="32" t="inlineStr">
        <is>
          <t>GANESHBE</t>
        </is>
      </c>
      <c r="D97" s="32" t="inlineStr">
        <is>
          <t>Ganesh Benzoplast Ltd</t>
        </is>
      </c>
      <c r="E97" s="30" t="inlineStr">
        <is>
          <t>miscellaneous</t>
        </is>
      </c>
      <c r="F97" s="30" t="inlineStr">
        <is>
          <t>miscellaneous</t>
        </is>
      </c>
      <c r="G97" s="30" t="inlineStr">
        <is>
          <t>smallcap</t>
        </is>
      </c>
      <c r="H97" s="31" t="n">
        <v>866.8200000000001</v>
      </c>
      <c r="I97" s="31" t="n">
        <v>120.36</v>
      </c>
      <c r="J97" s="31" t="n">
        <v>-0.04</v>
      </c>
      <c r="K97" s="31" t="n">
        <v>69136</v>
      </c>
      <c r="L97" s="30" t="n">
        <v>30</v>
      </c>
      <c r="M97" s="30" t="inlineStr">
        <is>
          <t>Underperforming</t>
        </is>
      </c>
      <c r="N97" s="31">
        <f>IF(M97="Underperforming",-5,IF(L97&gt;=95,15,IF(L97&gt;=90,10,IF(L97&gt;=80,5,0))))</f>
        <v/>
      </c>
      <c r="O97" s="31" t="n">
        <v>68.09</v>
      </c>
      <c r="P97" s="31" t="n">
        <v>29.63</v>
      </c>
      <c r="Q97" s="31" t="inlineStr"/>
      <c r="R97" s="30" t="inlineStr">
        <is>
          <t>Earnings / Momentum Support</t>
        </is>
      </c>
      <c r="S97" s="30" t="inlineStr">
        <is>
          <t>Nifty Energy</t>
        </is>
      </c>
      <c r="T97" s="31" t="n">
        <v>8.41</v>
      </c>
      <c r="U97" s="31" t="n">
        <v>7.59</v>
      </c>
      <c r="V97" s="31" t="n">
        <v>-0.75</v>
      </c>
      <c r="W97" s="31" t="n">
        <v>3.46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Headwind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No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3</t>
        </is>
      </c>
      <c r="BC97" s="30">
        <f>IF(BB97="Stage 2",20,IF(BB97="Stage 1",0,IF(BB97="Stage 3",5,IF(BB97="Stage 4",-5,0))))</f>
        <v/>
      </c>
      <c r="BD97" s="30" t="inlineStr">
        <is>
          <t>Negative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Close to 52 week high or retracement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IF(B98=0,"",RANK(B98,$B$2:$B$400,0))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STLTECH</t>
        </is>
      </c>
      <c r="D98" s="30" t="inlineStr">
        <is>
          <t>Sterlite Technologies Limited</t>
        </is>
      </c>
      <c r="E98" s="30" t="inlineStr">
        <is>
          <t>industrials</t>
        </is>
      </c>
      <c r="F98" s="30" t="inlineStr">
        <is>
          <t>cables - telephone</t>
        </is>
      </c>
      <c r="G98" s="30" t="inlineStr">
        <is>
          <t>largecap</t>
        </is>
      </c>
      <c r="H98" s="31" t="n">
        <v>32832.82</v>
      </c>
      <c r="I98" s="31" t="n">
        <v>637.75</v>
      </c>
      <c r="J98" s="31" t="n">
        <v>-0.18</v>
      </c>
      <c r="K98" s="31" t="n">
        <v>1312264</v>
      </c>
      <c r="L98" s="30" t="n">
        <v>98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73.77</v>
      </c>
      <c r="P98" s="31" t="n">
        <v>80.19</v>
      </c>
      <c r="Q98" s="31" t="inlineStr"/>
      <c r="R98" s="30" t="inlineStr">
        <is>
          <t>Earnings / Momentum Support</t>
        </is>
      </c>
      <c r="S98" s="30" t="inlineStr">
        <is>
          <t>Nifty Infra</t>
        </is>
      </c>
      <c r="T98" s="31" t="n">
        <v>1.74</v>
      </c>
      <c r="U98" s="31" t="n">
        <v>350.72</v>
      </c>
      <c r="V98" s="31" t="n">
        <v>343.01</v>
      </c>
      <c r="W98" s="31" t="n">
        <v>71.36</v>
      </c>
      <c r="X98" s="30" t="inlineStr">
        <is>
          <t>Cyclical in an Upturn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Headwind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No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3</t>
        </is>
      </c>
      <c r="BC98" s="30">
        <f>IF(BB98="Stage 2",20,IF(BB98="Stage 1",0,IF(BB98="Stage 3",5,IF(BB98="Stage 4",-5,0))))</f>
        <v/>
      </c>
      <c r="BD98" s="30" t="inlineStr">
        <is>
          <t>Negative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Close to 52 week high or retracement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Between 0.7 to 1.2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IF(B99=0,"",RANK(B99,$B$2:$B$400,0))</f>
        <v/>
      </c>
      <c r="B99" s="31">
        <f>SUM(N99,Y99,AA99,AC99,AE99,AG99,AI99,AK99,AM99,AO99,AQ99,AS99,AU99,AW99,AY99,BA99,BC99,BE99,BG99,BI99,BK99,BM99,BO99,BQ99,BS99,BU99,BW99,BY99,CA99,CC99,CE99)</f>
        <v/>
      </c>
      <c r="C99" s="32" t="inlineStr">
        <is>
          <t>ROLEXRINGS</t>
        </is>
      </c>
      <c r="D99" s="32" t="inlineStr">
        <is>
          <t>Rolex Rings Ltd</t>
        </is>
      </c>
      <c r="E99" s="30" t="inlineStr">
        <is>
          <t>auto</t>
        </is>
      </c>
      <c r="F99" s="30" t="inlineStr">
        <is>
          <t>auto ancillaries</t>
        </is>
      </c>
      <c r="G99" s="30" t="inlineStr">
        <is>
          <t>smallcap</t>
        </is>
      </c>
      <c r="H99" s="31" t="n">
        <v>4266.92</v>
      </c>
      <c r="I99" s="31" t="n">
        <v>155.26</v>
      </c>
      <c r="J99" s="31" t="n">
        <v>-0.91</v>
      </c>
      <c r="K99" s="31" t="n">
        <v>2002562</v>
      </c>
      <c r="L99" s="30" t="n">
        <v>36</v>
      </c>
      <c r="M99" s="30" t="inlineStr">
        <is>
          <t>Underperforming</t>
        </is>
      </c>
      <c r="N99" s="31">
        <f>IF(M99="Underperforming",-5,IF(L99&gt;=95,15,IF(L99&gt;=90,10,IF(L99&gt;=80,5,0))))</f>
        <v/>
      </c>
      <c r="O99" s="31" t="n">
        <v>58.62</v>
      </c>
      <c r="P99" s="31" t="n">
        <v>34.74</v>
      </c>
      <c r="Q99" s="31" t="inlineStr"/>
      <c r="R99" s="30" t="inlineStr">
        <is>
          <t>Earnings / Momentum Support</t>
        </is>
      </c>
      <c r="S99" s="30" t="inlineStr">
        <is>
          <t>Nifty Auto</t>
        </is>
      </c>
      <c r="T99" s="31" t="n">
        <v>13.41</v>
      </c>
      <c r="U99" s="31" t="n">
        <v>5.86</v>
      </c>
      <c r="V99" s="31" t="n">
        <v>-6.66</v>
      </c>
      <c r="W99" s="31" t="n">
        <v>5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Headwind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No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3</t>
        </is>
      </c>
      <c r="BC99" s="30">
        <f>IF(BB99="Stage 2",20,IF(BB99="Stage 1",0,IF(BB99="Stage 3",5,IF(BB99="Stage 4",-5,0))))</f>
        <v/>
      </c>
      <c r="BD99" s="30" t="inlineStr">
        <is>
          <t>Negative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IF(B100=0,"",RANK(B100,$B$2:$B$400,0))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ARVIND</t>
        </is>
      </c>
      <c r="D100" s="30" t="inlineStr">
        <is>
          <t>Arvind Limited</t>
        </is>
      </c>
      <c r="E100" s="30" t="inlineStr">
        <is>
          <t>textiles</t>
        </is>
      </c>
      <c r="F100" s="30" t="inlineStr">
        <is>
          <t>textiles - cotton/blended</t>
        </is>
      </c>
      <c r="G100" s="30" t="inlineStr">
        <is>
          <t>midcap</t>
        </is>
      </c>
      <c r="H100" s="31" t="n">
        <v>14694.24</v>
      </c>
      <c r="I100" s="31" t="n">
        <v>550.65</v>
      </c>
      <c r="J100" s="31" t="n">
        <v>-1.77</v>
      </c>
      <c r="K100" s="31" t="n">
        <v>672363</v>
      </c>
      <c r="L100" s="30" t="n">
        <v>81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70.58</v>
      </c>
      <c r="P100" s="31" t="n">
        <v>61.37</v>
      </c>
      <c r="Q100" s="31" t="inlineStr"/>
      <c r="R100" s="30" t="inlineStr">
        <is>
          <t>Earnings / Momentum Support</t>
        </is>
      </c>
      <c r="S100" s="30" t="inlineStr">
        <is>
          <t>Nifty 50</t>
        </is>
      </c>
      <c r="T100" s="31" t="n">
        <v>0.85</v>
      </c>
      <c r="U100" s="31" t="n">
        <v>87.59999999999999</v>
      </c>
      <c r="V100" s="31" t="n">
        <v>86.02</v>
      </c>
      <c r="W100" s="31" t="n">
        <v>19.58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Headwind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No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3</t>
        </is>
      </c>
      <c r="BC100" s="30">
        <f>IF(BB100="Stage 2",20,IF(BB100="Stage 1",0,IF(BB100="Stage 3",5,IF(BB100="Stage 4",-5,0))))</f>
        <v/>
      </c>
      <c r="BD100" s="30" t="inlineStr">
        <is>
          <t>Negative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Less than 12%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IF(B101=0,"",RANK(B101,$B$2:$B$400,0))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AVALON</t>
        </is>
      </c>
      <c r="D101" s="30" t="inlineStr">
        <is>
          <t>Avalon Technologies Ltd</t>
        </is>
      </c>
      <c r="E101" s="30" t="inlineStr">
        <is>
          <t>consumer discretionary</t>
        </is>
      </c>
      <c r="F101" s="30" t="inlineStr">
        <is>
          <t>electronics - components</t>
        </is>
      </c>
      <c r="G101" s="30" t="inlineStr">
        <is>
          <t>midcap</t>
        </is>
      </c>
      <c r="H101" s="31" t="n">
        <v>13130.51</v>
      </c>
      <c r="I101" s="31" t="n">
        <v>1923.7</v>
      </c>
      <c r="J101" s="31" t="n">
        <v>-2.12</v>
      </c>
      <c r="K101" s="31" t="n">
        <v>622471</v>
      </c>
      <c r="L101" s="30" t="n">
        <v>90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79.86</v>
      </c>
      <c r="P101" s="31" t="n">
        <v>58.37</v>
      </c>
      <c r="Q101" s="31" t="inlineStr"/>
      <c r="R101" s="30" t="inlineStr">
        <is>
          <t>Earnings / Momentum Support</t>
        </is>
      </c>
      <c r="S101" s="30" t="inlineStr">
        <is>
          <t>Nifty 50</t>
        </is>
      </c>
      <c r="T101" s="31" t="n">
        <v>0.85</v>
      </c>
      <c r="U101" s="31" t="n">
        <v>119.41</v>
      </c>
      <c r="V101" s="31" t="n">
        <v>117.56</v>
      </c>
      <c r="W101" s="31" t="n">
        <v>26.65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Headwind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No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Above 75</t>
        </is>
      </c>
      <c r="BA101" s="30">
        <f>IF(AZ101="Between 50 to 75",10,IF(AZ101="Above 75",0,0))</f>
        <v/>
      </c>
      <c r="BB101" s="30" t="inlineStr">
        <is>
          <t>Stage 3</t>
        </is>
      </c>
      <c r="BC101" s="30">
        <f>IF(BB101="Stage 2",20,IF(BB101="Stage 1",0,IF(BB101="Stage 3",5,IF(BB101="Stage 4",-5,0))))</f>
        <v/>
      </c>
      <c r="BD101" s="30" t="inlineStr">
        <is>
          <t>Negative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IF(B102=0,"",RANK(B102,$B$2:$B$400,0))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ENRIN</t>
        </is>
      </c>
      <c r="D102" s="30" t="inlineStr">
        <is>
          <t>Siemens Energy India Ltd</t>
        </is>
      </c>
      <c r="E102" s="30" t="inlineStr">
        <is>
          <t>power &amp; utilities</t>
        </is>
      </c>
      <c r="F102" s="30" t="inlineStr">
        <is>
          <t>power generation and supply</t>
        </is>
      </c>
      <c r="G102" s="30" t="inlineStr">
        <is>
          <t>largecap</t>
        </is>
      </c>
      <c r="H102" s="31" t="n">
        <v>129941.25</v>
      </c>
      <c r="I102" s="31" t="n">
        <v>3567.3</v>
      </c>
      <c r="J102" s="31" t="n">
        <v>-2.23</v>
      </c>
      <c r="K102" s="31" t="n">
        <v>1146677</v>
      </c>
      <c r="L102" s="30" t="n">
        <v>46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59.01</v>
      </c>
      <c r="P102" s="31" t="n">
        <v>23.54</v>
      </c>
      <c r="Q102" s="31" t="inlineStr"/>
      <c r="R102" s="30" t="inlineStr">
        <is>
          <t>Earnings / Momentum Support</t>
        </is>
      </c>
      <c r="S102" s="30" t="inlineStr">
        <is>
          <t>Nifty IT</t>
        </is>
      </c>
      <c r="T102" s="31" t="n">
        <v>-8.289999999999999</v>
      </c>
      <c r="U102" s="31" t="n">
        <v>18.51</v>
      </c>
      <c r="V102" s="31" t="n">
        <v>29.22</v>
      </c>
      <c r="W102" s="31" t="n">
        <v>7.02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Headwind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No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3</t>
        </is>
      </c>
      <c r="BC102" s="30">
        <f>IF(BB102="Stage 2",20,IF(BB102="Stage 1",0,IF(BB102="Stage 3",5,IF(BB102="Stage 4",-5,0))))</f>
        <v/>
      </c>
      <c r="BD102" s="30" t="inlineStr">
        <is>
          <t>Negative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Less than 1.5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IF(B103=0,"",RANK(B103,$B$2:$B$400,0))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BHARATSE</t>
        </is>
      </c>
      <c r="D103" s="30" t="inlineStr">
        <is>
          <t>Bharat Seats Ltd</t>
        </is>
      </c>
      <c r="E103" s="30" t="inlineStr">
        <is>
          <t>auto</t>
        </is>
      </c>
      <c r="F103" s="30" t="inlineStr">
        <is>
          <t>auto ancillaries</t>
        </is>
      </c>
      <c r="G103" s="30" t="inlineStr">
        <is>
          <t>smallcap</t>
        </is>
      </c>
      <c r="H103" s="31" t="n">
        <v>1512.79</v>
      </c>
      <c r="I103" s="31" t="n">
        <v>235.5</v>
      </c>
      <c r="J103" s="31" t="n">
        <v>-2.24</v>
      </c>
      <c r="K103" s="31" t="n">
        <v>296898</v>
      </c>
      <c r="L103" s="30" t="n">
        <v>91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64.97</v>
      </c>
      <c r="P103" s="31" t="n">
        <v>33.41</v>
      </c>
      <c r="Q103" s="31" t="inlineStr"/>
      <c r="R103" s="30" t="inlineStr">
        <is>
          <t>Earnings / Momentum Support</t>
        </is>
      </c>
      <c r="S103" s="30" t="inlineStr">
        <is>
          <t>Nifty Auto</t>
        </is>
      </c>
      <c r="T103" s="31" t="n">
        <v>13.41</v>
      </c>
      <c r="U103" s="31" t="n">
        <v>108.97</v>
      </c>
      <c r="V103" s="31" t="n">
        <v>84.25</v>
      </c>
      <c r="W103" s="31" t="n">
        <v>27.1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Headwind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No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3</t>
        </is>
      </c>
      <c r="BC103" s="30">
        <f>IF(BB103="Stage 2",20,IF(BB103="Stage 1",0,IF(BB103="Stage 3",5,IF(BB103="Stage 4",-5,0))))</f>
        <v/>
      </c>
      <c r="BD103" s="30" t="inlineStr">
        <is>
          <t>Negative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Between 12 to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IF(B104=0,"",RANK(B104,$B$2:$B$400,0))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SJS</t>
        </is>
      </c>
      <c r="D104" s="30" t="inlineStr">
        <is>
          <t>S J S Enterprises Ltd</t>
        </is>
      </c>
      <c r="E104" s="30" t="inlineStr">
        <is>
          <t>auto</t>
        </is>
      </c>
      <c r="F104" s="30" t="inlineStr">
        <is>
          <t>plastics products</t>
        </is>
      </c>
      <c r="G104" s="30" t="inlineStr">
        <is>
          <t>midcap</t>
        </is>
      </c>
      <c r="H104" s="31" t="n">
        <v>7828.78</v>
      </c>
      <c r="I104" s="31" t="n">
        <v>2372</v>
      </c>
      <c r="J104" s="31" t="n">
        <v>-3.03</v>
      </c>
      <c r="K104" s="31" t="n">
        <v>227203</v>
      </c>
      <c r="L104" s="30" t="n">
        <v>79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71.7</v>
      </c>
      <c r="P104" s="31" t="n">
        <v>43.73</v>
      </c>
      <c r="Q104" s="31" t="inlineStr"/>
      <c r="R104" s="30" t="inlineStr">
        <is>
          <t>Earnings / Momentum Support</t>
        </is>
      </c>
      <c r="S104" s="30" t="inlineStr">
        <is>
          <t>Nifty Auto</t>
        </is>
      </c>
      <c r="T104" s="31" t="n">
        <v>13.41</v>
      </c>
      <c r="U104" s="31" t="n">
        <v>76.45</v>
      </c>
      <c r="V104" s="31" t="n">
        <v>55.58</v>
      </c>
      <c r="W104" s="31" t="n">
        <v>18.09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Headwind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No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3</t>
        </is>
      </c>
      <c r="BC104" s="30">
        <f>IF(BB104="Stage 2",20,IF(BB104="Stage 1",0,IF(BB104="Stage 3",5,IF(BB104="Stage 4",-5,0))))</f>
        <v/>
      </c>
      <c r="BD104" s="30" t="inlineStr">
        <is>
          <t>Negative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IF(B105=0,"",RANK(B105,$B$2:$B$400,0))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JINDWORLD</t>
        </is>
      </c>
      <c r="D105" s="30" t="inlineStr">
        <is>
          <t>Jindal Worldwide Limited</t>
        </is>
      </c>
      <c r="E105" s="30" t="inlineStr">
        <is>
          <t>textiles</t>
        </is>
      </c>
      <c r="F105" s="30" t="inlineStr">
        <is>
          <t>textiles - products</t>
        </is>
      </c>
      <c r="G105" s="30" t="inlineStr">
        <is>
          <t>smallcap</t>
        </is>
      </c>
      <c r="H105" s="31" t="n">
        <v>3903.13</v>
      </c>
      <c r="I105" s="31" t="n">
        <v>37.26</v>
      </c>
      <c r="J105" s="31" t="n">
        <v>-4.29</v>
      </c>
      <c r="K105" s="31" t="n">
        <v>4485780</v>
      </c>
      <c r="L105" s="30" t="n">
        <v>66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68.48</v>
      </c>
      <c r="P105" s="31" t="n">
        <v>34.62</v>
      </c>
      <c r="Q105" s="31" t="inlineStr"/>
      <c r="R105" s="30" t="inlineStr">
        <is>
          <t>Earnings / Momentum Support</t>
        </is>
      </c>
      <c r="S105" s="30" t="inlineStr">
        <is>
          <t>Nifty 50</t>
        </is>
      </c>
      <c r="T105" s="31" t="n">
        <v>0.85</v>
      </c>
      <c r="U105" s="31" t="n">
        <v>9.66</v>
      </c>
      <c r="V105" s="31" t="n">
        <v>8.74</v>
      </c>
      <c r="W105" s="31" t="n">
        <v>12.89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Headwind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No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3</t>
        </is>
      </c>
      <c r="BC105" s="30">
        <f>IF(BB105="Stage 2",20,IF(BB105="Stage 1",0,IF(BB105="Stage 3",5,IF(BB105="Stage 4",-5,0))))</f>
        <v/>
      </c>
      <c r="BD105" s="30" t="inlineStr">
        <is>
          <t>Negative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Close to 52 week high or retracement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IF(B106=0,"",RANK(B106,$B$2:$B$400,0))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ORCHPHARMA</t>
        </is>
      </c>
      <c r="D106" s="30" t="inlineStr">
        <is>
          <t>Orchid Pharma Ltd</t>
        </is>
      </c>
      <c r="E106" s="30" t="inlineStr">
        <is>
          <t>healthcare</t>
        </is>
      </c>
      <c r="F106" s="30" t="inlineStr">
        <is>
          <t>pharmaceuticals - indian - bulk drugs &amp; formln</t>
        </is>
      </c>
      <c r="G106" s="30" t="inlineStr">
        <is>
          <t>midcap</t>
        </is>
      </c>
      <c r="H106" s="31" t="n">
        <v>5081.29</v>
      </c>
      <c r="I106" s="31" t="n">
        <v>1079.15</v>
      </c>
      <c r="J106" s="31" t="n">
        <v>7.72</v>
      </c>
      <c r="K106" s="31" t="n">
        <v>222143</v>
      </c>
      <c r="L106" s="30" t="n">
        <v>75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69.27</v>
      </c>
      <c r="P106" s="31" t="n">
        <v>47.8</v>
      </c>
      <c r="Q106" s="31" t="inlineStr"/>
      <c r="R106" s="30" t="inlineStr">
        <is>
          <t>Earnings / Momentum Support</t>
        </is>
      </c>
      <c r="S106" s="30" t="inlineStr">
        <is>
          <t>Nifty Pharma</t>
        </is>
      </c>
      <c r="T106" s="31" t="n">
        <v>24.01</v>
      </c>
      <c r="U106" s="31" t="n">
        <v>32.71</v>
      </c>
      <c r="V106" s="31" t="n">
        <v>7.01</v>
      </c>
      <c r="W106" s="31" t="n">
        <v>16.11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Yes</t>
        </is>
      </c>
      <c r="AC106" s="30">
        <f>IF(AB106="No",5,0)</f>
        <v/>
      </c>
      <c r="AD106" s="30" t="inlineStr">
        <is>
          <t>Headwind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No</t>
        </is>
      </c>
      <c r="AQ106" s="30">
        <f>IF(AP106="Yes",10,0)</f>
        <v/>
      </c>
      <c r="AR106" s="30" t="inlineStr">
        <is>
          <t>Higher Annuity, Lower One Time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3</t>
        </is>
      </c>
      <c r="BC106" s="30">
        <f>IF(BB106="Stage 2",20,IF(BB106="Stage 1",0,IF(BB106="Stage 3",5,IF(BB106="Stage 4",-5,0))))</f>
        <v/>
      </c>
      <c r="BD106" s="30" t="inlineStr">
        <is>
          <t>Negative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Close to 52 week high or retracement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Yes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IF(B107=0,"",RANK(B107,$B$2:$B$400,0))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VIJAYA</t>
        </is>
      </c>
      <c r="D107" s="30" t="inlineStr">
        <is>
          <t>Vijaya Diagnostic Centre Ltd</t>
        </is>
      </c>
      <c r="E107" s="30" t="inlineStr">
        <is>
          <t>healthcare</t>
        </is>
      </c>
      <c r="F107" s="30" t="inlineStr">
        <is>
          <t>healthcare</t>
        </is>
      </c>
      <c r="G107" s="30" t="inlineStr">
        <is>
          <t>midcap</t>
        </is>
      </c>
      <c r="H107" s="31" t="n">
        <v>13902.38</v>
      </c>
      <c r="I107" s="31" t="n">
        <v>1395.6</v>
      </c>
      <c r="J107" s="31" t="n">
        <v>3.29</v>
      </c>
      <c r="K107" s="31" t="n">
        <v>539551</v>
      </c>
      <c r="L107" s="30" t="n">
        <v>46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62.19</v>
      </c>
      <c r="P107" s="31" t="n">
        <v>55.59</v>
      </c>
      <c r="Q107" s="31" t="inlineStr"/>
      <c r="R107" s="30" t="inlineStr">
        <is>
          <t>Earnings / Momentum Support</t>
        </is>
      </c>
      <c r="S107" s="30" t="inlineStr">
        <is>
          <t>Nifty Pharma</t>
        </is>
      </c>
      <c r="T107" s="31" t="n">
        <v>24.01</v>
      </c>
      <c r="U107" s="31" t="n">
        <v>28.4</v>
      </c>
      <c r="V107" s="31" t="n">
        <v>3.53</v>
      </c>
      <c r="W107" s="31" t="n">
        <v>7.07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Yes</t>
        </is>
      </c>
      <c r="AC107" s="30">
        <f>IF(AB107="No",5,0)</f>
        <v/>
      </c>
      <c r="AD107" s="30" t="inlineStr">
        <is>
          <t>Headwind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No</t>
        </is>
      </c>
      <c r="AQ107" s="30">
        <f>IF(AP107="Yes",10,0)</f>
        <v/>
      </c>
      <c r="AR107" s="30" t="inlineStr">
        <is>
          <t>Higher Annuity, Lower One Time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3</t>
        </is>
      </c>
      <c r="BC107" s="30">
        <f>IF(BB107="Stage 2",20,IF(BB107="Stage 1",0,IF(BB107="Stage 3",5,IF(BB107="Stage 4",-5,0))))</f>
        <v/>
      </c>
      <c r="BD107" s="30" t="inlineStr">
        <is>
          <t>Negative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IF(B108=0,"",RANK(B108,$B$2:$B$400,0))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VADILALIND</t>
        </is>
      </c>
      <c r="D108" s="30" t="inlineStr">
        <is>
          <t>Vadilal Industries Limited</t>
        </is>
      </c>
      <c r="E108" s="30" t="inlineStr">
        <is>
          <t>fmcg</t>
        </is>
      </c>
      <c r="F108" s="30" t="inlineStr">
        <is>
          <t>food - processing - indian</t>
        </is>
      </c>
      <c r="G108" s="30" t="inlineStr">
        <is>
          <t>midcap</t>
        </is>
      </c>
      <c r="H108" s="31" t="n">
        <v>5180.63</v>
      </c>
      <c r="I108" s="31" t="n">
        <v>7380</v>
      </c>
      <c r="J108" s="31" t="n">
        <v>2.39</v>
      </c>
      <c r="K108" s="31" t="n">
        <v>35311</v>
      </c>
      <c r="L108" s="30" t="n">
        <v>74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76.5</v>
      </c>
      <c r="P108" s="31" t="n">
        <v>40.68</v>
      </c>
      <c r="Q108" s="31" t="inlineStr"/>
      <c r="R108" s="30" t="inlineStr">
        <is>
          <t>Earnings / Momentum Support</t>
        </is>
      </c>
      <c r="S108" s="30" t="inlineStr">
        <is>
          <t>Nifty FMCG</t>
        </is>
      </c>
      <c r="T108" s="31" t="n">
        <v>-13.73</v>
      </c>
      <c r="U108" s="31" t="n">
        <v>26.81</v>
      </c>
      <c r="V108" s="31" t="n">
        <v>46.99</v>
      </c>
      <c r="W108" s="31" t="n">
        <v>15.98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Headwind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B2C</t>
        </is>
      </c>
      <c r="AO108" s="30">
        <f>IF(AN108="B2C",10,IF(AN108="B2B",5,0))</f>
        <v/>
      </c>
      <c r="AP108" s="30" t="inlineStr">
        <is>
          <t>No</t>
        </is>
      </c>
      <c r="AQ108" s="30">
        <f>IF(AP108="Yes",10,0)</f>
        <v/>
      </c>
      <c r="AR108" s="30" t="inlineStr">
        <is>
          <t>Higher Annuity, Lower One Time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Above 40</t>
        </is>
      </c>
      <c r="AY108" s="30">
        <f>IF(AX108="Above 40",20,IF(AX108="20 to 40",10,IF(AX108="0 to 20",-5,0)))</f>
        <v/>
      </c>
      <c r="AZ108" s="30" t="inlineStr">
        <is>
          <t>Above 75</t>
        </is>
      </c>
      <c r="BA108" s="30">
        <f>IF(AZ108="Between 50 to 75",10,IF(AZ108="Above 75",0,0))</f>
        <v/>
      </c>
      <c r="BB108" s="30" t="inlineStr">
        <is>
          <t>Stage 3</t>
        </is>
      </c>
      <c r="BC108" s="30">
        <f>IF(BB108="Stage 2",20,IF(BB108="Stage 1",0,IF(BB108="Stage 3",5,IF(BB108="Stage 4",-5,0))))</f>
        <v/>
      </c>
      <c r="BD108" s="30" t="inlineStr">
        <is>
          <t>Negative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Between 50% to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IF(B109=0,"",RANK(B109,$B$2:$B$400,0))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NGLFINE</t>
        </is>
      </c>
      <c r="D109" s="30" t="inlineStr">
        <is>
          <t>NGL Fine Chem Ltd</t>
        </is>
      </c>
      <c r="E109" s="30" t="inlineStr">
        <is>
          <t>healthcare</t>
        </is>
      </c>
      <c r="F109" s="30" t="inlineStr">
        <is>
          <t>pharmaceuticals - indian - bulk drugs</t>
        </is>
      </c>
      <c r="G109" s="30" t="inlineStr">
        <is>
          <t>smallcap</t>
        </is>
      </c>
      <c r="H109" s="31" t="n">
        <v>2102.75</v>
      </c>
      <c r="I109" s="31" t="n">
        <v>3457.8</v>
      </c>
      <c r="J109" s="31" t="n">
        <v>1.59</v>
      </c>
      <c r="K109" s="31" t="n">
        <v>7370</v>
      </c>
      <c r="L109" s="30" t="n">
        <v>96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79.81</v>
      </c>
      <c r="P109" s="31" t="n">
        <v>68.03</v>
      </c>
      <c r="Q109" s="31" t="inlineStr"/>
      <c r="R109" s="30" t="inlineStr">
        <is>
          <t>Earnings / Momentum Support</t>
        </is>
      </c>
      <c r="S109" s="30" t="inlineStr">
        <is>
          <t>Nifty Pharma</t>
        </is>
      </c>
      <c r="T109" s="31" t="n">
        <v>24.01</v>
      </c>
      <c r="U109" s="31" t="n">
        <v>182.96</v>
      </c>
      <c r="V109" s="31" t="n">
        <v>128.16</v>
      </c>
      <c r="W109" s="31" t="n">
        <v>33.73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Yes</t>
        </is>
      </c>
      <c r="AC109" s="30">
        <f>IF(AB109="No",5,0)</f>
        <v/>
      </c>
      <c r="AD109" s="30" t="inlineStr">
        <is>
          <t>Headwind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No</t>
        </is>
      </c>
      <c r="AQ109" s="30">
        <f>IF(AP109="Yes",10,0)</f>
        <v/>
      </c>
      <c r="AR109" s="30" t="inlineStr">
        <is>
          <t>Higher Annuity, Lower One Time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Above 40</t>
        </is>
      </c>
      <c r="AY109" s="30">
        <f>IF(AX109="Above 40",20,IF(AX109="20 to 40",10,IF(AX109="0 to 20",-5,0)))</f>
        <v/>
      </c>
      <c r="AZ109" s="30" t="inlineStr">
        <is>
          <t>Above 75</t>
        </is>
      </c>
      <c r="BA109" s="30">
        <f>IF(AZ109="Between 50 to 75",10,IF(AZ109="Above 75",0,0))</f>
        <v/>
      </c>
      <c r="BB109" s="30" t="inlineStr">
        <is>
          <t>Stage 3</t>
        </is>
      </c>
      <c r="BC109" s="30">
        <f>IF(BB109="Stage 2",20,IF(BB109="Stage 1",0,IF(BB109="Stage 3",5,IF(BB109="Stage 4",-5,0))))</f>
        <v/>
      </c>
      <c r="BD109" s="30" t="inlineStr">
        <is>
          <t>Negative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Between 50% to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IF(B110=0,"",RANK(B110,$B$2:$B$400,0))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LAURUSLABS</t>
        </is>
      </c>
      <c r="D110" s="30" t="inlineStr">
        <is>
          <t>Laurus Labs Limited</t>
        </is>
      </c>
      <c r="E110" s="30" t="inlineStr">
        <is>
          <t>healthcare</t>
        </is>
      </c>
      <c r="F110" s="30" t="inlineStr">
        <is>
          <t>pharmaceuticals - indian - bulk drugs &amp; formln</t>
        </is>
      </c>
      <c r="G110" s="30" t="inlineStr">
        <is>
          <t>largecap</t>
        </is>
      </c>
      <c r="H110" s="31" t="n">
        <v>99638.23</v>
      </c>
      <c r="I110" s="31" t="n">
        <v>1854</v>
      </c>
      <c r="J110" s="31" t="n">
        <v>0.53</v>
      </c>
      <c r="K110" s="31" t="n">
        <v>2754151</v>
      </c>
      <c r="L110" s="30" t="n">
        <v>92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86.31999999999999</v>
      </c>
      <c r="P110" s="31" t="n">
        <v>64.86</v>
      </c>
      <c r="Q110" s="31" t="inlineStr"/>
      <c r="R110" s="30" t="inlineStr">
        <is>
          <t>Earnings / Momentum Support</t>
        </is>
      </c>
      <c r="S110" s="30" t="inlineStr">
        <is>
          <t>Nifty Pharma</t>
        </is>
      </c>
      <c r="T110" s="31" t="n">
        <v>24.01</v>
      </c>
      <c r="U110" s="31" t="n">
        <v>124.82</v>
      </c>
      <c r="V110" s="31" t="n">
        <v>81.28</v>
      </c>
      <c r="W110" s="31" t="n">
        <v>29.21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Yes</t>
        </is>
      </c>
      <c r="AC110" s="30">
        <f>IF(AB110="No",5,0)</f>
        <v/>
      </c>
      <c r="AD110" s="30" t="inlineStr">
        <is>
          <t>Headwind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No</t>
        </is>
      </c>
      <c r="AQ110" s="30">
        <f>IF(AP110="Yes",10,0)</f>
        <v/>
      </c>
      <c r="AR110" s="30" t="inlineStr">
        <is>
          <t>Higher Annuity, Lower One Time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Above 75</t>
        </is>
      </c>
      <c r="BA110" s="30">
        <f>IF(AZ110="Between 50 to 75",10,IF(AZ110="Above 75",0,0))</f>
        <v/>
      </c>
      <c r="BB110" s="30" t="inlineStr">
        <is>
          <t>Stage 3</t>
        </is>
      </c>
      <c r="BC110" s="30">
        <f>IF(BB110="Stage 2",20,IF(BB110="Stage 1",0,IF(BB110="Stage 3",5,IF(BB110="Stage 4",-5,0))))</f>
        <v/>
      </c>
      <c r="BD110" s="30" t="inlineStr">
        <is>
          <t>Negative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IF(B111=0,"",RANK(B111,$B$2:$B$400,0))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JGCHEM</t>
        </is>
      </c>
      <c r="D111" s="30" t="inlineStr">
        <is>
          <t>J.G.Chemicals Ltd</t>
        </is>
      </c>
      <c r="E111" s="30" t="inlineStr">
        <is>
          <t>chemicals</t>
        </is>
      </c>
      <c r="F111" s="30" t="inlineStr">
        <is>
          <t>chemicals</t>
        </is>
      </c>
      <c r="G111" s="30" t="inlineStr">
        <is>
          <t>smallcap</t>
        </is>
      </c>
      <c r="H111" s="31" t="n">
        <v>2166.21</v>
      </c>
      <c r="I111" s="31" t="n">
        <v>622.2</v>
      </c>
      <c r="J111" s="31" t="n">
        <v>12.55</v>
      </c>
      <c r="K111" s="31" t="n">
        <v>10811484</v>
      </c>
      <c r="L111" s="30" t="n">
        <v>62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73.27</v>
      </c>
      <c r="P111" s="31" t="n">
        <v>30.33</v>
      </c>
      <c r="Q111" s="31" t="inlineStr"/>
      <c r="R111" s="30" t="inlineStr">
        <is>
          <t>Volume Spike / Accumulation</t>
        </is>
      </c>
      <c r="S111" s="30" t="inlineStr">
        <is>
          <t>Nifty 50</t>
        </is>
      </c>
      <c r="T111" s="31" t="n">
        <v>0.85</v>
      </c>
      <c r="U111" s="31" t="n">
        <v>15.33</v>
      </c>
      <c r="V111" s="31" t="n">
        <v>14.36</v>
      </c>
      <c r="W111" s="31" t="n">
        <v>11.43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Headwind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3</t>
        </is>
      </c>
      <c r="BC111" s="30">
        <f>IF(BB111="Stage 2",20,IF(BB111="Stage 1",0,IF(BB111="Stage 3",5,IF(BB111="Stage 4",-5,0))))</f>
        <v/>
      </c>
      <c r="BD111" s="30" t="inlineStr">
        <is>
          <t>Negative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Between 12 to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Between 50% to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IF(B112=0,"",RANK(B112,$B$2:$B$400,0))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SHAILY</t>
        </is>
      </c>
      <c r="D112" s="30" t="inlineStr">
        <is>
          <t>Shaily Engineering Plastics Ltd</t>
        </is>
      </c>
      <c r="E112" s="30" t="inlineStr">
        <is>
          <t>plastic products</t>
        </is>
      </c>
      <c r="F112" s="30" t="inlineStr">
        <is>
          <t>plastics products</t>
        </is>
      </c>
      <c r="G112" s="30" t="inlineStr">
        <is>
          <t>midcap</t>
        </is>
      </c>
      <c r="H112" s="31" t="n">
        <v>14545.08</v>
      </c>
      <c r="I112" s="31" t="n">
        <v>3367.4</v>
      </c>
      <c r="J112" s="31" t="n">
        <v>6.49</v>
      </c>
      <c r="K112" s="31" t="n">
        <v>408713</v>
      </c>
      <c r="L112" s="30" t="n">
        <v>83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66.73</v>
      </c>
      <c r="P112" s="31" t="n">
        <v>28.97</v>
      </c>
      <c r="Q112" s="31" t="inlineStr"/>
      <c r="R112" s="30" t="inlineStr">
        <is>
          <t>Earnings / Momentum Support</t>
        </is>
      </c>
      <c r="S112" s="30" t="inlineStr">
        <is>
          <t>Nifty 50</t>
        </is>
      </c>
      <c r="T112" s="31" t="n">
        <v>0.85</v>
      </c>
      <c r="U112" s="31" t="n">
        <v>97.8</v>
      </c>
      <c r="V112" s="31" t="n">
        <v>96.13</v>
      </c>
      <c r="W112" s="31" t="n">
        <v>21.08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Headwind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No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3</t>
        </is>
      </c>
      <c r="BC112" s="30">
        <f>IF(BB112="Stage 2",20,IF(BB112="Stage 1",0,IF(BB112="Stage 3",5,IF(BB112="Stage 4",-5,0))))</f>
        <v/>
      </c>
      <c r="BD112" s="30" t="inlineStr">
        <is>
          <t>Negative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IF(B113=0,"",RANK(B113,$B$2:$B$400,0))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2" t="inlineStr">
        <is>
          <t>DYCL</t>
        </is>
      </c>
      <c r="D113" s="32" t="inlineStr">
        <is>
          <t>Dynamic Cables Ltd</t>
        </is>
      </c>
      <c r="E113" s="30" t="inlineStr">
        <is>
          <t>industrials</t>
        </is>
      </c>
      <c r="F113" s="30" t="inlineStr">
        <is>
          <t>cables - power</t>
        </is>
      </c>
      <c r="G113" s="30" t="inlineStr">
        <is>
          <t>smallcap</t>
        </is>
      </c>
      <c r="H113" s="31" t="n">
        <v>1947.55</v>
      </c>
      <c r="I113" s="31" t="n">
        <v>422.85</v>
      </c>
      <c r="J113" s="31" t="n">
        <v>5.21</v>
      </c>
      <c r="K113" s="31" t="n">
        <v>1226625</v>
      </c>
      <c r="L113" s="30" t="n">
        <v>17</v>
      </c>
      <c r="M113" s="30" t="inlineStr">
        <is>
          <t>Underperforming</t>
        </is>
      </c>
      <c r="N113" s="31">
        <f>IF(M113="Underperforming",-5,IF(L113&gt;=95,15,IF(L113&gt;=90,10,IF(L113&gt;=80,5,0))))</f>
        <v/>
      </c>
      <c r="O113" s="31" t="n">
        <v>60.33</v>
      </c>
      <c r="P113" s="31" t="n">
        <v>21.53</v>
      </c>
      <c r="Q113" s="31" t="inlineStr"/>
      <c r="R113" s="30" t="inlineStr">
        <is>
          <t>Earnings / Momentum Support</t>
        </is>
      </c>
      <c r="S113" s="30" t="inlineStr">
        <is>
          <t>Nifty Energy</t>
        </is>
      </c>
      <c r="T113" s="31" t="n">
        <v>8.41</v>
      </c>
      <c r="U113" s="31" t="n">
        <v>-17.15</v>
      </c>
      <c r="V113" s="31" t="n">
        <v>-23.57</v>
      </c>
      <c r="W113" s="31" t="n">
        <v>0.62</v>
      </c>
      <c r="X113" s="30" t="inlineStr">
        <is>
          <t>Cyclical in an Upturn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Headwind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No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3</t>
        </is>
      </c>
      <c r="BC113" s="30">
        <f>IF(BB113="Stage 2",20,IF(BB113="Stage 1",0,IF(BB113="Stage 3",5,IF(BB113="Stage 4",-5,0))))</f>
        <v/>
      </c>
      <c r="BD113" s="30" t="inlineStr">
        <is>
          <t>Negative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IF(B114=0,"",RANK(B114,$B$2:$B$400,0))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BIRLACABLE</t>
        </is>
      </c>
      <c r="D114" s="30" t="inlineStr">
        <is>
          <t>Birla Cable Limited</t>
        </is>
      </c>
      <c r="E114" s="30" t="inlineStr">
        <is>
          <t>industrials</t>
        </is>
      </c>
      <c r="F114" s="30" t="inlineStr">
        <is>
          <t>cables - telephone</t>
        </is>
      </c>
      <c r="G114" s="30" t="inlineStr">
        <is>
          <t>smallcap</t>
        </is>
      </c>
      <c r="H114" s="31" t="n">
        <v>762.63</v>
      </c>
      <c r="I114" s="31" t="n">
        <v>266.92</v>
      </c>
      <c r="J114" s="31" t="n">
        <v>5</v>
      </c>
      <c r="K114" s="31" t="n">
        <v>288266</v>
      </c>
      <c r="L114" s="30" t="n">
        <v>33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68.61</v>
      </c>
      <c r="P114" s="31" t="n">
        <v>44.74</v>
      </c>
      <c r="Q114" s="31" t="inlineStr"/>
      <c r="R114" s="30" t="inlineStr">
        <is>
          <t>Earnings / Momentum Support</t>
        </is>
      </c>
      <c r="S114" s="30" t="inlineStr">
        <is>
          <t>Nifty Infra</t>
        </is>
      </c>
      <c r="T114" s="31" t="n">
        <v>1.74</v>
      </c>
      <c r="U114" s="31" t="n">
        <v>2.54</v>
      </c>
      <c r="V114" s="31" t="n">
        <v>0.78</v>
      </c>
      <c r="W114" s="31" t="n">
        <v>4.22</v>
      </c>
      <c r="X114" s="30" t="inlineStr">
        <is>
          <t>Cyclical in an Upturn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Headwind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No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3</t>
        </is>
      </c>
      <c r="BC114" s="30">
        <f>IF(BB114="Stage 2",20,IF(BB114="Stage 1",0,IF(BB114="Stage 3",5,IF(BB114="Stage 4",-5,0))))</f>
        <v/>
      </c>
      <c r="BD114" s="30" t="inlineStr">
        <is>
          <t>Negative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IF(B115=0,"",RANK(B115,$B$2:$B$400,0))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2" t="inlineStr">
        <is>
          <t>COSMOFIRST</t>
        </is>
      </c>
      <c r="D115" s="32" t="inlineStr">
        <is>
          <t>Cosmo First Ltd</t>
        </is>
      </c>
      <c r="E115" s="30" t="inlineStr">
        <is>
          <t>industrials</t>
        </is>
      </c>
      <c r="F115" s="30" t="inlineStr">
        <is>
          <t>packaging</t>
        </is>
      </c>
      <c r="G115" s="30" t="inlineStr">
        <is>
          <t>smallcap</t>
        </is>
      </c>
      <c r="H115" s="31" t="n">
        <v>2342.79</v>
      </c>
      <c r="I115" s="31" t="n">
        <v>927.15</v>
      </c>
      <c r="J115" s="31" t="n">
        <v>3.88</v>
      </c>
      <c r="K115" s="31" t="n">
        <v>351611</v>
      </c>
      <c r="L115" s="30" t="n">
        <v>19</v>
      </c>
      <c r="M115" s="30" t="inlineStr">
        <is>
          <t>Underperforming</t>
        </is>
      </c>
      <c r="N115" s="31">
        <f>IF(M115="Underperforming",-5,IF(L115&gt;=95,15,IF(L115&gt;=90,10,IF(L115&gt;=80,5,0))))</f>
        <v/>
      </c>
      <c r="O115" s="31" t="n">
        <v>64.76000000000001</v>
      </c>
      <c r="P115" s="31" t="n">
        <v>43.08</v>
      </c>
      <c r="Q115" s="31" t="inlineStr"/>
      <c r="R115" s="30" t="inlineStr">
        <is>
          <t>Earnings / Momentum Support</t>
        </is>
      </c>
      <c r="S115" s="30" t="inlineStr">
        <is>
          <t>Nifty 50</t>
        </is>
      </c>
      <c r="T115" s="31" t="n">
        <v>0.85</v>
      </c>
      <c r="U115" s="31" t="n">
        <v>-12.47</v>
      </c>
      <c r="V115" s="31" t="n">
        <v>-13.21</v>
      </c>
      <c r="W115" s="31" t="n">
        <v>1.6</v>
      </c>
      <c r="X115" s="30" t="inlineStr">
        <is>
          <t>Cyclical in an Upturn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Headwind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No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Above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3</t>
        </is>
      </c>
      <c r="BC115" s="30">
        <f>IF(BB115="Stage 2",20,IF(BB115="Stage 1",0,IF(BB115="Stage 3",5,IF(BB115="Stage 4",-5,0))))</f>
        <v/>
      </c>
      <c r="BD115" s="30" t="inlineStr">
        <is>
          <t>Negative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Close to 52 week high or retracement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Less than 1.5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Between 0.7 to 1.2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IF(B116=0,"",RANK(B116,$B$2:$B$400,0))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TATVA</t>
        </is>
      </c>
      <c r="D116" s="30" t="inlineStr">
        <is>
          <t>Tatva Chintan Pharma Chem Ltd</t>
        </is>
      </c>
      <c r="E116" s="30" t="inlineStr">
        <is>
          <t>chemicals</t>
        </is>
      </c>
      <c r="F116" s="30" t="inlineStr">
        <is>
          <t>chemicals</t>
        </is>
      </c>
      <c r="G116" s="30" t="inlineStr">
        <is>
          <t>smallcap</t>
        </is>
      </c>
      <c r="H116" s="31" t="n">
        <v>4020.63</v>
      </c>
      <c r="I116" s="31" t="n">
        <v>1775.6</v>
      </c>
      <c r="J116" s="31" t="n">
        <v>3.3</v>
      </c>
      <c r="K116" s="31" t="n">
        <v>75003</v>
      </c>
      <c r="L116" s="30" t="n">
        <v>80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70.45999999999999</v>
      </c>
      <c r="P116" s="31" t="n">
        <v>26.15</v>
      </c>
      <c r="Q116" s="31" t="inlineStr"/>
      <c r="R116" s="30" t="inlineStr">
        <is>
          <t>Earnings / Momentum Support</t>
        </is>
      </c>
      <c r="S116" s="30" t="inlineStr">
        <is>
          <t>Nifty 50</t>
        </is>
      </c>
      <c r="T116" s="31" t="n">
        <v>0.85</v>
      </c>
      <c r="U116" s="31" t="n">
        <v>65.09999999999999</v>
      </c>
      <c r="V116" s="31" t="n">
        <v>63.71</v>
      </c>
      <c r="W116" s="31" t="n">
        <v>18.56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Headwind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No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3</t>
        </is>
      </c>
      <c r="BC116" s="30">
        <f>IF(BB116="Stage 2",20,IF(BB116="Stage 1",0,IF(BB116="Stage 3",5,IF(BB116="Stage 4",-5,0))))</f>
        <v/>
      </c>
      <c r="BD116" s="30" t="inlineStr">
        <is>
          <t>Negative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IF(B117=0,"",RANK(B117,$B$2:$B$400,0))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2" t="inlineStr">
        <is>
          <t>KRONOX</t>
        </is>
      </c>
      <c r="D117" s="32" t="inlineStr">
        <is>
          <t>Kronox Lab Sciences Ltd</t>
        </is>
      </c>
      <c r="E117" s="30" t="inlineStr">
        <is>
          <t>chemicals</t>
        </is>
      </c>
      <c r="F117" s="30" t="inlineStr">
        <is>
          <t>chemicals</t>
        </is>
      </c>
      <c r="G117" s="30" t="inlineStr">
        <is>
          <t>smallcap</t>
        </is>
      </c>
      <c r="H117" s="31" t="n">
        <v>606.84</v>
      </c>
      <c r="I117" s="31" t="n">
        <v>167.71</v>
      </c>
      <c r="J117" s="31" t="n">
        <v>2.54</v>
      </c>
      <c r="K117" s="31" t="n">
        <v>173020</v>
      </c>
      <c r="L117" s="30" t="n">
        <v>32</v>
      </c>
      <c r="M117" s="30" t="inlineStr">
        <is>
          <t>Underperforming</t>
        </is>
      </c>
      <c r="N117" s="31">
        <f>IF(M117="Underperforming",-5,IF(L117&gt;=95,15,IF(L117&gt;=90,10,IF(L117&gt;=80,5,0))))</f>
        <v/>
      </c>
      <c r="O117" s="31" t="n">
        <v>64.42</v>
      </c>
      <c r="P117" s="31" t="n">
        <v>24.68</v>
      </c>
      <c r="Q117" s="31" t="inlineStr"/>
      <c r="R117" s="30" t="inlineStr">
        <is>
          <t>Earnings / Momentum Support</t>
        </is>
      </c>
      <c r="S117" s="30" t="inlineStr">
        <is>
          <t>Nifty 50</t>
        </is>
      </c>
      <c r="T117" s="31" t="n">
        <v>0.85</v>
      </c>
      <c r="U117" s="31" t="n">
        <v>-0.77</v>
      </c>
      <c r="V117" s="31" t="n">
        <v>-1.61</v>
      </c>
      <c r="W117" s="31" t="n">
        <v>3.9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Headwind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No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3</t>
        </is>
      </c>
      <c r="BC117" s="30">
        <f>IF(BB117="Stage 2",20,IF(BB117="Stage 1",0,IF(BB117="Stage 3",5,IF(BB117="Stage 4",-5,0))))</f>
        <v/>
      </c>
      <c r="BD117" s="30" t="inlineStr">
        <is>
          <t>Negative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Between 50% to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IF(B118=0,"",RANK(B118,$B$2:$B$400,0))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CARBORUNIV</t>
        </is>
      </c>
      <c r="D118" s="30" t="inlineStr">
        <is>
          <t>Carborundum Universal Limited</t>
        </is>
      </c>
      <c r="E118" s="30" t="inlineStr">
        <is>
          <t>industrials</t>
        </is>
      </c>
      <c r="F118" s="30" t="inlineStr">
        <is>
          <t>abrasives and grinding wheels</t>
        </is>
      </c>
      <c r="G118" s="30" t="inlineStr">
        <is>
          <t>largecap</t>
        </is>
      </c>
      <c r="H118" s="31" t="n">
        <v>20897.14</v>
      </c>
      <c r="I118" s="31" t="n">
        <v>1121</v>
      </c>
      <c r="J118" s="31" t="n">
        <v>2.19</v>
      </c>
      <c r="K118" s="31" t="n">
        <v>369922</v>
      </c>
      <c r="L118" s="30" t="n">
        <v>50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59.19</v>
      </c>
      <c r="P118" s="31" t="n">
        <v>46.77</v>
      </c>
      <c r="Q118" s="31" t="inlineStr"/>
      <c r="R118" s="30" t="inlineStr">
        <is>
          <t>Earnings / Momentum Support</t>
        </is>
      </c>
      <c r="S118" s="30" t="inlineStr">
        <is>
          <t>Nifty 50</t>
        </is>
      </c>
      <c r="T118" s="31" t="n">
        <v>0.85</v>
      </c>
      <c r="U118" s="31" t="n">
        <v>30.95</v>
      </c>
      <c r="V118" s="31" t="n">
        <v>29.85</v>
      </c>
      <c r="W118" s="31" t="n">
        <v>8.1</v>
      </c>
      <c r="X118" s="30" t="inlineStr">
        <is>
          <t>Cyclical in an Upturn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Headwind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No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Above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3</t>
        </is>
      </c>
      <c r="BC118" s="30">
        <f>IF(BB118="Stage 2",20,IF(BB118="Stage 1",0,IF(BB118="Stage 3",5,IF(BB118="Stage 4",-5,0))))</f>
        <v/>
      </c>
      <c r="BD118" s="30" t="inlineStr">
        <is>
          <t>Negative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Yes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IF(B119=0,"",RANK(B119,$B$2:$B$400,0))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KINGFA</t>
        </is>
      </c>
      <c r="D119" s="30" t="inlineStr">
        <is>
          <t>Kingfa Science &amp; Technology (india) Limited</t>
        </is>
      </c>
      <c r="E119" s="30" t="inlineStr">
        <is>
          <t>plastic products</t>
        </is>
      </c>
      <c r="F119" s="30" t="inlineStr">
        <is>
          <t>plastics products</t>
        </is>
      </c>
      <c r="G119" s="30" t="inlineStr">
        <is>
          <t>midcap</t>
        </is>
      </c>
      <c r="H119" s="31" t="n">
        <v>7520.34</v>
      </c>
      <c r="I119" s="31" t="n">
        <v>5620</v>
      </c>
      <c r="J119" s="31" t="n">
        <v>1.27</v>
      </c>
      <c r="K119" s="31" t="n">
        <v>17758</v>
      </c>
      <c r="L119" s="30" t="n">
        <v>61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64.05</v>
      </c>
      <c r="P119" s="31" t="n">
        <v>30.16</v>
      </c>
      <c r="Q119" s="31" t="inlineStr"/>
      <c r="R119" s="30" t="inlineStr">
        <is>
          <t>Earnings / Momentum Support</t>
        </is>
      </c>
      <c r="S119" s="30" t="inlineStr">
        <is>
          <t>Nifty 50</t>
        </is>
      </c>
      <c r="T119" s="31" t="n">
        <v>0.85</v>
      </c>
      <c r="U119" s="31" t="n">
        <v>59.32</v>
      </c>
      <c r="V119" s="31" t="n">
        <v>57.98</v>
      </c>
      <c r="W119" s="31" t="n">
        <v>11.26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Headwind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No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3</t>
        </is>
      </c>
      <c r="BC119" s="30">
        <f>IF(BB119="Stage 2",20,IF(BB119="Stage 1",0,IF(BB119="Stage 3",5,IF(BB119="Stage 4",-5,0))))</f>
        <v/>
      </c>
      <c r="BD119" s="30" t="inlineStr">
        <is>
          <t>Negative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Less than 1.5</t>
        </is>
      </c>
      <c r="BU119" s="30">
        <f>IF(BT119="Above 2",0,IF(BT119="Between 1.5 to 2",5,IF(BT119="Less than 1.5",10,0)))</f>
        <v/>
      </c>
      <c r="BV119" s="30" t="inlineStr">
        <is>
          <t>Less than 50%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IF(B120=0,"",RANK(B120,$B$2:$B$400,0))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DIVGIITTS</t>
        </is>
      </c>
      <c r="D120" s="30" t="inlineStr">
        <is>
          <t>Divgi Torqtransfer Systems Ltd</t>
        </is>
      </c>
      <c r="E120" s="30" t="inlineStr">
        <is>
          <t>auto</t>
        </is>
      </c>
      <c r="F120" s="30" t="inlineStr">
        <is>
          <t>auto ancillaries</t>
        </is>
      </c>
      <c r="G120" s="30" t="inlineStr">
        <is>
          <t>smallcap</t>
        </is>
      </c>
      <c r="H120" s="31" t="n">
        <v>3202.8</v>
      </c>
      <c r="I120" s="31" t="n">
        <v>1060</v>
      </c>
      <c r="J120" s="31" t="n">
        <v>1.22</v>
      </c>
      <c r="K120" s="31" t="n">
        <v>123875</v>
      </c>
      <c r="L120" s="30" t="n">
        <v>64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68.95999999999999</v>
      </c>
      <c r="P120" s="31" t="n">
        <v>44.2</v>
      </c>
      <c r="Q120" s="31" t="inlineStr"/>
      <c r="R120" s="30" t="inlineStr">
        <is>
          <t>Earnings / Momentum Support</t>
        </is>
      </c>
      <c r="S120" s="30" t="inlineStr">
        <is>
          <t>Nifty Auto</t>
        </is>
      </c>
      <c r="T120" s="31" t="n">
        <v>13.41</v>
      </c>
      <c r="U120" s="31" t="n">
        <v>45.56</v>
      </c>
      <c r="V120" s="31" t="n">
        <v>28.35</v>
      </c>
      <c r="W120" s="31" t="n">
        <v>12.18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Headwind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No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Above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3</t>
        </is>
      </c>
      <c r="BC120" s="30">
        <f>IF(BB120="Stage 2",20,IF(BB120="Stage 1",0,IF(BB120="Stage 3",5,IF(BB120="Stage 4",-5,0))))</f>
        <v/>
      </c>
      <c r="BD120" s="30" t="inlineStr">
        <is>
          <t>Negative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Between 50% to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IF(B121=0,"",RANK(B121,$B$2:$B$400,0))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SHRIPISTON</t>
        </is>
      </c>
      <c r="D121" s="30" t="inlineStr">
        <is>
          <t>Shriram Pistons &amp; Rings Limited</t>
        </is>
      </c>
      <c r="E121" s="30" t="inlineStr">
        <is>
          <t>auto</t>
        </is>
      </c>
      <c r="F121" s="30" t="inlineStr">
        <is>
          <t>auto ancillaries</t>
        </is>
      </c>
      <c r="G121" s="30" t="inlineStr">
        <is>
          <t>midcap</t>
        </is>
      </c>
      <c r="H121" s="31" t="n">
        <v>19350.21</v>
      </c>
      <c r="I121" s="31" t="n">
        <v>4434</v>
      </c>
      <c r="J121" s="31" t="n">
        <v>0.9399999999999999</v>
      </c>
      <c r="K121" s="31" t="n">
        <v>55392</v>
      </c>
      <c r="L121" s="30" t="n">
        <v>70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72.95999999999999</v>
      </c>
      <c r="P121" s="31" t="n">
        <v>43.19</v>
      </c>
      <c r="Q121" s="31" t="inlineStr"/>
      <c r="R121" s="30" t="inlineStr">
        <is>
          <t>Earnings / Momentum Support</t>
        </is>
      </c>
      <c r="S121" s="30" t="inlineStr">
        <is>
          <t>Nifty Auto</t>
        </is>
      </c>
      <c r="T121" s="31" t="n">
        <v>13.41</v>
      </c>
      <c r="U121" s="31" t="n">
        <v>71.08</v>
      </c>
      <c r="V121" s="31" t="n">
        <v>50.84</v>
      </c>
      <c r="W121" s="31" t="n">
        <v>14.07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Headwind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No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Above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3</t>
        </is>
      </c>
      <c r="BC121" s="30">
        <f>IF(BB121="Stage 2",20,IF(BB121="Stage 1",0,IF(BB121="Stage 3",5,IF(BB121="Stage 4",-5,0))))</f>
        <v/>
      </c>
      <c r="BD121" s="30" t="inlineStr">
        <is>
          <t>Negative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Less than 12%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IF(B122=0,"",RANK(B122,$B$2:$B$400,0))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CYIENTDLM</t>
        </is>
      </c>
      <c r="D122" s="30" t="inlineStr">
        <is>
          <t>Cyient DLM Ltd</t>
        </is>
      </c>
      <c r="E122" s="30" t="inlineStr">
        <is>
          <t>consumer discretionary</t>
        </is>
      </c>
      <c r="F122" s="30" t="inlineStr">
        <is>
          <t>electronics - components</t>
        </is>
      </c>
      <c r="G122" s="30" t="inlineStr">
        <is>
          <t>midcap</t>
        </is>
      </c>
      <c r="H122" s="31" t="n">
        <v>5442.13</v>
      </c>
      <c r="I122" s="31" t="n">
        <v>691.5</v>
      </c>
      <c r="J122" s="31" t="n">
        <v>0.87</v>
      </c>
      <c r="K122" s="31" t="n">
        <v>965338</v>
      </c>
      <c r="L122" s="30" t="n">
        <v>88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83.7</v>
      </c>
      <c r="P122" s="31" t="n">
        <v>60.01</v>
      </c>
      <c r="Q122" s="31" t="inlineStr"/>
      <c r="R122" s="30" t="inlineStr">
        <is>
          <t>Earnings / Momentum Support</t>
        </is>
      </c>
      <c r="S122" s="30" t="inlineStr">
        <is>
          <t>Nifty 50</t>
        </is>
      </c>
      <c r="T122" s="31" t="n">
        <v>0.85</v>
      </c>
      <c r="U122" s="31" t="n">
        <v>61.14</v>
      </c>
      <c r="V122" s="31" t="n">
        <v>59.78</v>
      </c>
      <c r="W122" s="31" t="n">
        <v>24.83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Headwind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No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Above 75</t>
        </is>
      </c>
      <c r="BA122" s="30">
        <f>IF(AZ122="Between 50 to 75",10,IF(AZ122="Above 75",0,0))</f>
        <v/>
      </c>
      <c r="BB122" s="30" t="inlineStr">
        <is>
          <t>Stage 3</t>
        </is>
      </c>
      <c r="BC122" s="30">
        <f>IF(BB122="Stage 2",20,IF(BB122="Stage 1",0,IF(BB122="Stage 3",5,IF(BB122="Stage 4",-5,0))))</f>
        <v/>
      </c>
      <c r="BD122" s="30" t="inlineStr">
        <is>
          <t>Negative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IF(B123=0,"",RANK(B123,$B$2:$B$400,0))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KENNAMET</t>
        </is>
      </c>
      <c r="D123" s="30" t="inlineStr">
        <is>
          <t>Kennametal India Ltd</t>
        </is>
      </c>
      <c r="E123" s="30" t="inlineStr">
        <is>
          <t>industrials</t>
        </is>
      </c>
      <c r="F123" s="30" t="inlineStr">
        <is>
          <t>castings &amp; forgings</t>
        </is>
      </c>
      <c r="G123" s="30" t="inlineStr">
        <is>
          <t>midcap</t>
        </is>
      </c>
      <c r="H123" s="31" t="n">
        <v>7274.58</v>
      </c>
      <c r="I123" s="31" t="n">
        <v>3335.6</v>
      </c>
      <c r="J123" s="31" t="n">
        <v>0.78</v>
      </c>
      <c r="K123" s="31" t="n">
        <v>33912</v>
      </c>
      <c r="L123" s="30" t="n">
        <v>50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70.51000000000001</v>
      </c>
      <c r="P123" s="31" t="n">
        <v>43.23</v>
      </c>
      <c r="Q123" s="31" t="inlineStr"/>
      <c r="R123" s="30" t="inlineStr">
        <is>
          <t>Earnings / Momentum Support</t>
        </is>
      </c>
      <c r="S123" s="30" t="inlineStr">
        <is>
          <t>Nifty Infra</t>
        </is>
      </c>
      <c r="T123" s="31" t="n">
        <v>1.74</v>
      </c>
      <c r="U123" s="31" t="n">
        <v>22.24</v>
      </c>
      <c r="V123" s="31" t="n">
        <v>20.15</v>
      </c>
      <c r="W123" s="31" t="n">
        <v>8.039999999999999</v>
      </c>
      <c r="X123" s="30" t="inlineStr">
        <is>
          <t>Cyclical in an Upturn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Headwind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No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Above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3</t>
        </is>
      </c>
      <c r="BC123" s="30">
        <f>IF(BB123="Stage 2",20,IF(BB123="Stage 1",0,IF(BB123="Stage 3",5,IF(BB123="Stage 4",-5,0))))</f>
        <v/>
      </c>
      <c r="BD123" s="30" t="inlineStr">
        <is>
          <t>Negative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IF(B124=0,"",RANK(B124,$B$2:$B$400,0))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WELCORP</t>
        </is>
      </c>
      <c r="D124" s="30" t="inlineStr">
        <is>
          <t>Welspun Corp Limited</t>
        </is>
      </c>
      <c r="E124" s="30" t="inlineStr">
        <is>
          <t>industrials</t>
        </is>
      </c>
      <c r="F124" s="30" t="inlineStr">
        <is>
          <t>steel - large</t>
        </is>
      </c>
      <c r="G124" s="30" t="inlineStr">
        <is>
          <t>largecap</t>
        </is>
      </c>
      <c r="H124" s="31" t="n">
        <v>48532.2</v>
      </c>
      <c r="I124" s="31" t="n">
        <v>1848.5</v>
      </c>
      <c r="J124" s="31" t="n">
        <v>0.47</v>
      </c>
      <c r="K124" s="31" t="n">
        <v>446106</v>
      </c>
      <c r="L124" s="30" t="n">
        <v>87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88.33</v>
      </c>
      <c r="P124" s="31" t="n">
        <v>70.72</v>
      </c>
      <c r="Q124" s="31" t="inlineStr"/>
      <c r="R124" s="30" t="inlineStr">
        <is>
          <t>Earnings / Momentum Support</t>
        </is>
      </c>
      <c r="S124" s="30" t="inlineStr">
        <is>
          <t>Nifty Metal</t>
        </is>
      </c>
      <c r="T124" s="31" t="n">
        <v>31.49</v>
      </c>
      <c r="U124" s="31" t="n">
        <v>71.81999999999999</v>
      </c>
      <c r="V124" s="31" t="n">
        <v>30.67</v>
      </c>
      <c r="W124" s="31" t="n">
        <v>23.89</v>
      </c>
      <c r="X124" s="30" t="inlineStr">
        <is>
          <t>Cyclical in an Upturn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Headwind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No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Above 40</t>
        </is>
      </c>
      <c r="AY124" s="30">
        <f>IF(AX124="Above 40",20,IF(AX124="20 to 40",10,IF(AX124="0 to 20",-5,0)))</f>
        <v/>
      </c>
      <c r="AZ124" s="30" t="inlineStr">
        <is>
          <t>Above 75</t>
        </is>
      </c>
      <c r="BA124" s="30">
        <f>IF(AZ124="Between 50 to 75",10,IF(AZ124="Above 75",0,0))</f>
        <v/>
      </c>
      <c r="BB124" s="30" t="inlineStr">
        <is>
          <t>Stage 3</t>
        </is>
      </c>
      <c r="BC124" s="30">
        <f>IF(BB124="Stage 2",20,IF(BB124="Stage 1",0,IF(BB124="Stage 3",5,IF(BB124="Stage 4",-5,0))))</f>
        <v/>
      </c>
      <c r="BD124" s="30" t="inlineStr">
        <is>
          <t>Negative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IF(B125=0,"",RANK(B125,$B$2:$B$400,0))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SEAMECLTD</t>
        </is>
      </c>
      <c r="D125" s="30" t="inlineStr">
        <is>
          <t>Seamec Limited</t>
        </is>
      </c>
      <c r="E125" s="30" t="inlineStr">
        <is>
          <t>miscellaneous</t>
        </is>
      </c>
      <c r="F125" s="30" t="inlineStr">
        <is>
          <t>miscellaneous</t>
        </is>
      </c>
      <c r="G125" s="30" t="inlineStr">
        <is>
          <t>smallcap</t>
        </is>
      </c>
      <c r="H125" s="31" t="n">
        <v>3884.18</v>
      </c>
      <c r="I125" s="31" t="n">
        <v>1530</v>
      </c>
      <c r="J125" s="31" t="n">
        <v>0.15</v>
      </c>
      <c r="K125" s="31" t="n">
        <v>36450</v>
      </c>
      <c r="L125" s="30" t="n">
        <v>75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58.81</v>
      </c>
      <c r="P125" s="31" t="n">
        <v>24.43</v>
      </c>
      <c r="Q125" s="31" t="inlineStr"/>
      <c r="R125" s="30" t="inlineStr">
        <is>
          <t>Earnings / Momentum Support</t>
        </is>
      </c>
      <c r="S125" s="30" t="inlineStr">
        <is>
          <t>Nifty 50</t>
        </is>
      </c>
      <c r="T125" s="31" t="n">
        <v>0.85</v>
      </c>
      <c r="U125" s="31" t="n">
        <v>92.56</v>
      </c>
      <c r="V125" s="31" t="n">
        <v>90.94</v>
      </c>
      <c r="W125" s="31" t="n">
        <v>16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Headwind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No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3</t>
        </is>
      </c>
      <c r="BC125" s="30">
        <f>IF(BB125="Stage 2",20,IF(BB125="Stage 1",0,IF(BB125="Stage 3",5,IF(BB125="Stage 4",-5,0))))</f>
        <v/>
      </c>
      <c r="BD125" s="30" t="inlineStr">
        <is>
          <t>Negative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IF(B126=0,"",RANK(B126,$B$2:$B$400,0))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GHCLTEXTIL</t>
        </is>
      </c>
      <c r="D126" s="30" t="inlineStr">
        <is>
          <t>GHCL Textiles Ltd</t>
        </is>
      </c>
      <c r="E126" s="30" t="inlineStr">
        <is>
          <t>textiles</t>
        </is>
      </c>
      <c r="F126" s="30" t="inlineStr">
        <is>
          <t>textiles - spinning - synthetic / blended</t>
        </is>
      </c>
      <c r="G126" s="30" t="inlineStr">
        <is>
          <t>smallcap</t>
        </is>
      </c>
      <c r="H126" s="31" t="n">
        <v>1162.23</v>
      </c>
      <c r="I126" s="31" t="n">
        <v>120.86</v>
      </c>
      <c r="J126" s="31" t="n">
        <v>-0.6</v>
      </c>
      <c r="K126" s="31" t="n">
        <v>471392</v>
      </c>
      <c r="L126" s="30" t="n">
        <v>76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73.19</v>
      </c>
      <c r="P126" s="31" t="n">
        <v>32.9</v>
      </c>
      <c r="Q126" s="31" t="inlineStr"/>
      <c r="R126" s="30" t="inlineStr">
        <is>
          <t>Earnings / Momentum Support</t>
        </is>
      </c>
      <c r="S126" s="30" t="inlineStr">
        <is>
          <t>Nifty 50</t>
        </is>
      </c>
      <c r="T126" s="31" t="n">
        <v>0.85</v>
      </c>
      <c r="U126" s="31" t="n">
        <v>53.55</v>
      </c>
      <c r="V126" s="31" t="n">
        <v>52.25</v>
      </c>
      <c r="W126" s="31" t="n">
        <v>16.52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Headwind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No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3</t>
        </is>
      </c>
      <c r="BC126" s="30">
        <f>IF(BB126="Stage 2",20,IF(BB126="Stage 1",0,IF(BB126="Stage 3",5,IF(BB126="Stage 4",-5,0))))</f>
        <v/>
      </c>
      <c r="BD126" s="30" t="inlineStr">
        <is>
          <t>Negative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No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IF(B127=0,"",RANK(B127,$B$2:$B$400,0))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SONACOMS</t>
        </is>
      </c>
      <c r="D127" s="30" t="inlineStr">
        <is>
          <t>Sona BLW Precision Forgings Ltd</t>
        </is>
      </c>
      <c r="E127" s="30" t="inlineStr">
        <is>
          <t>auto</t>
        </is>
      </c>
      <c r="F127" s="30" t="inlineStr">
        <is>
          <t>auto ancillaries</t>
        </is>
      </c>
      <c r="G127" s="30" t="inlineStr">
        <is>
          <t>largecap</t>
        </is>
      </c>
      <c r="H127" s="31" t="n">
        <v>50885.56</v>
      </c>
      <c r="I127" s="31" t="n">
        <v>812.5</v>
      </c>
      <c r="J127" s="31" t="n">
        <v>-0.68</v>
      </c>
      <c r="K127" s="31" t="n">
        <v>4808692</v>
      </c>
      <c r="L127" s="30" t="n">
        <v>66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82.97</v>
      </c>
      <c r="P127" s="31" t="n">
        <v>49.51</v>
      </c>
      <c r="Q127" s="31" t="inlineStr"/>
      <c r="R127" s="30" t="inlineStr">
        <is>
          <t>Earnings / Momentum Support</t>
        </is>
      </c>
      <c r="S127" s="30" t="inlineStr">
        <is>
          <t>Nifty Auto</t>
        </is>
      </c>
      <c r="T127" s="31" t="n">
        <v>13.41</v>
      </c>
      <c r="U127" s="31" t="n">
        <v>47.83</v>
      </c>
      <c r="V127" s="31" t="n">
        <v>30.34</v>
      </c>
      <c r="W127" s="31" t="n">
        <v>12.69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Headwind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No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Above 75</t>
        </is>
      </c>
      <c r="BA127" s="30">
        <f>IF(AZ127="Between 50 to 75",10,IF(AZ127="Above 75",0,0))</f>
        <v/>
      </c>
      <c r="BB127" s="30" t="inlineStr">
        <is>
          <t>Stage 3</t>
        </is>
      </c>
      <c r="BC127" s="30">
        <f>IF(BB127="Stage 2",20,IF(BB127="Stage 1",0,IF(BB127="Stage 3",5,IF(BB127="Stage 4",-5,0))))</f>
        <v/>
      </c>
      <c r="BD127" s="30" t="inlineStr">
        <is>
          <t>Negative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Close to 52 week high or retracement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Between 1.5 to 2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IF(B128=0,"",RANK(B128,$B$2:$B$400,0))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NETWEB</t>
        </is>
      </c>
      <c r="D128" s="30" t="inlineStr">
        <is>
          <t>Netweb Technologies India Ltd</t>
        </is>
      </c>
      <c r="E128" s="30" t="inlineStr">
        <is>
          <t>i.t</t>
        </is>
      </c>
      <c r="F128" s="30" t="inlineStr">
        <is>
          <t>computers - hardware</t>
        </is>
      </c>
      <c r="G128" s="30" t="inlineStr">
        <is>
          <t>largecap</t>
        </is>
      </c>
      <c r="H128" s="31" t="n">
        <v>28124.14</v>
      </c>
      <c r="I128" s="31" t="n">
        <v>4903</v>
      </c>
      <c r="J128" s="31" t="n">
        <v>-0.73</v>
      </c>
      <c r="K128" s="31" t="n">
        <v>1210498</v>
      </c>
      <c r="L128" s="30" t="n">
        <v>87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63.17</v>
      </c>
      <c r="P128" s="31" t="n">
        <v>39.15</v>
      </c>
      <c r="Q128" s="31" t="inlineStr"/>
      <c r="R128" s="30" t="inlineStr">
        <is>
          <t>Earnings / Momentum Support</t>
        </is>
      </c>
      <c r="S128" s="30" t="inlineStr">
        <is>
          <t>Nifty IT</t>
        </is>
      </c>
      <c r="T128" s="31" t="n">
        <v>-8.289999999999999</v>
      </c>
      <c r="U128" s="31" t="n">
        <v>135.11</v>
      </c>
      <c r="V128" s="31" t="n">
        <v>156.35</v>
      </c>
      <c r="W128" s="31" t="n">
        <v>23.89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Headwind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No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3</t>
        </is>
      </c>
      <c r="BC128" s="30">
        <f>IF(BB128="Stage 2",20,IF(BB128="Stage 1",0,IF(BB128="Stage 3",5,IF(BB128="Stage 4",-5,0))))</f>
        <v/>
      </c>
      <c r="BD128" s="30" t="inlineStr">
        <is>
          <t>Negative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IF(B129=0,"",RANK(B129,$B$2:$B$400,0))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NILKAMAL</t>
        </is>
      </c>
      <c r="D129" s="30" t="inlineStr">
        <is>
          <t>Nilkamal Limited</t>
        </is>
      </c>
      <c r="E129" s="30" t="inlineStr">
        <is>
          <t>plastic products</t>
        </is>
      </c>
      <c r="F129" s="30" t="inlineStr">
        <is>
          <t>plastics products</t>
        </is>
      </c>
      <c r="G129" s="30" t="inlineStr">
        <is>
          <t>smallcap</t>
        </is>
      </c>
      <c r="H129" s="31" t="n">
        <v>2605.92</v>
      </c>
      <c r="I129" s="31" t="n">
        <v>1731.3</v>
      </c>
      <c r="J129" s="31" t="n">
        <v>-0.86</v>
      </c>
      <c r="K129" s="31" t="n">
        <v>26819</v>
      </c>
      <c r="L129" s="30" t="n">
        <v>58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76.73</v>
      </c>
      <c r="P129" s="31" t="n">
        <v>29.1</v>
      </c>
      <c r="Q129" s="31" t="inlineStr"/>
      <c r="R129" s="30" t="inlineStr">
        <is>
          <t>Earnings / Momentum Support</t>
        </is>
      </c>
      <c r="S129" s="30" t="inlineStr">
        <is>
          <t>Nifty 50</t>
        </is>
      </c>
      <c r="T129" s="31" t="n">
        <v>0.85</v>
      </c>
      <c r="U129" s="31" t="n">
        <v>8.029999999999999</v>
      </c>
      <c r="V129" s="31" t="n">
        <v>7.12</v>
      </c>
      <c r="W129" s="31" t="n">
        <v>10.19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Headwind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No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Above 75</t>
        </is>
      </c>
      <c r="BA129" s="30">
        <f>IF(AZ129="Between 50 to 75",10,IF(AZ129="Above 75",0,0))</f>
        <v/>
      </c>
      <c r="BB129" s="30" t="inlineStr">
        <is>
          <t>Stage 3</t>
        </is>
      </c>
      <c r="BC129" s="30">
        <f>IF(BB129="Stage 2",20,IF(BB129="Stage 1",0,IF(BB129="Stage 3",5,IF(BB129="Stage 4",-5,0))))</f>
        <v/>
      </c>
      <c r="BD129" s="30" t="inlineStr">
        <is>
          <t>Negative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IF(B130=0,"",RANK(B130,$B$2:$B$400,0))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EXIDEIND</t>
        </is>
      </c>
      <c r="D130" s="30" t="inlineStr">
        <is>
          <t>Exide Industries Limited</t>
        </is>
      </c>
      <c r="E130" s="30" t="inlineStr">
        <is>
          <t>auto</t>
        </is>
      </c>
      <c r="F130" s="30" t="inlineStr">
        <is>
          <t>auto ancillaries</t>
        </is>
      </c>
      <c r="G130" s="30" t="inlineStr">
        <is>
          <t>largecap</t>
        </is>
      </c>
      <c r="H130" s="31" t="n">
        <v>41650</v>
      </c>
      <c r="I130" s="31" t="n">
        <v>485.4</v>
      </c>
      <c r="J130" s="31" t="n">
        <v>-0.9399999999999999</v>
      </c>
      <c r="K130" s="31" t="n">
        <v>3228040</v>
      </c>
      <c r="L130" s="30" t="n">
        <v>59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78.67</v>
      </c>
      <c r="P130" s="31" t="n">
        <v>42.47</v>
      </c>
      <c r="Q130" s="31" t="inlineStr"/>
      <c r="R130" s="30" t="inlineStr">
        <is>
          <t>Earnings / Momentum Support</t>
        </is>
      </c>
      <c r="S130" s="30" t="inlineStr">
        <is>
          <t>Nifty Auto</t>
        </is>
      </c>
      <c r="T130" s="31" t="n">
        <v>13.41</v>
      </c>
      <c r="U130" s="31" t="n">
        <v>13.86</v>
      </c>
      <c r="V130" s="31" t="n">
        <v>0.39</v>
      </c>
      <c r="W130" s="31" t="n">
        <v>10.23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Headwind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No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Above 40</t>
        </is>
      </c>
      <c r="AY130" s="30">
        <f>IF(AX130="Above 40",20,IF(AX130="20 to 40",10,IF(AX130="0 to 20",-5,0)))</f>
        <v/>
      </c>
      <c r="AZ130" s="30" t="inlineStr">
        <is>
          <t>Above 75</t>
        </is>
      </c>
      <c r="BA130" s="30">
        <f>IF(AZ130="Between 50 to 75",10,IF(AZ130="Above 75",0,0))</f>
        <v/>
      </c>
      <c r="BB130" s="30" t="inlineStr">
        <is>
          <t>Stage 3</t>
        </is>
      </c>
      <c r="BC130" s="30">
        <f>IF(BB130="Stage 2",20,IF(BB130="Stage 1",0,IF(BB130="Stage 3",5,IF(BB130="Stage 4",-5,0))))</f>
        <v/>
      </c>
      <c r="BD130" s="30" t="inlineStr">
        <is>
          <t>Negative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Between 1.5 to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IF(B131=0,"",RANK(B131,$B$2:$B$400,0))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UFBL</t>
        </is>
      </c>
      <c r="D131" s="30" t="inlineStr">
        <is>
          <t>United Foodbrands Ltd</t>
        </is>
      </c>
      <c r="E131" s="30" t="inlineStr">
        <is>
          <t>consumer discretionary</t>
        </is>
      </c>
      <c r="F131" s="30" t="inlineStr">
        <is>
          <t>hotels</t>
        </is>
      </c>
      <c r="G131" s="30" t="inlineStr">
        <is>
          <t>smallcap</t>
        </is>
      </c>
      <c r="H131" s="31" t="n">
        <v>3156.62</v>
      </c>
      <c r="I131" s="31" t="n">
        <v>798.1</v>
      </c>
      <c r="J131" s="31" t="n">
        <v>-1.18</v>
      </c>
      <c r="K131" s="31" t="n">
        <v>196394</v>
      </c>
      <c r="L131" s="30" t="n">
        <v>98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79.8</v>
      </c>
      <c r="P131" s="31" t="n">
        <v>56.26</v>
      </c>
      <c r="Q131" s="31" t="inlineStr"/>
      <c r="R131" s="30" t="inlineStr">
        <is>
          <t>Earnings / Momentum Support</t>
        </is>
      </c>
      <c r="S131" s="30" t="inlineStr">
        <is>
          <t>Nifty 50</t>
        </is>
      </c>
      <c r="T131" s="31" t="n">
        <v>0.85</v>
      </c>
      <c r="U131" s="31" t="n">
        <v>218.89</v>
      </c>
      <c r="V131" s="31" t="n">
        <v>216.2</v>
      </c>
      <c r="W131" s="31" t="n">
        <v>55.72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Headwind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No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Above 75</t>
        </is>
      </c>
      <c r="BA131" s="30">
        <f>IF(AZ131="Between 50 to 75",10,IF(AZ131="Above 75",0,0))</f>
        <v/>
      </c>
      <c r="BB131" s="30" t="inlineStr">
        <is>
          <t>Stage 3</t>
        </is>
      </c>
      <c r="BC131" s="30">
        <f>IF(BB131="Stage 2",20,IF(BB131="Stage 1",0,IF(BB131="Stage 3",5,IF(BB131="Stage 4",-5,0))))</f>
        <v/>
      </c>
      <c r="BD131" s="30" t="inlineStr">
        <is>
          <t>Negative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Between 1.5 to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More than 1.2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IF(B132=0,"",RANK(B132,$B$2:$B$400,0))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SANSERA</t>
        </is>
      </c>
      <c r="D132" s="30" t="inlineStr">
        <is>
          <t>Sansera Engineering Ltd</t>
        </is>
      </c>
      <c r="E132" s="30" t="inlineStr">
        <is>
          <t>auto</t>
        </is>
      </c>
      <c r="F132" s="30" t="inlineStr">
        <is>
          <t>auto ancillaries</t>
        </is>
      </c>
      <c r="G132" s="30" t="inlineStr">
        <is>
          <t>largecap</t>
        </is>
      </c>
      <c r="H132" s="31" t="n">
        <v>24111.49</v>
      </c>
      <c r="I132" s="31" t="n">
        <v>3812.4</v>
      </c>
      <c r="J132" s="31" t="n">
        <v>-1.33</v>
      </c>
      <c r="K132" s="31" t="n">
        <v>194946</v>
      </c>
      <c r="L132" s="30" t="n">
        <v>91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82.81</v>
      </c>
      <c r="P132" s="31" t="n">
        <v>56.19</v>
      </c>
      <c r="Q132" s="31" t="inlineStr"/>
      <c r="R132" s="30" t="inlineStr">
        <is>
          <t>Earnings / Momentum Support</t>
        </is>
      </c>
      <c r="S132" s="30" t="inlineStr">
        <is>
          <t>Nifty Auto</t>
        </is>
      </c>
      <c r="T132" s="31" t="n">
        <v>13.41</v>
      </c>
      <c r="U132" s="31" t="n">
        <v>137.65</v>
      </c>
      <c r="V132" s="31" t="n">
        <v>109.54</v>
      </c>
      <c r="W132" s="31" t="n">
        <v>26.81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Headwind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No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Above 75</t>
        </is>
      </c>
      <c r="BA132" s="30">
        <f>IF(AZ132="Between 50 to 75",10,IF(AZ132="Above 75",0,0))</f>
        <v/>
      </c>
      <c r="BB132" s="30" t="inlineStr">
        <is>
          <t>Stage 3</t>
        </is>
      </c>
      <c r="BC132" s="30">
        <f>IF(BB132="Stage 2",20,IF(BB132="Stage 1",0,IF(BB132="Stage 3",5,IF(BB132="Stage 4",-5,0))))</f>
        <v/>
      </c>
      <c r="BD132" s="30" t="inlineStr">
        <is>
          <t>Negative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Between 50% to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IF(B133=0,"",RANK(B133,$B$2:$B$400,0))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IDEAFORGE</t>
        </is>
      </c>
      <c r="D133" s="30" t="inlineStr">
        <is>
          <t>Ideaforge Technology Ltd</t>
        </is>
      </c>
      <c r="E133" s="30" t="inlineStr">
        <is>
          <t>aerospace &amp; defence</t>
        </is>
      </c>
      <c r="F133" s="30" t="inlineStr">
        <is>
          <t>engineering</t>
        </is>
      </c>
      <c r="G133" s="30" t="inlineStr">
        <is>
          <t>smallcap</t>
        </is>
      </c>
      <c r="H133" s="31" t="n">
        <v>4529.59</v>
      </c>
      <c r="I133" s="31" t="n">
        <v>897.75</v>
      </c>
      <c r="J133" s="31" t="n">
        <v>-1.52</v>
      </c>
      <c r="K133" s="31" t="n">
        <v>248499</v>
      </c>
      <c r="L133" s="30" t="n">
        <v>92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65.78</v>
      </c>
      <c r="P133" s="31" t="n">
        <v>67.7</v>
      </c>
      <c r="Q133" s="31" t="inlineStr"/>
      <c r="R133" s="30" t="inlineStr">
        <is>
          <t>Earnings / Momentum Support</t>
        </is>
      </c>
      <c r="S133" s="30" t="inlineStr">
        <is>
          <t>Nifty Infra</t>
        </is>
      </c>
      <c r="T133" s="31" t="n">
        <v>1.74</v>
      </c>
      <c r="U133" s="31" t="n">
        <v>55.46</v>
      </c>
      <c r="V133" s="31" t="n">
        <v>52.8</v>
      </c>
      <c r="W133" s="31" t="n">
        <v>28.42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Headwind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No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Above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3</t>
        </is>
      </c>
      <c r="BC133" s="30">
        <f>IF(BB133="Stage 2",20,IF(BB133="Stage 1",0,IF(BB133="Stage 3",5,IF(BB133="Stage 4",-5,0))))</f>
        <v/>
      </c>
      <c r="BD133" s="30" t="inlineStr">
        <is>
          <t>Negative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Negative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IF(B134=0,"",RANK(B134,$B$2:$B$400,0))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FIEMIND</t>
        </is>
      </c>
      <c r="D134" s="30" t="inlineStr">
        <is>
          <t>Fiem Industries Limited</t>
        </is>
      </c>
      <c r="E134" s="30" t="inlineStr">
        <is>
          <t>auto</t>
        </is>
      </c>
      <c r="F134" s="30" t="inlineStr">
        <is>
          <t>auto ancillaries</t>
        </is>
      </c>
      <c r="G134" s="30" t="inlineStr">
        <is>
          <t>midcap</t>
        </is>
      </c>
      <c r="H134" s="31" t="n">
        <v>6791.26</v>
      </c>
      <c r="I134" s="31" t="n">
        <v>2539.3</v>
      </c>
      <c r="J134" s="31" t="n">
        <v>-1.59</v>
      </c>
      <c r="K134" s="31" t="n">
        <v>111928</v>
      </c>
      <c r="L134" s="30" t="n">
        <v>27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72.02</v>
      </c>
      <c r="P134" s="31" t="n">
        <v>26.78</v>
      </c>
      <c r="Q134" s="31" t="inlineStr"/>
      <c r="R134" s="30" t="inlineStr">
        <is>
          <t>Earnings / Momentum Support</t>
        </is>
      </c>
      <c r="S134" s="30" t="inlineStr">
        <is>
          <t>Nifty Auto</t>
        </is>
      </c>
      <c r="T134" s="31" t="n">
        <v>13.41</v>
      </c>
      <c r="U134" s="31" t="n">
        <v>15.26</v>
      </c>
      <c r="V134" s="31" t="n">
        <v>1.62</v>
      </c>
      <c r="W134" s="31" t="n">
        <v>3.12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Headwind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No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3</t>
        </is>
      </c>
      <c r="BC134" s="30">
        <f>IF(BB134="Stage 2",20,IF(BB134="Stage 1",0,IF(BB134="Stage 3",5,IF(BB134="Stage 4",-5,0))))</f>
        <v/>
      </c>
      <c r="BD134" s="30" t="inlineStr">
        <is>
          <t>Negative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No</t>
        </is>
      </c>
      <c r="BS134" s="30">
        <f>IF(BR134="NO",5,0)</f>
        <v/>
      </c>
      <c r="BT134" s="30" t="inlineStr">
        <is>
          <t>Less than 1.5</t>
        </is>
      </c>
      <c r="BU134" s="30">
        <f>IF(BT134="Above 2",0,IF(BT134="Between 1.5 to 2",5,IF(BT134="Less than 1.5",10,0)))</f>
        <v/>
      </c>
      <c r="BV134" s="30" t="inlineStr">
        <is>
          <t>Less than 50%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IF(B135=0,"",RANK(B135,$B$2:$B$400,0))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THELEELA</t>
        </is>
      </c>
      <c r="D135" s="30" t="inlineStr">
        <is>
          <t>Leela Palaces Hotels &amp; Resorts Ltd</t>
        </is>
      </c>
      <c r="E135" s="30" t="inlineStr">
        <is>
          <t>services</t>
        </is>
      </c>
      <c r="F135" s="30" t="inlineStr">
        <is>
          <t>hotels</t>
        </is>
      </c>
      <c r="G135" s="30" t="inlineStr">
        <is>
          <t>midcap</t>
        </is>
      </c>
      <c r="H135" s="31" t="n">
        <v>17299.02</v>
      </c>
      <c r="I135" s="31" t="n">
        <v>505.8</v>
      </c>
      <c r="J135" s="31" t="n">
        <v>-2.36</v>
      </c>
      <c r="K135" s="31" t="n">
        <v>263638</v>
      </c>
      <c r="L135" s="30" t="n">
        <v>52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65.38</v>
      </c>
      <c r="P135" s="31" t="n">
        <v>26.46</v>
      </c>
      <c r="Q135" s="31" t="inlineStr"/>
      <c r="R135" s="30" t="inlineStr">
        <is>
          <t>Earnings / Momentum Support</t>
        </is>
      </c>
      <c r="S135" s="30" t="inlineStr">
        <is>
          <t>Nifty 50</t>
        </is>
      </c>
      <c r="T135" s="31" t="n">
        <v>0.85</v>
      </c>
      <c r="U135" s="31" t="n">
        <v>19.18</v>
      </c>
      <c r="V135" s="31" t="n">
        <v>18.17</v>
      </c>
      <c r="W135" s="31" t="n">
        <v>8.42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Headwind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No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3</t>
        </is>
      </c>
      <c r="BC135" s="30">
        <f>IF(BB135="Stage 2",20,IF(BB135="Stage 1",0,IF(BB135="Stage 3",5,IF(BB135="Stage 4",-5,0))))</f>
        <v/>
      </c>
      <c r="BD135" s="30" t="inlineStr">
        <is>
          <t>Negative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IF(B136=0,"",RANK(B136,$B$2:$B$400,0))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2" t="inlineStr">
        <is>
          <t>GARFIBRES</t>
        </is>
      </c>
      <c r="D136" s="32" t="inlineStr">
        <is>
          <t>Garware Technical Fibres Ltd</t>
        </is>
      </c>
      <c r="E136" s="30" t="inlineStr">
        <is>
          <t>textiles</t>
        </is>
      </c>
      <c r="F136" s="30" t="inlineStr">
        <is>
          <t>textiles - products</t>
        </is>
      </c>
      <c r="G136" s="30" t="inlineStr">
        <is>
          <t>midcap</t>
        </is>
      </c>
      <c r="H136" s="31" t="n">
        <v>7927.58</v>
      </c>
      <c r="I136" s="31" t="n">
        <v>792.25</v>
      </c>
      <c r="J136" s="31" t="n">
        <v>-2.41</v>
      </c>
      <c r="K136" s="31" t="n">
        <v>30300</v>
      </c>
      <c r="L136" s="30" t="n">
        <v>41</v>
      </c>
      <c r="M136" s="30" t="inlineStr">
        <is>
          <t>Underperforming</t>
        </is>
      </c>
      <c r="N136" s="31">
        <f>IF(M136="Underperforming",-5,IF(L136&gt;=95,15,IF(L136&gt;=90,10,IF(L136&gt;=80,5,0))))</f>
        <v/>
      </c>
      <c r="O136" s="31" t="n">
        <v>63.79</v>
      </c>
      <c r="P136" s="31" t="n">
        <v>38.49</v>
      </c>
      <c r="Q136" s="31" t="inlineStr"/>
      <c r="R136" s="30" t="inlineStr">
        <is>
          <t>Earnings / Momentum Support</t>
        </is>
      </c>
      <c r="S136" s="30" t="inlineStr">
        <is>
          <t>Nifty 50</t>
        </is>
      </c>
      <c r="T136" s="31" t="n">
        <v>0.85</v>
      </c>
      <c r="U136" s="31" t="n">
        <v>-1.37</v>
      </c>
      <c r="V136" s="31" t="n">
        <v>-2.2</v>
      </c>
      <c r="W136" s="31" t="n">
        <v>5.87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Headwind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No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3</t>
        </is>
      </c>
      <c r="BC136" s="30">
        <f>IF(BB136="Stage 2",20,IF(BB136="Stage 1",0,IF(BB136="Stage 3",5,IF(BB136="Stage 4",-5,0))))</f>
        <v/>
      </c>
      <c r="BD136" s="30" t="inlineStr">
        <is>
          <t>Negative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Between 1.5 to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IF(B137=0,"",RANK(B137,$B$2:$B$400,0))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TALBROAUTO</t>
        </is>
      </c>
      <c r="D137" s="30" t="inlineStr">
        <is>
          <t>Talbros Automotive Components Limited</t>
        </is>
      </c>
      <c r="E137" s="30" t="inlineStr">
        <is>
          <t>auto</t>
        </is>
      </c>
      <c r="F137" s="30" t="inlineStr">
        <is>
          <t>auto ancillaries</t>
        </is>
      </c>
      <c r="G137" s="30" t="inlineStr">
        <is>
          <t>smallcap</t>
        </is>
      </c>
      <c r="H137" s="31" t="n">
        <v>2712.03</v>
      </c>
      <c r="I137" s="31" t="n">
        <v>422.05</v>
      </c>
      <c r="J137" s="31" t="n">
        <v>-3.94</v>
      </c>
      <c r="K137" s="31" t="n">
        <v>1061459</v>
      </c>
      <c r="L137" s="30" t="n">
        <v>79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75.72</v>
      </c>
      <c r="P137" s="31" t="n">
        <v>43.44</v>
      </c>
      <c r="Q137" s="31" t="inlineStr"/>
      <c r="R137" s="30" t="inlineStr">
        <is>
          <t>Earnings / Momentum Support</t>
        </is>
      </c>
      <c r="S137" s="30" t="inlineStr">
        <is>
          <t>Nifty Auto</t>
        </is>
      </c>
      <c r="T137" s="31" t="n">
        <v>13.41</v>
      </c>
      <c r="U137" s="31" t="n">
        <v>41.36</v>
      </c>
      <c r="V137" s="31" t="n">
        <v>24.64</v>
      </c>
      <c r="W137" s="31" t="n">
        <v>18.13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Headwind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No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Above 40</t>
        </is>
      </c>
      <c r="AY137" s="30">
        <f>IF(AX137="Above 40",20,IF(AX137="20 to 40",10,IF(AX137="0 to 20",-5,0)))</f>
        <v/>
      </c>
      <c r="AZ137" s="30" t="inlineStr">
        <is>
          <t>Above 75</t>
        </is>
      </c>
      <c r="BA137" s="30">
        <f>IF(AZ137="Between 50 to 75",10,IF(AZ137="Above 75",0,0))</f>
        <v/>
      </c>
      <c r="BB137" s="30" t="inlineStr">
        <is>
          <t>Stage 3</t>
        </is>
      </c>
      <c r="BC137" s="30">
        <f>IF(BB137="Stage 2",20,IF(BB137="Stage 1",0,IF(BB137="Stage 3",5,IF(BB137="Stage 4",-5,0))))</f>
        <v/>
      </c>
      <c r="BD137" s="30" t="inlineStr">
        <is>
          <t>Negative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Between 12 to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Less than 1.5</t>
        </is>
      </c>
      <c r="BU137" s="30">
        <f>IF(BT137="Above 2",0,IF(BT137="Between 1.5 to 2",5,IF(BT137="Less than 1.5",10,0)))</f>
        <v/>
      </c>
      <c r="BV137" s="30" t="inlineStr">
        <is>
          <t>Between 50% to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IF(B138=0,"",RANK(B138,$B$2:$B$400,0))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DALMIASUG</t>
        </is>
      </c>
      <c r="D138" s="30" t="inlineStr">
        <is>
          <t>Dalmia Bharat Sugar And Industries Limited</t>
        </is>
      </c>
      <c r="E138" s="30" t="inlineStr">
        <is>
          <t>fmcg</t>
        </is>
      </c>
      <c r="F138" s="30" t="inlineStr">
        <is>
          <t>sugar</t>
        </is>
      </c>
      <c r="G138" s="30" t="inlineStr">
        <is>
          <t>smallcap</t>
        </is>
      </c>
      <c r="H138" s="31" t="n">
        <v>3273.19</v>
      </c>
      <c r="I138" s="31" t="n">
        <v>418.95</v>
      </c>
      <c r="J138" s="31" t="n">
        <v>3.6</v>
      </c>
      <c r="K138" s="31" t="n">
        <v>1169780</v>
      </c>
      <c r="L138" s="30" t="n">
        <v>13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64.67</v>
      </c>
      <c r="P138" s="31" t="n">
        <v>23.05</v>
      </c>
      <c r="Q138" s="31" t="inlineStr"/>
      <c r="R138" s="30" t="inlineStr">
        <is>
          <t>Earnings / Momentum Support</t>
        </is>
      </c>
      <c r="S138" s="30" t="inlineStr">
        <is>
          <t>Nifty FMCG</t>
        </is>
      </c>
      <c r="T138" s="31" t="n">
        <v>-13.73</v>
      </c>
      <c r="U138" s="31" t="n">
        <v>-5.55</v>
      </c>
      <c r="V138" s="31" t="n">
        <v>9.48</v>
      </c>
      <c r="W138" s="31" t="n">
        <v>-0.23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Headwind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B2C</t>
        </is>
      </c>
      <c r="AO138" s="30">
        <f>IF(AN138="B2C",10,IF(AN138="B2B",5,0))</f>
        <v/>
      </c>
      <c r="AP138" s="30" t="inlineStr">
        <is>
          <t>No</t>
        </is>
      </c>
      <c r="AQ138" s="30">
        <f>IF(AP138="Yes",10,0)</f>
        <v/>
      </c>
      <c r="AR138" s="30" t="inlineStr">
        <is>
          <t>Higher Annuity, Lower One Time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3</t>
        </is>
      </c>
      <c r="BC138" s="30">
        <f>IF(BB138="Stage 2",20,IF(BB138="Stage 1",0,IF(BB138="Stage 3",5,IF(BB138="Stage 4",-5,0))))</f>
        <v/>
      </c>
      <c r="BD138" s="30" t="inlineStr">
        <is>
          <t>Negative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Less than 12%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IF(B139=0,"",RANK(B139,$B$2:$B$400,0))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PICCADIL</t>
        </is>
      </c>
      <c r="D139" s="30" t="inlineStr">
        <is>
          <t>Piccadily Agro Industries Ltd</t>
        </is>
      </c>
      <c r="E139" s="30" t="inlineStr">
        <is>
          <t>fmcg</t>
        </is>
      </c>
      <c r="F139" s="30" t="inlineStr">
        <is>
          <t>breweries &amp; distilleries</t>
        </is>
      </c>
      <c r="G139" s="30" t="inlineStr">
        <is>
          <t>midcap</t>
        </is>
      </c>
      <c r="H139" s="31" t="n">
        <v>7325.39</v>
      </c>
      <c r="I139" s="31" t="n">
        <v>768.8</v>
      </c>
      <c r="J139" s="31" t="n">
        <v>3.45</v>
      </c>
      <c r="K139" s="31" t="n">
        <v>264396</v>
      </c>
      <c r="L139" s="30" t="n">
        <v>56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70.70999999999999</v>
      </c>
      <c r="P139" s="31" t="n">
        <v>45.62</v>
      </c>
      <c r="Q139" s="31" t="inlineStr"/>
      <c r="R139" s="30" t="inlineStr">
        <is>
          <t>Earnings / Momentum Support</t>
        </is>
      </c>
      <c r="S139" s="30" t="inlineStr">
        <is>
          <t>Nifty FMCG</t>
        </is>
      </c>
      <c r="T139" s="31" t="n">
        <v>-13.73</v>
      </c>
      <c r="U139" s="31" t="n">
        <v>21.09</v>
      </c>
      <c r="V139" s="31" t="n">
        <v>40.36</v>
      </c>
      <c r="W139" s="31" t="n">
        <v>9.48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Headwind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B2C</t>
        </is>
      </c>
      <c r="AO139" s="30">
        <f>IF(AN139="B2C",10,IF(AN139="B2B",5,0))</f>
        <v/>
      </c>
      <c r="AP139" s="30" t="inlineStr">
        <is>
          <t>No</t>
        </is>
      </c>
      <c r="AQ139" s="30">
        <f>IF(AP139="Yes",10,0)</f>
        <v/>
      </c>
      <c r="AR139" s="30" t="inlineStr">
        <is>
          <t>Higher Annuity, Lower One Time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Above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3</t>
        </is>
      </c>
      <c r="BC139" s="30">
        <f>IF(BB139="Stage 2",20,IF(BB139="Stage 1",0,IF(BB139="Stage 3",5,IF(BB139="Stage 4",-5,0))))</f>
        <v/>
      </c>
      <c r="BD139" s="30" t="inlineStr">
        <is>
          <t>Negative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Between 50% to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IF(B140=0,"",RANK(B140,$B$2:$B$400,0))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BALRAMCHIN</t>
        </is>
      </c>
      <c r="D140" s="30" t="inlineStr">
        <is>
          <t>Balrampur Chini Mills Limited</t>
        </is>
      </c>
      <c r="E140" s="30" t="inlineStr">
        <is>
          <t>fmcg</t>
        </is>
      </c>
      <c r="F140" s="30" t="inlineStr">
        <is>
          <t>sugar</t>
        </is>
      </c>
      <c r="G140" s="30" t="inlineStr">
        <is>
          <t>midcap</t>
        </is>
      </c>
      <c r="H140" s="31" t="n">
        <v>13382.72</v>
      </c>
      <c r="I140" s="31" t="n">
        <v>655.25</v>
      </c>
      <c r="J140" s="31" t="n">
        <v>3.44</v>
      </c>
      <c r="K140" s="31" t="n">
        <v>890072</v>
      </c>
      <c r="L140" s="30" t="n">
        <v>42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72.98</v>
      </c>
      <c r="P140" s="31" t="n">
        <v>43.37</v>
      </c>
      <c r="Q140" s="31" t="inlineStr"/>
      <c r="R140" s="30" t="inlineStr">
        <is>
          <t>Earnings / Momentum Support</t>
        </is>
      </c>
      <c r="S140" s="30" t="inlineStr">
        <is>
          <t>Nifty FMCG</t>
        </is>
      </c>
      <c r="T140" s="31" t="n">
        <v>-13.73</v>
      </c>
      <c r="U140" s="31" t="n">
        <v>-1.41</v>
      </c>
      <c r="V140" s="31" t="n">
        <v>14.28</v>
      </c>
      <c r="W140" s="31" t="n">
        <v>6.14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Headwind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B2C</t>
        </is>
      </c>
      <c r="AO140" s="30">
        <f>IF(AN140="B2C",10,IF(AN140="B2B",5,0))</f>
        <v/>
      </c>
      <c r="AP140" s="30" t="inlineStr">
        <is>
          <t>No</t>
        </is>
      </c>
      <c r="AQ140" s="30">
        <f>IF(AP140="Yes",10,0)</f>
        <v/>
      </c>
      <c r="AR140" s="30" t="inlineStr">
        <is>
          <t>Higher Annuity, Lower One Time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Above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3</t>
        </is>
      </c>
      <c r="BC140" s="30">
        <f>IF(BB140="Stage 2",20,IF(BB140="Stage 1",0,IF(BB140="Stage 3",5,IF(BB140="Stage 4",-5,0))))</f>
        <v/>
      </c>
      <c r="BD140" s="30" t="inlineStr">
        <is>
          <t>Negative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Less than 12%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No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Between 0.7 to 1.2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IF(B141=0,"",RANK(B141,$B$2:$B$400,0))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ALIVUS</t>
        </is>
      </c>
      <c r="D141" s="30" t="inlineStr">
        <is>
          <t>Alivus Life Sciences Ltd</t>
        </is>
      </c>
      <c r="E141" s="30" t="inlineStr">
        <is>
          <t>healthcare</t>
        </is>
      </c>
      <c r="F141" s="30" t="inlineStr">
        <is>
          <t>pharmaceuticals - indian - bulk drugs &amp; formln</t>
        </is>
      </c>
      <c r="G141" s="30" t="inlineStr">
        <is>
          <t>midcap</t>
        </is>
      </c>
      <c r="H141" s="31" t="n">
        <v>16321.48</v>
      </c>
      <c r="I141" s="31" t="n">
        <v>1374.5</v>
      </c>
      <c r="J141" s="31" t="n">
        <v>3.36</v>
      </c>
      <c r="K141" s="31" t="n">
        <v>342677</v>
      </c>
      <c r="L141" s="30" t="n">
        <v>62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76.02</v>
      </c>
      <c r="P141" s="31" t="n">
        <v>39.61</v>
      </c>
      <c r="Q141" s="31" t="inlineStr"/>
      <c r="R141" s="30" t="inlineStr">
        <is>
          <t>Earnings / Momentum Support</t>
        </is>
      </c>
      <c r="S141" s="30" t="inlineStr">
        <is>
          <t>Nifty Pharma</t>
        </is>
      </c>
      <c r="T141" s="31" t="n">
        <v>24.01</v>
      </c>
      <c r="U141" s="31" t="n">
        <v>43.01</v>
      </c>
      <c r="V141" s="31" t="n">
        <v>15.32</v>
      </c>
      <c r="W141" s="31" t="n">
        <v>11.55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Yes</t>
        </is>
      </c>
      <c r="AC141" s="30">
        <f>IF(AB141="No",5,0)</f>
        <v/>
      </c>
      <c r="AD141" s="30" t="inlineStr">
        <is>
          <t>Headwind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No</t>
        </is>
      </c>
      <c r="AQ141" s="30">
        <f>IF(AP141="Yes",10,0)</f>
        <v/>
      </c>
      <c r="AR141" s="30" t="inlineStr">
        <is>
          <t>Higher Annuity, Lower One Time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Above 75</t>
        </is>
      </c>
      <c r="BA141" s="30">
        <f>IF(AZ141="Between 50 to 75",10,IF(AZ141="Above 75",0,0))</f>
        <v/>
      </c>
      <c r="BB141" s="30" t="inlineStr">
        <is>
          <t>Stage 3</t>
        </is>
      </c>
      <c r="BC141" s="30">
        <f>IF(BB141="Stage 2",20,IF(BB141="Stage 1",0,IF(BB141="Stage 3",5,IF(BB141="Stage 4",-5,0))))</f>
        <v/>
      </c>
      <c r="BD141" s="30" t="inlineStr">
        <is>
          <t>Negative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Less than 1.5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IF(B142=0,"",RANK(B142,$B$2:$B$400,0))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TANLA</t>
        </is>
      </c>
      <c r="D142" s="30" t="inlineStr">
        <is>
          <t>Tanla Solutions Limited</t>
        </is>
      </c>
      <c r="E142" s="30" t="inlineStr">
        <is>
          <t>i.t</t>
        </is>
      </c>
      <c r="F142" s="30" t="inlineStr">
        <is>
          <t>computers - software - medium / small</t>
        </is>
      </c>
      <c r="G142" s="30" t="inlineStr">
        <is>
          <t>midcap</t>
        </is>
      </c>
      <c r="H142" s="31" t="n">
        <v>8136.74</v>
      </c>
      <c r="I142" s="31" t="n">
        <v>632.1</v>
      </c>
      <c r="J142" s="31" t="n">
        <v>3.02</v>
      </c>
      <c r="K142" s="31" t="n">
        <v>1163643</v>
      </c>
      <c r="L142" s="30" t="n">
        <v>27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65.62</v>
      </c>
      <c r="P142" s="31" t="n">
        <v>18.67</v>
      </c>
      <c r="Q142" s="31" t="inlineStr"/>
      <c r="R142" s="30" t="inlineStr">
        <is>
          <t>Earnings / Momentum Support</t>
        </is>
      </c>
      <c r="S142" s="30" t="inlineStr">
        <is>
          <t>Nifty IT</t>
        </is>
      </c>
      <c r="T142" s="31" t="n">
        <v>-8.289999999999999</v>
      </c>
      <c r="U142" s="31" t="n">
        <v>1.32</v>
      </c>
      <c r="V142" s="31" t="n">
        <v>10.48</v>
      </c>
      <c r="W142" s="31" t="n">
        <v>2.95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Headwind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No</t>
        </is>
      </c>
      <c r="AQ142" s="30">
        <f>IF(AP142="Yes",10,0)</f>
        <v/>
      </c>
      <c r="AR142" s="30" t="inlineStr">
        <is>
          <t>Higher Annuity, Lower One Time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0 to 20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3</t>
        </is>
      </c>
      <c r="BC142" s="30">
        <f>IF(BB142="Stage 2",20,IF(BB142="Stage 1",0,IF(BB142="Stage 3",5,IF(BB142="Stage 4",-5,0))))</f>
        <v/>
      </c>
      <c r="BD142" s="30" t="inlineStr">
        <is>
          <t>Negative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Less than 1.5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IF(B143=0,"",RANK(B143,$B$2:$B$400,0))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SUBEXLTD</t>
        </is>
      </c>
      <c r="D143" s="30" t="inlineStr">
        <is>
          <t>Subex Ltd</t>
        </is>
      </c>
      <c r="E143" s="30" t="inlineStr">
        <is>
          <t>i.t</t>
        </is>
      </c>
      <c r="F143" s="30" t="inlineStr">
        <is>
          <t>computers - software - medium / small</t>
        </is>
      </c>
      <c r="G143" s="30" t="inlineStr">
        <is>
          <t>smallcap</t>
        </is>
      </c>
      <c r="H143" s="31" t="n">
        <v>772.1900000000001</v>
      </c>
      <c r="I143" s="31" t="n">
        <v>14.14</v>
      </c>
      <c r="J143" s="31" t="n">
        <v>2.91</v>
      </c>
      <c r="K143" s="31" t="n">
        <v>1379623</v>
      </c>
      <c r="L143" s="30" t="n">
        <v>46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62.35</v>
      </c>
      <c r="P143" s="31" t="n">
        <v>24.57</v>
      </c>
      <c r="Q143" s="31" t="inlineStr"/>
      <c r="R143" s="30" t="inlineStr">
        <is>
          <t>Earnings / Momentum Support</t>
        </is>
      </c>
      <c r="S143" s="30" t="inlineStr">
        <is>
          <t>Nifty IT</t>
        </is>
      </c>
      <c r="T143" s="31" t="n">
        <v>-8.289999999999999</v>
      </c>
      <c r="U143" s="31" t="n">
        <v>11.17</v>
      </c>
      <c r="V143" s="31" t="n">
        <v>21.21</v>
      </c>
      <c r="W143" s="31" t="n">
        <v>7.04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Headwind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No</t>
        </is>
      </c>
      <c r="AQ143" s="30">
        <f>IF(AP143="Yes",10,0)</f>
        <v/>
      </c>
      <c r="AR143" s="30" t="inlineStr">
        <is>
          <t>Higher Annuity, Lower One Time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3</t>
        </is>
      </c>
      <c r="BC143" s="30">
        <f>IF(BB143="Stage 2",20,IF(BB143="Stage 1",0,IF(BB143="Stage 3",5,IF(BB143="Stage 4",-5,0))))</f>
        <v/>
      </c>
      <c r="BD143" s="30" t="inlineStr">
        <is>
          <t>Negative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Between 12 to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No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IF(B144=0,"",RANK(B144,$B$2:$B$400,0))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DBOL</t>
        </is>
      </c>
      <c r="D144" s="30" t="inlineStr">
        <is>
          <t>Dhampur Bio Organics Ltd</t>
        </is>
      </c>
      <c r="E144" s="30" t="inlineStr">
        <is>
          <t>fmcg</t>
        </is>
      </c>
      <c r="F144" s="30" t="inlineStr">
        <is>
          <t>sugar</t>
        </is>
      </c>
      <c r="G144" s="30" t="inlineStr">
        <is>
          <t>smallcap</t>
        </is>
      </c>
      <c r="H144" s="31" t="n">
        <v>754.83</v>
      </c>
      <c r="I144" s="31" t="n">
        <v>116.6</v>
      </c>
      <c r="J144" s="31" t="n">
        <v>2.55</v>
      </c>
      <c r="K144" s="31" t="n">
        <v>279083</v>
      </c>
      <c r="L144" s="30" t="n">
        <v>34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56.81</v>
      </c>
      <c r="P144" s="31" t="n">
        <v>33.94</v>
      </c>
      <c r="Q144" s="31" t="inlineStr"/>
      <c r="R144" s="30" t="inlineStr">
        <is>
          <t>Earnings / Momentum Support</t>
        </is>
      </c>
      <c r="S144" s="30" t="inlineStr">
        <is>
          <t>Nifty FMCG</t>
        </is>
      </c>
      <c r="T144" s="31" t="n">
        <v>-13.73</v>
      </c>
      <c r="U144" s="31" t="n">
        <v>9.539999999999999</v>
      </c>
      <c r="V144" s="31" t="n">
        <v>26.97</v>
      </c>
      <c r="W144" s="31" t="n">
        <v>4.56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Headwind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B2C</t>
        </is>
      </c>
      <c r="AO144" s="30">
        <f>IF(AN144="B2C",10,IF(AN144="B2B",5,0))</f>
        <v/>
      </c>
      <c r="AP144" s="30" t="inlineStr">
        <is>
          <t>No</t>
        </is>
      </c>
      <c r="AQ144" s="30">
        <f>IF(AP144="Yes",10,0)</f>
        <v/>
      </c>
      <c r="AR144" s="30" t="inlineStr">
        <is>
          <t>Higher Annuity, Lower One Time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3</t>
        </is>
      </c>
      <c r="BC144" s="30">
        <f>IF(BB144="Stage 2",20,IF(BB144="Stage 1",0,IF(BB144="Stage 3",5,IF(BB144="Stage 4",-5,0))))</f>
        <v/>
      </c>
      <c r="BD144" s="30" t="inlineStr">
        <is>
          <t>Negative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Between 0.7 to 1.2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IF(B145=0,"",RANK(B145,$B$2:$B$400,0))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2" t="inlineStr">
        <is>
          <t>CAPLIPOINT</t>
        </is>
      </c>
      <c r="D145" s="32" t="inlineStr">
        <is>
          <t>Caplin Point Laboratories Limited</t>
        </is>
      </c>
      <c r="E145" s="30" t="inlineStr">
        <is>
          <t>healthcare</t>
        </is>
      </c>
      <c r="F145" s="30" t="inlineStr">
        <is>
          <t>pharmaceuticals - indian - formulations</t>
        </is>
      </c>
      <c r="G145" s="30" t="inlineStr">
        <is>
          <t>midcap</t>
        </is>
      </c>
      <c r="H145" s="31" t="n">
        <v>19566.17</v>
      </c>
      <c r="I145" s="31" t="n">
        <v>2623.8</v>
      </c>
      <c r="J145" s="31" t="n">
        <v>1.93</v>
      </c>
      <c r="K145" s="31" t="n">
        <v>128453</v>
      </c>
      <c r="L145" s="30" t="n">
        <v>67</v>
      </c>
      <c r="M145" s="30" t="inlineStr">
        <is>
          <t>Underperforming</t>
        </is>
      </c>
      <c r="N145" s="31">
        <f>IF(M145="Underperforming",-5,IF(L145&gt;=95,15,IF(L145&gt;=90,10,IF(L145&gt;=80,5,0))))</f>
        <v/>
      </c>
      <c r="O145" s="31" t="n">
        <v>72.43000000000001</v>
      </c>
      <c r="P145" s="31" t="n">
        <v>42.48</v>
      </c>
      <c r="Q145" s="31" t="inlineStr"/>
      <c r="R145" s="30" t="inlineStr">
        <is>
          <t>Earnings / Momentum Support</t>
        </is>
      </c>
      <c r="S145" s="30" t="inlineStr">
        <is>
          <t>Nifty Pharma</t>
        </is>
      </c>
      <c r="T145" s="31" t="n">
        <v>24.01</v>
      </c>
      <c r="U145" s="31" t="n">
        <v>22.34</v>
      </c>
      <c r="V145" s="31" t="n">
        <v>-1.35</v>
      </c>
      <c r="W145" s="31" t="n">
        <v>13.14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Yes</t>
        </is>
      </c>
      <c r="AC145" s="30">
        <f>IF(AB145="No",5,0)</f>
        <v/>
      </c>
      <c r="AD145" s="30" t="inlineStr">
        <is>
          <t>Headwind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No</t>
        </is>
      </c>
      <c r="AQ145" s="30">
        <f>IF(AP145="Yes",10,0)</f>
        <v/>
      </c>
      <c r="AR145" s="30" t="inlineStr">
        <is>
          <t>Higher Annuity, Lower One Time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Above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3</t>
        </is>
      </c>
      <c r="BC145" s="30">
        <f>IF(BB145="Stage 2",20,IF(BB145="Stage 1",0,IF(BB145="Stage 3",5,IF(BB145="Stage 4",-5,0))))</f>
        <v/>
      </c>
      <c r="BD145" s="30" t="inlineStr">
        <is>
          <t>Negative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Between 12 to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No</t>
        </is>
      </c>
      <c r="BS145" s="30">
        <f>IF(BR145="NO",5,0)</f>
        <v/>
      </c>
      <c r="BT145" s="30" t="inlineStr">
        <is>
          <t>Between 1.5 to 2</t>
        </is>
      </c>
      <c r="BU145" s="30">
        <f>IF(BT145="Above 2",0,IF(BT145="Between 1.5 to 2",5,IF(BT145="Less than 1.5",10,0)))</f>
        <v/>
      </c>
      <c r="BV145" s="30" t="inlineStr">
        <is>
          <t>Between 50% to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IF(B146=0,"",RANK(B146,$B$2:$B$400,0))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COFORGE</t>
        </is>
      </c>
      <c r="D146" s="30" t="inlineStr">
        <is>
          <t>Coforge (Niit Tech) Ltd</t>
        </is>
      </c>
      <c r="E146" s="30" t="inlineStr">
        <is>
          <t>i.t</t>
        </is>
      </c>
      <c r="F146" s="30" t="inlineStr">
        <is>
          <t>computers - software - large</t>
        </is>
      </c>
      <c r="G146" s="30" t="inlineStr">
        <is>
          <t>largecap</t>
        </is>
      </c>
      <c r="H146" s="31" t="n">
        <v>78621.89</v>
      </c>
      <c r="I146" s="31" t="n">
        <v>1810</v>
      </c>
      <c r="J146" s="31" t="n">
        <v>1.91</v>
      </c>
      <c r="K146" s="31" t="n">
        <v>5238081</v>
      </c>
      <c r="L146" s="30" t="n">
        <v>56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66.70999999999999</v>
      </c>
      <c r="P146" s="31" t="n">
        <v>11.14</v>
      </c>
      <c r="Q146" s="31" t="inlineStr"/>
      <c r="R146" s="30" t="inlineStr">
        <is>
          <t>Earnings / Momentum Support</t>
        </is>
      </c>
      <c r="S146" s="30" t="inlineStr">
        <is>
          <t>Nifty IT</t>
        </is>
      </c>
      <c r="T146" s="31" t="n">
        <v>-8.289999999999999</v>
      </c>
      <c r="U146" s="31" t="n">
        <v>11.55</v>
      </c>
      <c r="V146" s="31" t="n">
        <v>21.63</v>
      </c>
      <c r="W146" s="31" t="n">
        <v>9.380000000000001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Headwind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No</t>
        </is>
      </c>
      <c r="AQ146" s="30">
        <f>IF(AP146="Yes",10,0)</f>
        <v/>
      </c>
      <c r="AR146" s="30" t="inlineStr">
        <is>
          <t>Higher Annuity, Lower One Time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0 to 20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3</t>
        </is>
      </c>
      <c r="BC146" s="30">
        <f>IF(BB146="Stage 2",20,IF(BB146="Stage 1",0,IF(BB146="Stage 3",5,IF(BB146="Stage 4",-5,0))))</f>
        <v/>
      </c>
      <c r="BD146" s="30" t="inlineStr">
        <is>
          <t>Negative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IF(B147=0,"",RANK(B147,$B$2:$B$400,0))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HNDFDS</t>
        </is>
      </c>
      <c r="D147" s="30" t="inlineStr">
        <is>
          <t>Hindustan Foods Ltd</t>
        </is>
      </c>
      <c r="E147" s="30" t="inlineStr">
        <is>
          <t>fmcg</t>
        </is>
      </c>
      <c r="F147" s="30" t="inlineStr">
        <is>
          <t>diversified - large</t>
        </is>
      </c>
      <c r="G147" s="30" t="inlineStr">
        <is>
          <t>midcap</t>
        </is>
      </c>
      <c r="H147" s="31" t="n">
        <v>6981.39</v>
      </c>
      <c r="I147" s="31" t="n">
        <v>586</v>
      </c>
      <c r="J147" s="31" t="n">
        <v>1.7</v>
      </c>
      <c r="K147" s="31" t="n">
        <v>74737</v>
      </c>
      <c r="L147" s="30" t="n">
        <v>21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62.53</v>
      </c>
      <c r="P147" s="31" t="n">
        <v>35.25</v>
      </c>
      <c r="Q147" s="31" t="inlineStr"/>
      <c r="R147" s="30" t="inlineStr">
        <is>
          <t>Earnings / Momentum Support</t>
        </is>
      </c>
      <c r="S147" s="30" t="inlineStr">
        <is>
          <t>Nifty FMCG</t>
        </is>
      </c>
      <c r="T147" s="31" t="n">
        <v>-13.73</v>
      </c>
      <c r="U147" s="31" t="n">
        <v>-1.7</v>
      </c>
      <c r="V147" s="31" t="n">
        <v>13.95</v>
      </c>
      <c r="W147" s="31" t="n">
        <v>1.82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Headwind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B2C</t>
        </is>
      </c>
      <c r="AO147" s="30">
        <f>IF(AN147="B2C",10,IF(AN147="B2B",5,0))</f>
        <v/>
      </c>
      <c r="AP147" s="30" t="inlineStr">
        <is>
          <t>No</t>
        </is>
      </c>
      <c r="AQ147" s="30">
        <f>IF(AP147="Yes",10,0)</f>
        <v/>
      </c>
      <c r="AR147" s="30" t="inlineStr">
        <is>
          <t>Higher Annuity, Lower One Time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3</t>
        </is>
      </c>
      <c r="BC147" s="30">
        <f>IF(BB147="Stage 2",20,IF(BB147="Stage 1",0,IF(BB147="Stage 3",5,IF(BB147="Stage 4",-5,0))))</f>
        <v/>
      </c>
      <c r="BD147" s="30" t="inlineStr">
        <is>
          <t>Negative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Between 1.5 to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Between 0.7 to 1.2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IF(B148=0,"",RANK(B148,$B$2:$B$400,0))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2" t="inlineStr">
        <is>
          <t>LALPATHLAB</t>
        </is>
      </c>
      <c r="D148" s="32" t="inlineStr">
        <is>
          <t>Dr. Lal Path Labs Ltd.</t>
        </is>
      </c>
      <c r="E148" s="30" t="inlineStr">
        <is>
          <t>healthcare</t>
        </is>
      </c>
      <c r="F148" s="30" t="inlineStr">
        <is>
          <t>healthcare</t>
        </is>
      </c>
      <c r="G148" s="30" t="inlineStr">
        <is>
          <t>largecap</t>
        </is>
      </c>
      <c r="H148" s="31" t="n">
        <v>32380.91</v>
      </c>
      <c r="I148" s="31" t="n">
        <v>1954</v>
      </c>
      <c r="J148" s="31" t="n">
        <v>1.16</v>
      </c>
      <c r="K148" s="31" t="n">
        <v>290743</v>
      </c>
      <c r="L148" s="30" t="n">
        <v>50</v>
      </c>
      <c r="M148" s="30" t="inlineStr">
        <is>
          <t>Underperforming</t>
        </is>
      </c>
      <c r="N148" s="31">
        <f>IF(M148="Underperforming",-5,IF(L148&gt;=95,15,IF(L148&gt;=90,10,IF(L148&gt;=80,5,0))))</f>
        <v/>
      </c>
      <c r="O148" s="31" t="n">
        <v>74.69</v>
      </c>
      <c r="P148" s="31" t="n">
        <v>41.76</v>
      </c>
      <c r="Q148" s="31" t="inlineStr"/>
      <c r="R148" s="30" t="inlineStr">
        <is>
          <t>Earnings / Momentum Support</t>
        </is>
      </c>
      <c r="S148" s="30" t="inlineStr">
        <is>
          <t>Nifty Pharma</t>
        </is>
      </c>
      <c r="T148" s="31" t="n">
        <v>24.01</v>
      </c>
      <c r="U148" s="31" t="n">
        <v>22.29</v>
      </c>
      <c r="V148" s="31" t="n">
        <v>-1.39</v>
      </c>
      <c r="W148" s="31" t="n">
        <v>8.08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Yes</t>
        </is>
      </c>
      <c r="AC148" s="30">
        <f>IF(AB148="No",5,0)</f>
        <v/>
      </c>
      <c r="AD148" s="30" t="inlineStr">
        <is>
          <t>Headwind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No</t>
        </is>
      </c>
      <c r="AQ148" s="30">
        <f>IF(AP148="Yes",10,0)</f>
        <v/>
      </c>
      <c r="AR148" s="30" t="inlineStr">
        <is>
          <t>Higher Annuity, Lower One Time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Above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3</t>
        </is>
      </c>
      <c r="BC148" s="30">
        <f>IF(BB148="Stage 2",20,IF(BB148="Stage 1",0,IF(BB148="Stage 3",5,IF(BB148="Stage 4",-5,0))))</f>
        <v/>
      </c>
      <c r="BD148" s="30" t="inlineStr">
        <is>
          <t>Negative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IF(B149=0,"",RANK(B149,$B$2:$B$400,0))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TECHM</t>
        </is>
      </c>
      <c r="D149" s="30" t="inlineStr">
        <is>
          <t>Tech Mahindra Limited</t>
        </is>
      </c>
      <c r="E149" s="30" t="inlineStr">
        <is>
          <t>i.t</t>
        </is>
      </c>
      <c r="F149" s="30" t="inlineStr">
        <is>
          <t>computers - software - large</t>
        </is>
      </c>
      <c r="G149" s="30" t="inlineStr">
        <is>
          <t>largecap</t>
        </is>
      </c>
      <c r="H149" s="31" t="n">
        <v>160239.48</v>
      </c>
      <c r="I149" s="31" t="n">
        <v>1640</v>
      </c>
      <c r="J149" s="31" t="n">
        <v>0.31</v>
      </c>
      <c r="K149" s="31" t="n">
        <v>5521427</v>
      </c>
      <c r="L149" s="30" t="n">
        <v>43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63.42</v>
      </c>
      <c r="P149" s="31" t="n">
        <v>15.9</v>
      </c>
      <c r="Q149" s="31" t="inlineStr"/>
      <c r="R149" s="30" t="inlineStr">
        <is>
          <t>Earnings / Momentum Support</t>
        </is>
      </c>
      <c r="S149" s="30" t="inlineStr">
        <is>
          <t>Nifty IT</t>
        </is>
      </c>
      <c r="T149" s="31" t="n">
        <v>-8.289999999999999</v>
      </c>
      <c r="U149" s="31" t="n">
        <v>14.5</v>
      </c>
      <c r="V149" s="31" t="n">
        <v>24.85</v>
      </c>
      <c r="W149" s="31" t="n">
        <v>6.22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Headwind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No</t>
        </is>
      </c>
      <c r="AQ149" s="30">
        <f>IF(AP149="Yes",10,0)</f>
        <v/>
      </c>
      <c r="AR149" s="30" t="inlineStr">
        <is>
          <t>Higher Annuity, Lower One Time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0 to 20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3</t>
        </is>
      </c>
      <c r="BC149" s="30">
        <f>IF(BB149="Stage 2",20,IF(BB149="Stage 1",0,IF(BB149="Stage 3",5,IF(BB149="Stage 4",-5,0))))</f>
        <v/>
      </c>
      <c r="BD149" s="30" t="inlineStr">
        <is>
          <t>Negative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Less than 1.5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IF(B150=0,"",RANK(B150,$B$2:$B$400,0))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HTMEDIA</t>
        </is>
      </c>
      <c r="D150" s="30" t="inlineStr">
        <is>
          <t>Ht Media Limited</t>
        </is>
      </c>
      <c r="E150" s="30" t="inlineStr">
        <is>
          <t>media</t>
        </is>
      </c>
      <c r="F150" s="30" t="inlineStr">
        <is>
          <t>entertainment / electronic media software</t>
        </is>
      </c>
      <c r="G150" s="30" t="inlineStr">
        <is>
          <t>smallcap</t>
        </is>
      </c>
      <c r="H150" s="31" t="n">
        <v>645.71</v>
      </c>
      <c r="I150" s="31" t="n">
        <v>27.66</v>
      </c>
      <c r="J150" s="31" t="n">
        <v>-0.29</v>
      </c>
      <c r="K150" s="31" t="n">
        <v>299011</v>
      </c>
      <c r="L150" s="30" t="n">
        <v>51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66.13</v>
      </c>
      <c r="P150" s="31" t="n">
        <v>20.3</v>
      </c>
      <c r="Q150" s="31" t="inlineStr"/>
      <c r="R150" s="30" t="inlineStr">
        <is>
          <t>Earnings / Momentum Support</t>
        </is>
      </c>
      <c r="S150" s="30" t="inlineStr">
        <is>
          <t>Nifty IT</t>
        </is>
      </c>
      <c r="T150" s="31" t="n">
        <v>-8.289999999999999</v>
      </c>
      <c r="U150" s="31" t="n">
        <v>13.6</v>
      </c>
      <c r="V150" s="31" t="n">
        <v>23.86</v>
      </c>
      <c r="W150" s="31" t="n">
        <v>8.199999999999999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Headwind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No</t>
        </is>
      </c>
      <c r="AQ150" s="30">
        <f>IF(AP150="Yes",10,0)</f>
        <v/>
      </c>
      <c r="AR150" s="30" t="inlineStr">
        <is>
          <t>Higher Annuity, Lower One Time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3</t>
        </is>
      </c>
      <c r="BC150" s="30">
        <f>IF(BB150="Stage 2",20,IF(BB150="Stage 1",0,IF(BB150="Stage 3",5,IF(BB150="Stage 4",-5,0))))</f>
        <v/>
      </c>
      <c r="BD150" s="30" t="inlineStr">
        <is>
          <t>Negative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IF(B151=0,"",RANK(B151,$B$2:$B$400,0))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2" t="inlineStr">
        <is>
          <t>KILITCH</t>
        </is>
      </c>
      <c r="D151" s="32" t="inlineStr">
        <is>
          <t>Kilitch Drugs (india) Limited</t>
        </is>
      </c>
      <c r="E151" s="30" t="inlineStr">
        <is>
          <t>healthcare</t>
        </is>
      </c>
      <c r="F151" s="30" t="inlineStr">
        <is>
          <t>pharmaceuticals - indian - formulations</t>
        </is>
      </c>
      <c r="G151" s="30" t="inlineStr">
        <is>
          <t>smallcap</t>
        </is>
      </c>
      <c r="H151" s="31" t="n">
        <v>676.58</v>
      </c>
      <c r="I151" s="31" t="n">
        <v>191.9</v>
      </c>
      <c r="J151" s="31" t="n">
        <v>-0.84</v>
      </c>
      <c r="K151" s="31" t="n">
        <v>14308</v>
      </c>
      <c r="L151" s="30" t="n">
        <v>22</v>
      </c>
      <c r="M151" s="30" t="inlineStr">
        <is>
          <t>Underperforming</t>
        </is>
      </c>
      <c r="N151" s="31">
        <f>IF(M151="Underperforming",-5,IF(L151&gt;=95,15,IF(L151&gt;=90,10,IF(L151&gt;=80,5,0))))</f>
        <v/>
      </c>
      <c r="O151" s="31" t="n">
        <v>60.79</v>
      </c>
      <c r="P151" s="31" t="n">
        <v>30.57</v>
      </c>
      <c r="Q151" s="31" t="inlineStr"/>
      <c r="R151" s="30" t="inlineStr">
        <is>
          <t>Earnings / Momentum Support</t>
        </is>
      </c>
      <c r="S151" s="30" t="inlineStr">
        <is>
          <t>Nifty Pharma</t>
        </is>
      </c>
      <c r="T151" s="31" t="n">
        <v>24.01</v>
      </c>
      <c r="U151" s="31" t="n">
        <v>-13.76</v>
      </c>
      <c r="V151" s="31" t="n">
        <v>-30.46</v>
      </c>
      <c r="W151" s="31" t="n">
        <v>2.02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Yes</t>
        </is>
      </c>
      <c r="AC151" s="30">
        <f>IF(AB151="No",5,0)</f>
        <v/>
      </c>
      <c r="AD151" s="30" t="inlineStr">
        <is>
          <t>Headwind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No</t>
        </is>
      </c>
      <c r="AQ151" s="30">
        <f>IF(AP151="Yes",10,0)</f>
        <v/>
      </c>
      <c r="AR151" s="30" t="inlineStr">
        <is>
          <t>Higher Annuity, Lower One Time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3</t>
        </is>
      </c>
      <c r="BC151" s="30">
        <f>IF(BB151="Stage 2",20,IF(BB151="Stage 1",0,IF(BB151="Stage 3",5,IF(BB151="Stage 4",-5,0))))</f>
        <v/>
      </c>
      <c r="BD151" s="30" t="inlineStr">
        <is>
          <t>Negative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Less than 1.5</t>
        </is>
      </c>
      <c r="BU151" s="30">
        <f>IF(BT151="Above 2",0,IF(BT151="Between 1.5 to 2",5,IF(BT151="Less than 1.5",10,0)))</f>
        <v/>
      </c>
      <c r="BV151" s="30" t="inlineStr">
        <is>
          <t>Between 50% to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IF(B152=0,"",RANK(B152,$B$2:$B$400,0))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2" t="inlineStr">
        <is>
          <t>LTFOODS</t>
        </is>
      </c>
      <c r="D152" s="32" t="inlineStr">
        <is>
          <t>L T Foods Ltd</t>
        </is>
      </c>
      <c r="E152" s="30" t="inlineStr">
        <is>
          <t>fmcg</t>
        </is>
      </c>
      <c r="F152" s="30" t="inlineStr">
        <is>
          <t>food - processing - indian</t>
        </is>
      </c>
      <c r="G152" s="30" t="inlineStr">
        <is>
          <t>midcap</t>
        </is>
      </c>
      <c r="H152" s="31" t="n">
        <v>14846.8</v>
      </c>
      <c r="I152" s="31" t="n">
        <v>422.75</v>
      </c>
      <c r="J152" s="31" t="n">
        <v>-1.12</v>
      </c>
      <c r="K152" s="31" t="n">
        <v>246076</v>
      </c>
      <c r="L152" s="30" t="n">
        <v>1</v>
      </c>
      <c r="M152" s="30" t="inlineStr">
        <is>
          <t>Underperforming</t>
        </is>
      </c>
      <c r="N152" s="31">
        <f>IF(M152="Underperforming",-5,IF(L152&gt;=95,15,IF(L152&gt;=90,10,IF(L152&gt;=80,5,0))))</f>
        <v/>
      </c>
      <c r="O152" s="31" t="n">
        <v>59.83</v>
      </c>
      <c r="P152" s="31" t="n">
        <v>14.68</v>
      </c>
      <c r="Q152" s="31" t="inlineStr"/>
      <c r="R152" s="30" t="inlineStr">
        <is>
          <t>Earnings / Momentum Support</t>
        </is>
      </c>
      <c r="S152" s="30" t="inlineStr">
        <is>
          <t>Nifty FMCG</t>
        </is>
      </c>
      <c r="T152" s="31" t="n">
        <v>-13.73</v>
      </c>
      <c r="U152" s="31" t="n">
        <v>-23.43</v>
      </c>
      <c r="V152" s="31" t="n">
        <v>-11.25</v>
      </c>
      <c r="W152" s="31" t="n">
        <v>-6.38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Headwind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B2C</t>
        </is>
      </c>
      <c r="AO152" s="30">
        <f>IF(AN152="B2C",10,IF(AN152="B2B",5,0))</f>
        <v/>
      </c>
      <c r="AP152" s="30" t="inlineStr">
        <is>
          <t>No</t>
        </is>
      </c>
      <c r="AQ152" s="30">
        <f>IF(AP152="Yes",10,0)</f>
        <v/>
      </c>
      <c r="AR152" s="30" t="inlineStr">
        <is>
          <t>Higher Annuity, Lower One Time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0 to 20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3</t>
        </is>
      </c>
      <c r="BC152" s="30">
        <f>IF(BB152="Stage 2",20,IF(BB152="Stage 1",0,IF(BB152="Stage 3",5,IF(BB152="Stage 4",-5,0))))</f>
        <v/>
      </c>
      <c r="BD152" s="30" t="inlineStr">
        <is>
          <t>Negative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IF(B153=0,"",RANK(B153,$B$2:$B$400,0))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VIYASH</t>
        </is>
      </c>
      <c r="D153" s="30" t="inlineStr">
        <is>
          <t>Viyash Scientific Ltd</t>
        </is>
      </c>
      <c r="E153" s="30" t="inlineStr">
        <is>
          <t>healthcare</t>
        </is>
      </c>
      <c r="F153" s="30" t="inlineStr">
        <is>
          <t>pharmaceuticals - indian - bulk drugs &amp; formln</t>
        </is>
      </c>
      <c r="G153" s="30" t="inlineStr">
        <is>
          <t>midcap</t>
        </is>
      </c>
      <c r="H153" s="31" t="n">
        <v>12101.45</v>
      </c>
      <c r="I153" s="31" t="n">
        <v>273.65</v>
      </c>
      <c r="J153" s="31" t="n">
        <v>-1.21</v>
      </c>
      <c r="K153" s="31" t="n">
        <v>1999611</v>
      </c>
      <c r="L153" s="30" t="n">
        <v>76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63.01</v>
      </c>
      <c r="P153" s="31" t="n">
        <v>48.18</v>
      </c>
      <c r="Q153" s="31" t="inlineStr"/>
      <c r="R153" s="30" t="inlineStr">
        <is>
          <t>Earnings / Momentum Support</t>
        </is>
      </c>
      <c r="S153" s="30" t="inlineStr">
        <is>
          <t>Nifty Pharma</t>
        </is>
      </c>
      <c r="T153" s="31" t="n">
        <v>24.01</v>
      </c>
      <c r="U153" s="31" t="n">
        <v>64.84</v>
      </c>
      <c r="V153" s="31" t="n">
        <v>32.92</v>
      </c>
      <c r="W153" s="31" t="n">
        <v>16.58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Yes</t>
        </is>
      </c>
      <c r="AC153" s="30">
        <f>IF(AB153="No",5,0)</f>
        <v/>
      </c>
      <c r="AD153" s="30" t="inlineStr">
        <is>
          <t>Headwind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No</t>
        </is>
      </c>
      <c r="AQ153" s="30">
        <f>IF(AP153="Yes",10,0)</f>
        <v/>
      </c>
      <c r="AR153" s="30" t="inlineStr">
        <is>
          <t>Higher Annuity, Lower One Time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Above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3</t>
        </is>
      </c>
      <c r="BC153" s="30">
        <f>IF(BB153="Stage 2",20,IF(BB153="Stage 1",0,IF(BB153="Stage 3",5,IF(BB153="Stage 4",-5,0))))</f>
        <v/>
      </c>
      <c r="BD153" s="30" t="inlineStr">
        <is>
          <t>Negative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Between 50% to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IF(B154=0,"",RANK(B154,$B$2:$B$400,0))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DIAMONDYD</t>
        </is>
      </c>
      <c r="D154" s="30" t="inlineStr">
        <is>
          <t>Prataap Snacks Ltd</t>
        </is>
      </c>
      <c r="E154" s="30" t="inlineStr">
        <is>
          <t>fmcg</t>
        </is>
      </c>
      <c r="F154" s="30" t="inlineStr">
        <is>
          <t>food - processing - indian</t>
        </is>
      </c>
      <c r="G154" s="30" t="inlineStr">
        <is>
          <t>smallcap</t>
        </is>
      </c>
      <c r="H154" s="31" t="n">
        <v>2934.78</v>
      </c>
      <c r="I154" s="31" t="n">
        <v>1205</v>
      </c>
      <c r="J154" s="31" t="n">
        <v>-1.83</v>
      </c>
      <c r="K154" s="31" t="n">
        <v>56047</v>
      </c>
      <c r="L154" s="30" t="n">
        <v>45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63.34</v>
      </c>
      <c r="P154" s="31" t="n">
        <v>26.26</v>
      </c>
      <c r="Q154" s="31" t="inlineStr"/>
      <c r="R154" s="30" t="inlineStr">
        <is>
          <t>Earnings / Momentum Support</t>
        </is>
      </c>
      <c r="S154" s="30" t="inlineStr">
        <is>
          <t>Nifty FMCG</t>
        </is>
      </c>
      <c r="T154" s="31" t="n">
        <v>-13.73</v>
      </c>
      <c r="U154" s="31" t="n">
        <v>10.81</v>
      </c>
      <c r="V154" s="31" t="n">
        <v>28.45</v>
      </c>
      <c r="W154" s="31" t="n">
        <v>6.95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Headwind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B2C</t>
        </is>
      </c>
      <c r="AO154" s="30">
        <f>IF(AN154="B2C",10,IF(AN154="B2B",5,0))</f>
        <v/>
      </c>
      <c r="AP154" s="30" t="inlineStr">
        <is>
          <t>No</t>
        </is>
      </c>
      <c r="AQ154" s="30">
        <f>IF(AP154="Yes",10,0)</f>
        <v/>
      </c>
      <c r="AR154" s="30" t="inlineStr">
        <is>
          <t>Higher Annuity, Lower One Time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3</t>
        </is>
      </c>
      <c r="BC154" s="30">
        <f>IF(BB154="Stage 2",20,IF(BB154="Stage 1",0,IF(BB154="Stage 3",5,IF(BB154="Stage 4",-5,0))))</f>
        <v/>
      </c>
      <c r="BD154" s="30" t="inlineStr">
        <is>
          <t>Negative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Between 50% to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IF(B155=0,"",RANK(B155,$B$2:$B$400,0))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NEULANDLAB</t>
        </is>
      </c>
      <c r="D155" s="30" t="inlineStr">
        <is>
          <t>Neuland Laboratories Limited</t>
        </is>
      </c>
      <c r="E155" s="30" t="inlineStr">
        <is>
          <t>healthcare</t>
        </is>
      </c>
      <c r="F155" s="30" t="inlineStr">
        <is>
          <t>pharmaceuticals - indian - bulk drugs</t>
        </is>
      </c>
      <c r="G155" s="30" t="inlineStr">
        <is>
          <t>largecap</t>
        </is>
      </c>
      <c r="H155" s="31" t="n">
        <v>29322.71</v>
      </c>
      <c r="I155" s="31" t="n">
        <v>22216</v>
      </c>
      <c r="J155" s="31" t="n">
        <v>-2.8</v>
      </c>
      <c r="K155" s="31" t="n">
        <v>88428</v>
      </c>
      <c r="L155" s="30" t="n">
        <v>82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76.62</v>
      </c>
      <c r="P155" s="31" t="n">
        <v>52.39</v>
      </c>
      <c r="Q155" s="31" t="inlineStr"/>
      <c r="R155" s="30" t="inlineStr">
        <is>
          <t>Earnings / Momentum Support</t>
        </is>
      </c>
      <c r="S155" s="30" t="inlineStr">
        <is>
          <t>Nifty Pharma</t>
        </is>
      </c>
      <c r="T155" s="31" t="n">
        <v>24.01</v>
      </c>
      <c r="U155" s="31" t="n">
        <v>74.8</v>
      </c>
      <c r="V155" s="31" t="n">
        <v>40.95</v>
      </c>
      <c r="W155" s="31" t="n">
        <v>20.8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Yes</t>
        </is>
      </c>
      <c r="AC155" s="30">
        <f>IF(AB155="No",5,0)</f>
        <v/>
      </c>
      <c r="AD155" s="30" t="inlineStr">
        <is>
          <t>Headwind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No</t>
        </is>
      </c>
      <c r="AQ155" s="30">
        <f>IF(AP155="Yes",10,0)</f>
        <v/>
      </c>
      <c r="AR155" s="30" t="inlineStr">
        <is>
          <t>Higher Annuity, Lower One Time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Above 40</t>
        </is>
      </c>
      <c r="AY155" s="30">
        <f>IF(AX155="Above 40",20,IF(AX155="20 to 40",10,IF(AX155="0 to 20",-5,0)))</f>
        <v/>
      </c>
      <c r="AZ155" s="30" t="inlineStr">
        <is>
          <t>Above 75</t>
        </is>
      </c>
      <c r="BA155" s="30">
        <f>IF(AZ155="Between 50 to 75",10,IF(AZ155="Above 75",0,0))</f>
        <v/>
      </c>
      <c r="BB155" s="30" t="inlineStr">
        <is>
          <t>Stage 3</t>
        </is>
      </c>
      <c r="BC155" s="30">
        <f>IF(BB155="Stage 2",20,IF(BB155="Stage 1",0,IF(BB155="Stage 3",5,IF(BB155="Stage 4",-5,0))))</f>
        <v/>
      </c>
      <c r="BD155" s="30" t="inlineStr">
        <is>
          <t>Negative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IF(B156=0,"",RANK(B156,$B$2:$B$400,0))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MACPOWER</t>
        </is>
      </c>
      <c r="D156" s="30" t="inlineStr">
        <is>
          <t>Macpower CNC Machines Ltd</t>
        </is>
      </c>
      <c r="E156" s="30" t="inlineStr">
        <is>
          <t>industrials</t>
        </is>
      </c>
      <c r="F156" s="30" t="inlineStr">
        <is>
          <t>engineering</t>
        </is>
      </c>
      <c r="G156" s="30" t="inlineStr">
        <is>
          <t>smallcap</t>
        </is>
      </c>
      <c r="H156" s="31" t="n">
        <v>1681.8</v>
      </c>
      <c r="I156" s="31" t="n">
        <v>1824.3</v>
      </c>
      <c r="J156" s="31" t="n">
        <v>8.52</v>
      </c>
      <c r="K156" s="31" t="n">
        <v>138274</v>
      </c>
      <c r="L156" s="30" t="n">
        <v>89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73.51000000000001</v>
      </c>
      <c r="P156" s="31" t="n">
        <v>30.88</v>
      </c>
      <c r="Q156" s="31" t="inlineStr"/>
      <c r="R156" s="30" t="inlineStr">
        <is>
          <t>Earnings / Momentum Support</t>
        </is>
      </c>
      <c r="S156" s="30" t="inlineStr">
        <is>
          <t>Nifty 50</t>
        </is>
      </c>
      <c r="T156" s="31" t="n">
        <v>0.85</v>
      </c>
      <c r="U156" s="31" t="n">
        <v>105.66</v>
      </c>
      <c r="V156" s="31" t="n">
        <v>103.92</v>
      </c>
      <c r="W156" s="31" t="n">
        <v>24.91</v>
      </c>
      <c r="X156" s="30" t="inlineStr">
        <is>
          <t>Cyclical in an Upturn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Headwind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No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3</t>
        </is>
      </c>
      <c r="BC156" s="30">
        <f>IF(BB156="Stage 2",20,IF(BB156="Stage 1",0,IF(BB156="Stage 3",5,IF(BB156="Stage 4",-5,0))))</f>
        <v/>
      </c>
      <c r="BD156" s="30" t="inlineStr">
        <is>
          <t>Negative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Above 2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IF(B157=0,"",RANK(B157,$B$2:$B$400,0))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2" t="inlineStr">
        <is>
          <t>POLYPLEX</t>
        </is>
      </c>
      <c r="D157" s="32" t="inlineStr">
        <is>
          <t>Polyplex Corporation Limited</t>
        </is>
      </c>
      <c r="E157" s="30" t="inlineStr">
        <is>
          <t>industrials</t>
        </is>
      </c>
      <c r="F157" s="30" t="inlineStr">
        <is>
          <t>packaging</t>
        </is>
      </c>
      <c r="G157" s="30" t="inlineStr">
        <is>
          <t>smallcap</t>
        </is>
      </c>
      <c r="H157" s="31" t="n">
        <v>3503.08</v>
      </c>
      <c r="I157" s="31" t="n">
        <v>1179.7</v>
      </c>
      <c r="J157" s="31" t="n">
        <v>5.72</v>
      </c>
      <c r="K157" s="31" t="n">
        <v>269422</v>
      </c>
      <c r="L157" s="30" t="n">
        <v>33</v>
      </c>
      <c r="M157" s="30" t="inlineStr">
        <is>
          <t>Underperforming</t>
        </is>
      </c>
      <c r="N157" s="31">
        <f>IF(M157="Underperforming",-5,IF(L157&gt;=95,15,IF(L157&gt;=90,10,IF(L157&gt;=80,5,0))))</f>
        <v/>
      </c>
      <c r="O157" s="31" t="n">
        <v>67.94</v>
      </c>
      <c r="P157" s="31" t="n">
        <v>47.92</v>
      </c>
      <c r="Q157" s="31" t="inlineStr"/>
      <c r="R157" s="30" t="inlineStr">
        <is>
          <t>Earnings / Momentum Support</t>
        </is>
      </c>
      <c r="S157" s="30" t="inlineStr">
        <is>
          <t>Nifty 50</t>
        </is>
      </c>
      <c r="T157" s="31" t="n">
        <v>0.85</v>
      </c>
      <c r="U157" s="31" t="n">
        <v>-0.63</v>
      </c>
      <c r="V157" s="31" t="n">
        <v>-1.47</v>
      </c>
      <c r="W157" s="31" t="n">
        <v>4.17</v>
      </c>
      <c r="X157" s="30" t="inlineStr">
        <is>
          <t>Cyclical in an Upturn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Headwind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No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Above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3</t>
        </is>
      </c>
      <c r="BC157" s="30">
        <f>IF(BB157="Stage 2",20,IF(BB157="Stage 1",0,IF(BB157="Stage 3",5,IF(BB157="Stage 4",-5,0))))</f>
        <v/>
      </c>
      <c r="BD157" s="30" t="inlineStr">
        <is>
          <t>Negative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IF(B158=0,"",RANK(B158,$B$2:$B$400,0))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SPECTRUM</t>
        </is>
      </c>
      <c r="D158" s="30" t="inlineStr">
        <is>
          <t>Spectrum Electrical Industries Ltd</t>
        </is>
      </c>
      <c r="E158" s="30" t="inlineStr">
        <is>
          <t>industrials</t>
        </is>
      </c>
      <c r="F158" s="30" t="inlineStr">
        <is>
          <t>electric equipment</t>
        </is>
      </c>
      <c r="G158" s="30" t="inlineStr">
        <is>
          <t>smallcap</t>
        </is>
      </c>
      <c r="H158" s="31" t="n">
        <v>3835.28</v>
      </c>
      <c r="I158" s="31" t="n">
        <v>2554</v>
      </c>
      <c r="J158" s="31" t="n">
        <v>4.64</v>
      </c>
      <c r="K158" s="31" t="n">
        <v>17112</v>
      </c>
      <c r="L158" s="30" t="n">
        <v>82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77.48999999999999</v>
      </c>
      <c r="P158" s="31" t="n">
        <v>58.16</v>
      </c>
      <c r="Q158" s="31" t="inlineStr"/>
      <c r="R158" s="30" t="inlineStr">
        <is>
          <t>Earnings / Momentum Support</t>
        </is>
      </c>
      <c r="S158" s="30" t="inlineStr">
        <is>
          <t>Nifty Infra</t>
        </is>
      </c>
      <c r="T158" s="31" t="n">
        <v>1.74</v>
      </c>
      <c r="U158" s="31" t="n">
        <v>26.67</v>
      </c>
      <c r="V158" s="31" t="n">
        <v>24.5</v>
      </c>
      <c r="W158" s="31" t="n">
        <v>20.59</v>
      </c>
      <c r="X158" s="30" t="inlineStr">
        <is>
          <t>Cyclical in an Upturn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Headwind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No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Above 40</t>
        </is>
      </c>
      <c r="AY158" s="30">
        <f>IF(AX158="Above 40",20,IF(AX158="20 to 40",10,IF(AX158="0 to 20",-5,0)))</f>
        <v/>
      </c>
      <c r="AZ158" s="30" t="inlineStr">
        <is>
          <t>Above 75</t>
        </is>
      </c>
      <c r="BA158" s="30">
        <f>IF(AZ158="Between 50 to 75",10,IF(AZ158="Above 75",0,0))</f>
        <v/>
      </c>
      <c r="BB158" s="30" t="inlineStr">
        <is>
          <t>Stage 3</t>
        </is>
      </c>
      <c r="BC158" s="30">
        <f>IF(BB158="Stage 2",20,IF(BB158="Stage 1",0,IF(BB158="Stage 3",5,IF(BB158="Stage 4",-5,0))))</f>
        <v/>
      </c>
      <c r="BD158" s="30" t="inlineStr">
        <is>
          <t>Negative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Less than 1.5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Between 0.7 to 1.2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IF(B159=0,"",RANK(B159,$B$2:$B$400,0))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NAUKRI</t>
        </is>
      </c>
      <c r="D159" s="30" t="inlineStr">
        <is>
          <t>Info Edge (india) Limited</t>
        </is>
      </c>
      <c r="E159" s="30" t="inlineStr">
        <is>
          <t>i.t</t>
        </is>
      </c>
      <c r="F159" s="30" t="inlineStr">
        <is>
          <t>miscellaneous</t>
        </is>
      </c>
      <c r="G159" s="30" t="inlineStr">
        <is>
          <t>largecap</t>
        </is>
      </c>
      <c r="H159" s="31" t="n">
        <v>79450.98</v>
      </c>
      <c r="I159" s="31" t="n">
        <v>1282</v>
      </c>
      <c r="J159" s="31" t="n">
        <v>4.63</v>
      </c>
      <c r="K159" s="31" t="n">
        <v>11456059</v>
      </c>
      <c r="L159" s="30" t="n">
        <v>34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63.18</v>
      </c>
      <c r="P159" s="31" t="n">
        <v>22.01</v>
      </c>
      <c r="Q159" s="31" t="inlineStr"/>
      <c r="R159" s="30" t="inlineStr">
        <is>
          <t>Earnings / Momentum Support</t>
        </is>
      </c>
      <c r="S159" s="30" t="inlineStr">
        <is>
          <t>Nifty IT</t>
        </is>
      </c>
      <c r="T159" s="31" t="n">
        <v>-8.289999999999999</v>
      </c>
      <c r="U159" s="31" t="n">
        <v>-7.36</v>
      </c>
      <c r="V159" s="31" t="n">
        <v>1.01</v>
      </c>
      <c r="W159" s="31" t="n">
        <v>4.63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Headwind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No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3</t>
        </is>
      </c>
      <c r="BC159" s="30">
        <f>IF(BB159="Stage 2",20,IF(BB159="Stage 1",0,IF(BB159="Stage 3",5,IF(BB159="Stage 4",-5,0))))</f>
        <v/>
      </c>
      <c r="BD159" s="30" t="inlineStr">
        <is>
          <t>Negative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IF(B160=0,"",RANK(B160,$B$2:$B$400,0))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2" t="inlineStr">
        <is>
          <t>SSWL</t>
        </is>
      </c>
      <c r="D160" s="32" t="inlineStr">
        <is>
          <t>Steel Strips Wheels Limited</t>
        </is>
      </c>
      <c r="E160" s="30" t="inlineStr">
        <is>
          <t>auto</t>
        </is>
      </c>
      <c r="F160" s="30" t="inlineStr">
        <is>
          <t>auto ancillaries</t>
        </is>
      </c>
      <c r="G160" s="30" t="inlineStr">
        <is>
          <t>smallcap</t>
        </is>
      </c>
      <c r="H160" s="31" t="n">
        <v>4849.02</v>
      </c>
      <c r="I160" s="31" t="n">
        <v>321.6</v>
      </c>
      <c r="J160" s="31" t="n">
        <v>4.25</v>
      </c>
      <c r="K160" s="31" t="n">
        <v>1051453</v>
      </c>
      <c r="L160" s="30" t="n">
        <v>40</v>
      </c>
      <c r="M160" s="30" t="inlineStr">
        <is>
          <t>Underperforming</t>
        </is>
      </c>
      <c r="N160" s="31">
        <f>IF(M160="Underperforming",-5,IF(L160&gt;=95,15,IF(L160&gt;=90,10,IF(L160&gt;=80,5,0))))</f>
        <v/>
      </c>
      <c r="O160" s="31" t="n">
        <v>75.47</v>
      </c>
      <c r="P160" s="31" t="n">
        <v>28.51</v>
      </c>
      <c r="Q160" s="31" t="inlineStr"/>
      <c r="R160" s="30" t="inlineStr">
        <is>
          <t>Earnings / Momentum Support</t>
        </is>
      </c>
      <c r="S160" s="30" t="inlineStr">
        <is>
          <t>Nifty Auto</t>
        </is>
      </c>
      <c r="T160" s="31" t="n">
        <v>13.41</v>
      </c>
      <c r="U160" s="31" t="n">
        <v>4.51</v>
      </c>
      <c r="V160" s="31" t="n">
        <v>-7.85</v>
      </c>
      <c r="W160" s="31" t="n">
        <v>5.81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Headwind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No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Above 75</t>
        </is>
      </c>
      <c r="BA160" s="30">
        <f>IF(AZ160="Between 50 to 75",10,IF(AZ160="Above 75",0,0))</f>
        <v/>
      </c>
      <c r="BB160" s="30" t="inlineStr">
        <is>
          <t>Stage 3</t>
        </is>
      </c>
      <c r="BC160" s="30">
        <f>IF(BB160="Stage 2",20,IF(BB160="Stage 1",0,IF(BB160="Stage 3",5,IF(BB160="Stage 4",-5,0))))</f>
        <v/>
      </c>
      <c r="BD160" s="30" t="inlineStr">
        <is>
          <t>Negative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IF(B161=0,"",RANK(B161,$B$2:$B$400,0))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AYMSYNTEX</t>
        </is>
      </c>
      <c r="D161" s="30" t="inlineStr">
        <is>
          <t>Aym Syntex Limited</t>
        </is>
      </c>
      <c r="E161" s="30" t="inlineStr">
        <is>
          <t>textiles</t>
        </is>
      </c>
      <c r="F161" s="30" t="inlineStr">
        <is>
          <t>textiles - processing</t>
        </is>
      </c>
      <c r="G161" s="30" t="inlineStr">
        <is>
          <t>smallcap</t>
        </is>
      </c>
      <c r="H161" s="31" t="n">
        <v>1456.31</v>
      </c>
      <c r="I161" s="31" t="n">
        <v>257.05</v>
      </c>
      <c r="J161" s="31" t="n">
        <v>3.67</v>
      </c>
      <c r="K161" s="31" t="n">
        <v>28918</v>
      </c>
      <c r="L161" s="30" t="n">
        <v>45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58.95</v>
      </c>
      <c r="P161" s="31" t="n">
        <v>32.89</v>
      </c>
      <c r="Q161" s="31" t="inlineStr"/>
      <c r="R161" s="30" t="inlineStr">
        <is>
          <t>Earnings / Momentum Support</t>
        </is>
      </c>
      <c r="S161" s="30" t="inlineStr">
        <is>
          <t>Nifty 50</t>
        </is>
      </c>
      <c r="T161" s="31" t="n">
        <v>0.85</v>
      </c>
      <c r="U161" s="31" t="n">
        <v>23.93</v>
      </c>
      <c r="V161" s="31" t="n">
        <v>22.88</v>
      </c>
      <c r="W161" s="31" t="n">
        <v>6.79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Headwind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No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3</t>
        </is>
      </c>
      <c r="BC161" s="30">
        <f>IF(BB161="Stage 2",20,IF(BB161="Stage 1",0,IF(BB161="Stage 3",5,IF(BB161="Stage 4",-5,0))))</f>
        <v/>
      </c>
      <c r="BD161" s="30" t="inlineStr">
        <is>
          <t>Negative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IF(B162=0,"",RANK(B162,$B$2:$B$400,0))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KMEW</t>
        </is>
      </c>
      <c r="D162" s="30" t="inlineStr">
        <is>
          <t>Knowledge Marine &amp; Engineering Works Ltd</t>
        </is>
      </c>
      <c r="E162" s="30" t="inlineStr">
        <is>
          <t>transportation</t>
        </is>
      </c>
      <c r="F162" s="30" t="inlineStr">
        <is>
          <t>miscellaneous</t>
        </is>
      </c>
      <c r="G162" s="30" t="inlineStr">
        <is>
          <t>midcap</t>
        </is>
      </c>
      <c r="H162" s="31" t="n">
        <v>6180.45</v>
      </c>
      <c r="I162" s="31" t="n">
        <v>2596.8</v>
      </c>
      <c r="J162" s="31" t="n">
        <v>2.71</v>
      </c>
      <c r="K162" s="31" t="n">
        <v>72121</v>
      </c>
      <c r="L162" s="30" t="n">
        <v>93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73.19</v>
      </c>
      <c r="P162" s="31" t="n">
        <v>50.07</v>
      </c>
      <c r="Q162" s="31" t="inlineStr"/>
      <c r="R162" s="30" t="inlineStr">
        <is>
          <t>Earnings / Momentum Support</t>
        </is>
      </c>
      <c r="S162" s="30" t="inlineStr">
        <is>
          <t>Nifty 50</t>
        </is>
      </c>
      <c r="T162" s="31" t="n">
        <v>0.85</v>
      </c>
      <c r="U162" s="31" t="n">
        <v>210.39</v>
      </c>
      <c r="V162" s="31" t="n">
        <v>207.77</v>
      </c>
      <c r="W162" s="31" t="n">
        <v>30.85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Headwind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No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Above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3</t>
        </is>
      </c>
      <c r="BC162" s="30">
        <f>IF(BB162="Stage 2",20,IF(BB162="Stage 1",0,IF(BB162="Stage 3",5,IF(BB162="Stage 4",-5,0))))</f>
        <v/>
      </c>
      <c r="BD162" s="30" t="inlineStr">
        <is>
          <t>Negative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Negative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IF(B163=0,"",RANK(B163,$B$2:$B$400,0))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AZAD</t>
        </is>
      </c>
      <c r="D163" s="30" t="inlineStr">
        <is>
          <t>Azad Engineering Ltd</t>
        </is>
      </c>
      <c r="E163" s="30" t="inlineStr">
        <is>
          <t>aerospace &amp; defence</t>
        </is>
      </c>
      <c r="F163" s="30" t="inlineStr">
        <is>
          <t>engineering</t>
        </is>
      </c>
      <c r="G163" s="30" t="inlineStr">
        <is>
          <t>midcap</t>
        </is>
      </c>
      <c r="H163" s="31" t="n">
        <v>16074.4</v>
      </c>
      <c r="I163" s="31" t="n">
        <v>2549.7</v>
      </c>
      <c r="J163" s="31" t="n">
        <v>2.44</v>
      </c>
      <c r="K163" s="31" t="n">
        <v>1286090</v>
      </c>
      <c r="L163" s="30" t="n">
        <v>69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63.97</v>
      </c>
      <c r="P163" s="31" t="n">
        <v>30.94</v>
      </c>
      <c r="Q163" s="31" t="inlineStr"/>
      <c r="R163" s="30" t="inlineStr">
        <is>
          <t>Earnings / Momentum Support</t>
        </is>
      </c>
      <c r="S163" s="30" t="inlineStr">
        <is>
          <t>Nifty 50</t>
        </is>
      </c>
      <c r="T163" s="31" t="n">
        <v>0.85</v>
      </c>
      <c r="U163" s="31" t="n">
        <v>65.12</v>
      </c>
      <c r="V163" s="31" t="n">
        <v>63.73</v>
      </c>
      <c r="W163" s="31" t="n">
        <v>13.93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Headwind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No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3</t>
        </is>
      </c>
      <c r="BC163" s="30">
        <f>IF(BB163="Stage 2",20,IF(BB163="Stage 1",0,IF(BB163="Stage 3",5,IF(BB163="Stage 4",-5,0))))</f>
        <v/>
      </c>
      <c r="BD163" s="30" t="inlineStr">
        <is>
          <t>Negative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IF(B164=0,"",RANK(B164,$B$2:$B$400,0))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VMART</t>
        </is>
      </c>
      <c r="D164" s="30" t="inlineStr">
        <is>
          <t>V-mart Retail Limited</t>
        </is>
      </c>
      <c r="E164" s="30" t="inlineStr">
        <is>
          <t>consumer discretionary</t>
        </is>
      </c>
      <c r="F164" s="30" t="inlineStr">
        <is>
          <t>trading</t>
        </is>
      </c>
      <c r="G164" s="30" t="inlineStr">
        <is>
          <t>midcap</t>
        </is>
      </c>
      <c r="H164" s="31" t="n">
        <v>6358.67</v>
      </c>
      <c r="I164" s="31" t="n">
        <v>818.4</v>
      </c>
      <c r="J164" s="31" t="n">
        <v>2.38</v>
      </c>
      <c r="K164" s="31" t="n">
        <v>83389</v>
      </c>
      <c r="L164" s="30" t="n">
        <v>43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62.17</v>
      </c>
      <c r="P164" s="31" t="n">
        <v>26.36</v>
      </c>
      <c r="Q164" s="31" t="inlineStr"/>
      <c r="R164" s="30" t="inlineStr">
        <is>
          <t>Earnings / Momentum Support</t>
        </is>
      </c>
      <c r="S164" s="30" t="inlineStr">
        <is>
          <t>Nifty 50</t>
        </is>
      </c>
      <c r="T164" s="31" t="n">
        <v>0.85</v>
      </c>
      <c r="U164" s="31" t="n">
        <v>5.25</v>
      </c>
      <c r="V164" s="31" t="n">
        <v>4.36</v>
      </c>
      <c r="W164" s="31" t="n">
        <v>6.15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Headwind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No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3</t>
        </is>
      </c>
      <c r="BC164" s="30">
        <f>IF(BB164="Stage 2",20,IF(BB164="Stage 1",0,IF(BB164="Stage 3",5,IF(BB164="Stage 4",-5,0))))</f>
        <v/>
      </c>
      <c r="BD164" s="30" t="inlineStr">
        <is>
          <t>Negative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Less than 1.5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Between 0.7 to 1.2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IF(B165=0,"",RANK(B165,$B$2:$B$400,0))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MAHLOG</t>
        </is>
      </c>
      <c r="D165" s="30" t="inlineStr">
        <is>
          <t>Mahindra Logistics Ltd</t>
        </is>
      </c>
      <c r="E165" s="30" t="inlineStr">
        <is>
          <t>transportation</t>
        </is>
      </c>
      <c r="F165" s="30" t="inlineStr">
        <is>
          <t>miscellaneous</t>
        </is>
      </c>
      <c r="G165" s="30" t="inlineStr">
        <is>
          <t>smallcap</t>
        </is>
      </c>
      <c r="H165" s="31" t="n">
        <v>3995.69</v>
      </c>
      <c r="I165" s="31" t="n">
        <v>411.9</v>
      </c>
      <c r="J165" s="31" t="n">
        <v>2.28</v>
      </c>
      <c r="K165" s="31" t="n">
        <v>271907</v>
      </c>
      <c r="L165" s="30" t="n">
        <v>37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57.88</v>
      </c>
      <c r="P165" s="31" t="n">
        <v>20.21</v>
      </c>
      <c r="Q165" s="31" t="inlineStr"/>
      <c r="R165" s="30" t="inlineStr">
        <is>
          <t>Earnings / Momentum Support</t>
        </is>
      </c>
      <c r="S165" s="30" t="inlineStr">
        <is>
          <t>Nifty 50</t>
        </is>
      </c>
      <c r="T165" s="31" t="n">
        <v>0.85</v>
      </c>
      <c r="U165" s="31" t="n">
        <v>25.87</v>
      </c>
      <c r="V165" s="31" t="n">
        <v>24.81</v>
      </c>
      <c r="W165" s="31" t="n">
        <v>5.17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Headwind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No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3</t>
        </is>
      </c>
      <c r="BC165" s="30">
        <f>IF(BB165="Stage 2",20,IF(BB165="Stage 1",0,IF(BB165="Stage 3",5,IF(BB165="Stage 4",-5,0))))</f>
        <v/>
      </c>
      <c r="BD165" s="30" t="inlineStr">
        <is>
          <t>Negative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IF(B166=0,"",RANK(B166,$B$2:$B$400,0))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2" t="inlineStr">
        <is>
          <t>BERGEPAINT</t>
        </is>
      </c>
      <c r="D166" s="32" t="inlineStr">
        <is>
          <t>Berger Paints (i) Limited</t>
        </is>
      </c>
      <c r="E166" s="30" t="inlineStr">
        <is>
          <t>building materials</t>
        </is>
      </c>
      <c r="F166" s="30" t="inlineStr">
        <is>
          <t>paints / varnishes</t>
        </is>
      </c>
      <c r="G166" s="30" t="inlineStr">
        <is>
          <t>largecap</t>
        </is>
      </c>
      <c r="H166" s="31" t="n">
        <v>61862.28</v>
      </c>
      <c r="I166" s="31" t="n">
        <v>542.1</v>
      </c>
      <c r="J166" s="31" t="n">
        <v>2.18</v>
      </c>
      <c r="K166" s="31" t="n">
        <v>272470</v>
      </c>
      <c r="L166" s="30" t="n">
        <v>7</v>
      </c>
      <c r="M166" s="30" t="inlineStr">
        <is>
          <t>Underperforming</t>
        </is>
      </c>
      <c r="N166" s="31">
        <f>IF(M166="Underperforming",-5,IF(L166&gt;=95,15,IF(L166&gt;=90,10,IF(L166&gt;=80,5,0))))</f>
        <v/>
      </c>
      <c r="O166" s="31" t="n">
        <v>57.73</v>
      </c>
      <c r="P166" s="31" t="n">
        <v>20.1</v>
      </c>
      <c r="Q166" s="31" t="inlineStr"/>
      <c r="R166" s="30" t="inlineStr">
        <is>
          <t>Earnings / Momentum Support</t>
        </is>
      </c>
      <c r="S166" s="30" t="inlineStr">
        <is>
          <t>Nifty Infra</t>
        </is>
      </c>
      <c r="T166" s="31" t="n">
        <v>1.74</v>
      </c>
      <c r="U166" s="31" t="n">
        <v>-13.83</v>
      </c>
      <c r="V166" s="31" t="n">
        <v>-15.31</v>
      </c>
      <c r="W166" s="31" t="n">
        <v>-1.73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Headwind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No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3</t>
        </is>
      </c>
      <c r="BC166" s="30">
        <f>IF(BB166="Stage 2",20,IF(BB166="Stage 1",0,IF(BB166="Stage 3",5,IF(BB166="Stage 4",-5,0))))</f>
        <v/>
      </c>
      <c r="BD166" s="30" t="inlineStr">
        <is>
          <t>Negative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Between 1.5 to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IF(B167=0,"",RANK(B167,$B$2:$B$400,0))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CCAVENUE</t>
        </is>
      </c>
      <c r="D167" s="30" t="inlineStr">
        <is>
          <t>AvenuesAI Ltd</t>
        </is>
      </c>
      <c r="E167" s="30" t="inlineStr">
        <is>
          <t>i.t</t>
        </is>
      </c>
      <c r="F167" s="30" t="inlineStr">
        <is>
          <t>miscellaneous</t>
        </is>
      </c>
      <c r="G167" s="30" t="inlineStr">
        <is>
          <t>midcap</t>
        </is>
      </c>
      <c r="H167" s="31" t="n">
        <v>6003.35</v>
      </c>
      <c r="I167" s="31" t="n">
        <v>17.54</v>
      </c>
      <c r="J167" s="31" t="n">
        <v>2.15</v>
      </c>
      <c r="K167" s="31" t="n">
        <v>16822590</v>
      </c>
      <c r="L167" s="30" t="n">
        <v>51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56.71</v>
      </c>
      <c r="P167" s="31" t="n">
        <v>19.56</v>
      </c>
      <c r="Q167" s="31" t="inlineStr"/>
      <c r="R167" s="30" t="inlineStr">
        <is>
          <t>Earnings / Momentum Support</t>
        </is>
      </c>
      <c r="S167" s="30" t="inlineStr">
        <is>
          <t>Nifty IT</t>
        </is>
      </c>
      <c r="T167" s="31" t="n">
        <v>-8.289999999999999</v>
      </c>
      <c r="U167" s="31" t="n">
        <v>12.89</v>
      </c>
      <c r="V167" s="31" t="n">
        <v>23.09</v>
      </c>
      <c r="W167" s="31" t="n">
        <v>8.26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Headwind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No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0 to 20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3</t>
        </is>
      </c>
      <c r="BC167" s="30">
        <f>IF(BB167="Stage 2",20,IF(BB167="Stage 1",0,IF(BB167="Stage 3",5,IF(BB167="Stage 4",-5,0))))</f>
        <v/>
      </c>
      <c r="BD167" s="30" t="inlineStr">
        <is>
          <t>Negative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No</t>
        </is>
      </c>
      <c r="BS167" s="30">
        <f>IF(BR167="NO",5,0)</f>
        <v/>
      </c>
      <c r="BT167" s="30" t="inlineStr">
        <is>
          <t>Less than 1.5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IF(B168=0,"",RANK(B168,$B$2:$B$400,0))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MINDACORP</t>
        </is>
      </c>
      <c r="D168" s="30" t="inlineStr">
        <is>
          <t>Minda Corporation Limited</t>
        </is>
      </c>
      <c r="E168" s="30" t="inlineStr">
        <is>
          <t>auto</t>
        </is>
      </c>
      <c r="F168" s="30" t="inlineStr">
        <is>
          <t>auto ancillaries</t>
        </is>
      </c>
      <c r="G168" s="30" t="inlineStr">
        <is>
          <t>midcap</t>
        </is>
      </c>
      <c r="H168" s="31" t="n">
        <v>17253.17</v>
      </c>
      <c r="I168" s="31" t="n">
        <v>736.1</v>
      </c>
      <c r="J168" s="31" t="n">
        <v>2</v>
      </c>
      <c r="K168" s="31" t="n">
        <v>723210</v>
      </c>
      <c r="L168" s="30" t="n">
        <v>61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70.67</v>
      </c>
      <c r="P168" s="31" t="n">
        <v>35.51</v>
      </c>
      <c r="Q168" s="31" t="inlineStr"/>
      <c r="R168" s="30" t="inlineStr">
        <is>
          <t>Earnings / Momentum Support</t>
        </is>
      </c>
      <c r="S168" s="30" t="inlineStr">
        <is>
          <t>Nifty Auto</t>
        </is>
      </c>
      <c r="T168" s="31" t="n">
        <v>13.41</v>
      </c>
      <c r="U168" s="31" t="n">
        <v>28.43</v>
      </c>
      <c r="V168" s="31" t="n">
        <v>13.24</v>
      </c>
      <c r="W168" s="31" t="n">
        <v>11.18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Headwind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No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3</t>
        </is>
      </c>
      <c r="BC168" s="30">
        <f>IF(BB168="Stage 2",20,IF(BB168="Stage 1",0,IF(BB168="Stage 3",5,IF(BB168="Stage 4",-5,0))))</f>
        <v/>
      </c>
      <c r="BD168" s="30" t="inlineStr">
        <is>
          <t>Negative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IF(B169=0,"",RANK(B169,$B$2:$B$400,0))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BELRISE</t>
        </is>
      </c>
      <c r="D169" s="30" t="inlineStr">
        <is>
          <t>Belrise Industries Ltd</t>
        </is>
      </c>
      <c r="E169" s="30" t="inlineStr">
        <is>
          <t>auto</t>
        </is>
      </c>
      <c r="F169" s="30" t="inlineStr">
        <is>
          <t>auto ancillaries</t>
        </is>
      </c>
      <c r="G169" s="30" t="inlineStr">
        <is>
          <t>largecap</t>
        </is>
      </c>
      <c r="H169" s="31" t="n">
        <v>24005.68</v>
      </c>
      <c r="I169" s="31" t="n">
        <v>252.77</v>
      </c>
      <c r="J169" s="31" t="n">
        <v>1.84</v>
      </c>
      <c r="K169" s="31" t="n">
        <v>6590771</v>
      </c>
      <c r="L169" s="30" t="n">
        <v>72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69.59</v>
      </c>
      <c r="P169" s="31" t="n">
        <v>45.05</v>
      </c>
      <c r="Q169" s="31" t="inlineStr"/>
      <c r="R169" s="30" t="inlineStr">
        <is>
          <t>Earnings / Momentum Support</t>
        </is>
      </c>
      <c r="S169" s="30" t="inlineStr">
        <is>
          <t>Nifty Auto</t>
        </is>
      </c>
      <c r="T169" s="31" t="n">
        <v>13.41</v>
      </c>
      <c r="U169" s="31" t="n">
        <v>83.28</v>
      </c>
      <c r="V169" s="31" t="n">
        <v>61.6</v>
      </c>
      <c r="W169" s="31" t="n">
        <v>14.47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Headwind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No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Above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3</t>
        </is>
      </c>
      <c r="BC169" s="30">
        <f>IF(BB169="Stage 2",20,IF(BB169="Stage 1",0,IF(BB169="Stage 3",5,IF(BB169="Stage 4",-5,0))))</f>
        <v/>
      </c>
      <c r="BD169" s="30" t="inlineStr">
        <is>
          <t>Negative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Less than 12%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IF(B170=0,"",RANK(B170,$B$2:$B$400,0))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NAHARINDUS</t>
        </is>
      </c>
      <c r="D170" s="30" t="inlineStr">
        <is>
          <t>Nahar Industrial Enterprises Limited</t>
        </is>
      </c>
      <c r="E170" s="30" t="inlineStr">
        <is>
          <t>textiles</t>
        </is>
      </c>
      <c r="F170" s="30" t="inlineStr">
        <is>
          <t>textiles - cotton/blended</t>
        </is>
      </c>
      <c r="G170" s="30" t="inlineStr">
        <is>
          <t>smallcap</t>
        </is>
      </c>
      <c r="H170" s="31" t="n">
        <v>551.8200000000001</v>
      </c>
      <c r="I170" s="31" t="n">
        <v>130</v>
      </c>
      <c r="J170" s="31" t="n">
        <v>1.79</v>
      </c>
      <c r="K170" s="31" t="n">
        <v>147014</v>
      </c>
      <c r="L170" s="30" t="n">
        <v>31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64.08</v>
      </c>
      <c r="P170" s="31" t="n">
        <v>18.52</v>
      </c>
      <c r="Q170" s="31" t="inlineStr"/>
      <c r="R170" s="30" t="inlineStr">
        <is>
          <t>Volume Spike / Accumulation</t>
        </is>
      </c>
      <c r="S170" s="30" t="inlineStr">
        <is>
          <t>Nifty 50</t>
        </is>
      </c>
      <c r="T170" s="31" t="n">
        <v>0.85</v>
      </c>
      <c r="U170" s="31" t="n">
        <v>10.87</v>
      </c>
      <c r="V170" s="31" t="n">
        <v>9.93</v>
      </c>
      <c r="W170" s="31" t="n">
        <v>3.67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Headwind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0 to 20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3</t>
        </is>
      </c>
      <c r="BC170" s="30">
        <f>IF(BB170="Stage 2",20,IF(BB170="Stage 1",0,IF(BB170="Stage 3",5,IF(BB170="Stage 4",-5,0))))</f>
        <v/>
      </c>
      <c r="BD170" s="30" t="inlineStr">
        <is>
          <t>Negative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Less than 1.5</t>
        </is>
      </c>
      <c r="BU170" s="30">
        <f>IF(BT170="Above 2",0,IF(BT170="Between 1.5 to 2",5,IF(BT170="Less than 1.5",10,0)))</f>
        <v/>
      </c>
      <c r="BV170" s="30" t="inlineStr">
        <is>
          <t>Less than 50%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IF(B171=0,"",RANK(B171,$B$2:$B$400,0))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PIDILITIND</t>
        </is>
      </c>
      <c r="D171" s="30" t="inlineStr">
        <is>
          <t>Pidilite Industries Limited</t>
        </is>
      </c>
      <c r="E171" s="30" t="inlineStr">
        <is>
          <t>chemicals</t>
        </is>
      </c>
      <c r="F171" s="30" t="inlineStr">
        <is>
          <t>chemicals</t>
        </is>
      </c>
      <c r="G171" s="30" t="inlineStr">
        <is>
          <t>largecap</t>
        </is>
      </c>
      <c r="H171" s="31" t="n">
        <v>168950.71</v>
      </c>
      <c r="I171" s="31" t="n">
        <v>1685</v>
      </c>
      <c r="J171" s="31" t="n">
        <v>1.51</v>
      </c>
      <c r="K171" s="31" t="n">
        <v>1714117</v>
      </c>
      <c r="L171" s="30" t="n">
        <v>33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71.14</v>
      </c>
      <c r="P171" s="31" t="n">
        <v>27.59</v>
      </c>
      <c r="Q171" s="31" t="inlineStr"/>
      <c r="R171" s="30" t="inlineStr">
        <is>
          <t>Earnings / Momentum Support</t>
        </is>
      </c>
      <c r="S171" s="30" t="inlineStr">
        <is>
          <t>Nifty 50</t>
        </is>
      </c>
      <c r="T171" s="31" t="n">
        <v>0.85</v>
      </c>
      <c r="U171" s="31" t="n">
        <v>8.52</v>
      </c>
      <c r="V171" s="31" t="n">
        <v>7.61</v>
      </c>
      <c r="W171" s="31" t="n">
        <v>4.49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Headwind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No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3</t>
        </is>
      </c>
      <c r="BC171" s="30">
        <f>IF(BB171="Stage 2",20,IF(BB171="Stage 1",0,IF(BB171="Stage 3",5,IF(BB171="Stage 4",-5,0))))</f>
        <v/>
      </c>
      <c r="BD171" s="30" t="inlineStr">
        <is>
          <t>Negative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Yes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IF(B172=0,"",RANK(B172,$B$2:$B$400,0))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INOXINDIA</t>
        </is>
      </c>
      <c r="D172" s="30" t="inlineStr">
        <is>
          <t>Inox India Ltd</t>
        </is>
      </c>
      <c r="E172" s="30" t="inlineStr">
        <is>
          <t>industrials</t>
        </is>
      </c>
      <c r="F172" s="30" t="inlineStr">
        <is>
          <t>packaging</t>
        </is>
      </c>
      <c r="G172" s="30" t="inlineStr">
        <is>
          <t>midcap</t>
        </is>
      </c>
      <c r="H172" s="31" t="n">
        <v>17741.54</v>
      </c>
      <c r="I172" s="31" t="n">
        <v>1984.1</v>
      </c>
      <c r="J172" s="31" t="n">
        <v>1.5</v>
      </c>
      <c r="K172" s="31" t="n">
        <v>142077</v>
      </c>
      <c r="L172" s="30" t="n">
        <v>80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74.06</v>
      </c>
      <c r="P172" s="31" t="n">
        <v>62.57</v>
      </c>
      <c r="Q172" s="31" t="inlineStr"/>
      <c r="R172" s="30" t="inlineStr">
        <is>
          <t>Earnings / Momentum Support</t>
        </is>
      </c>
      <c r="S172" s="30" t="inlineStr">
        <is>
          <t>Nifty 50</t>
        </is>
      </c>
      <c r="T172" s="31" t="n">
        <v>0.85</v>
      </c>
      <c r="U172" s="31" t="n">
        <v>71.51000000000001</v>
      </c>
      <c r="V172" s="31" t="n">
        <v>70.06</v>
      </c>
      <c r="W172" s="31" t="n">
        <v>18.93</v>
      </c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Headwind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No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Above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3</t>
        </is>
      </c>
      <c r="BC172" s="30">
        <f>IF(BB172="Stage 2",20,IF(BB172="Stage 1",0,IF(BB172="Stage 3",5,IF(BB172="Stage 4",-5,0))))</f>
        <v/>
      </c>
      <c r="BD172" s="30" t="inlineStr">
        <is>
          <t>Negative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Less than 12%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IF(B173=0,"",RANK(B173,$B$2:$B$400,0))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2" t="inlineStr">
        <is>
          <t>SUPRAJIT</t>
        </is>
      </c>
      <c r="D173" s="32" t="inlineStr">
        <is>
          <t>Suprajit Engineering Limited</t>
        </is>
      </c>
      <c r="E173" s="30" t="inlineStr">
        <is>
          <t>auto</t>
        </is>
      </c>
      <c r="F173" s="30" t="inlineStr">
        <is>
          <t>auto ancillaries</t>
        </is>
      </c>
      <c r="G173" s="30" t="inlineStr">
        <is>
          <t>midcap</t>
        </is>
      </c>
      <c r="H173" s="31" t="n">
        <v>7157.59</v>
      </c>
      <c r="I173" s="31" t="n">
        <v>529.25</v>
      </c>
      <c r="J173" s="31" t="n">
        <v>1.43</v>
      </c>
      <c r="K173" s="31" t="n">
        <v>613984</v>
      </c>
      <c r="L173" s="30" t="n">
        <v>34</v>
      </c>
      <c r="M173" s="30" t="inlineStr">
        <is>
          <t>Underperforming</t>
        </is>
      </c>
      <c r="N173" s="31">
        <f>IF(M173="Underperforming",-5,IF(L173&gt;=95,15,IF(L173&gt;=90,10,IF(L173&gt;=80,5,0))))</f>
        <v/>
      </c>
      <c r="O173" s="31" t="n">
        <v>64.13</v>
      </c>
      <c r="P173" s="31" t="n">
        <v>42.63</v>
      </c>
      <c r="Q173" s="31" t="inlineStr"/>
      <c r="R173" s="30" t="inlineStr">
        <is>
          <t>Earnings / Momentum Support</t>
        </is>
      </c>
      <c r="S173" s="30" t="inlineStr">
        <is>
          <t>Nifty Auto</t>
        </is>
      </c>
      <c r="T173" s="31" t="n">
        <v>13.41</v>
      </c>
      <c r="U173" s="31" t="n">
        <v>6.04</v>
      </c>
      <c r="V173" s="31" t="n">
        <v>-6.5</v>
      </c>
      <c r="W173" s="31" t="n">
        <v>4.55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Headwind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No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Above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3</t>
        </is>
      </c>
      <c r="BC173" s="30">
        <f>IF(BB173="Stage 2",20,IF(BB173="Stage 1",0,IF(BB173="Stage 3",5,IF(BB173="Stage 4",-5,0))))</f>
        <v/>
      </c>
      <c r="BD173" s="30" t="inlineStr">
        <is>
          <t>Negative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IF(B174=0,"",RANK(B174,$B$2:$B$400,0))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2" t="inlineStr">
        <is>
          <t>ARVSMART</t>
        </is>
      </c>
      <c r="D174" s="32" t="inlineStr">
        <is>
          <t>Arvind Smartspaces Limited</t>
        </is>
      </c>
      <c r="E174" s="30" t="inlineStr">
        <is>
          <t>realty</t>
        </is>
      </c>
      <c r="F174" s="30" t="inlineStr">
        <is>
          <t>construction</t>
        </is>
      </c>
      <c r="G174" s="30" t="inlineStr">
        <is>
          <t>smallcap</t>
        </is>
      </c>
      <c r="H174" s="31" t="n">
        <v>2984.79</v>
      </c>
      <c r="I174" s="31" t="n">
        <v>658.95</v>
      </c>
      <c r="J174" s="31" t="n">
        <v>1.26</v>
      </c>
      <c r="K174" s="31" t="n">
        <v>1145761</v>
      </c>
      <c r="L174" s="30" t="n">
        <v>8</v>
      </c>
      <c r="M174" s="30" t="inlineStr">
        <is>
          <t>Underperforming</t>
        </is>
      </c>
      <c r="N174" s="31">
        <f>IF(M174="Underperforming",-5,IF(L174&gt;=95,15,IF(L174&gt;=90,10,IF(L174&gt;=80,5,0))))</f>
        <v/>
      </c>
      <c r="O174" s="31" t="n">
        <v>59.85</v>
      </c>
      <c r="P174" s="31" t="n">
        <v>25.99</v>
      </c>
      <c r="Q174" s="31" t="inlineStr"/>
      <c r="R174" s="30" t="inlineStr">
        <is>
          <t>Earnings / Momentum Support</t>
        </is>
      </c>
      <c r="S174" s="30" t="inlineStr">
        <is>
          <t>Nifty Realty</t>
        </is>
      </c>
      <c r="T174" s="31" t="n">
        <v>-8.119999999999999</v>
      </c>
      <c r="U174" s="31" t="n">
        <v>-9.24</v>
      </c>
      <c r="V174" s="31" t="n">
        <v>-1.22</v>
      </c>
      <c r="W174" s="31" t="n">
        <v>-1.71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Headwind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No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3</t>
        </is>
      </c>
      <c r="BC174" s="30">
        <f>IF(BB174="Stage 2",20,IF(BB174="Stage 1",0,IF(BB174="Stage 3",5,IF(BB174="Stage 4",-5,0))))</f>
        <v/>
      </c>
      <c r="BD174" s="30" t="inlineStr">
        <is>
          <t>Negative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IF(B175=0,"",RANK(B175,$B$2:$B$400,0))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ATUL</t>
        </is>
      </c>
      <c r="D175" s="30" t="inlineStr">
        <is>
          <t>Atul Limited</t>
        </is>
      </c>
      <c r="E175" s="30" t="inlineStr">
        <is>
          <t>chemicals</t>
        </is>
      </c>
      <c r="F175" s="30" t="inlineStr">
        <is>
          <t>chemicals</t>
        </is>
      </c>
      <c r="G175" s="30" t="inlineStr">
        <is>
          <t>midcap</t>
        </is>
      </c>
      <c r="H175" s="31" t="n">
        <v>19943.84</v>
      </c>
      <c r="I175" s="31" t="n">
        <v>6854</v>
      </c>
      <c r="J175" s="31" t="n">
        <v>1.18</v>
      </c>
      <c r="K175" s="31" t="n">
        <v>53837</v>
      </c>
      <c r="L175" s="30" t="n">
        <v>15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56.86</v>
      </c>
      <c r="P175" s="31" t="n">
        <v>12.41</v>
      </c>
      <c r="Q175" s="31" t="inlineStr"/>
      <c r="R175" s="30" t="inlineStr">
        <is>
          <t>Earnings / Momentum Support</t>
        </is>
      </c>
      <c r="S175" s="30" t="inlineStr">
        <is>
          <t>Nifty 50</t>
        </is>
      </c>
      <c r="T175" s="31" t="n">
        <v>0.85</v>
      </c>
      <c r="U175" s="31" t="n">
        <v>2.7</v>
      </c>
      <c r="V175" s="31" t="n">
        <v>1.83</v>
      </c>
      <c r="W175" s="31" t="n">
        <v>0.23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Headwind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0 to 20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3</t>
        </is>
      </c>
      <c r="BC175" s="30">
        <f>IF(BB175="Stage 2",20,IF(BB175="Stage 1",0,IF(BB175="Stage 3",5,IF(BB175="Stage 4",-5,0))))</f>
        <v/>
      </c>
      <c r="BD175" s="30" t="inlineStr">
        <is>
          <t>Negative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No</t>
        </is>
      </c>
      <c r="BS175" s="30">
        <f>IF(BR175="NO",5,0)</f>
        <v/>
      </c>
      <c r="BT175" s="30" t="inlineStr">
        <is>
          <t>Less than 1.5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IF(B176=0,"",RANK(B176,$B$2:$B$400,0))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TBZ</t>
        </is>
      </c>
      <c r="D176" s="30" t="inlineStr">
        <is>
          <t>Tribhovandas Bhimji Zaveri Limited</t>
        </is>
      </c>
      <c r="E176" s="30" t="inlineStr">
        <is>
          <t>consumer discretionary</t>
        </is>
      </c>
      <c r="F176" s="30" t="inlineStr">
        <is>
          <t>diamond cutting / jewellery</t>
        </is>
      </c>
      <c r="G176" s="30" t="inlineStr">
        <is>
          <t>smallcap</t>
        </is>
      </c>
      <c r="H176" s="31" t="n">
        <v>1821.75</v>
      </c>
      <c r="I176" s="31" t="n">
        <v>276.05</v>
      </c>
      <c r="J176" s="31" t="n">
        <v>1.12</v>
      </c>
      <c r="K176" s="31" t="n">
        <v>1294882</v>
      </c>
      <c r="L176" s="30" t="n">
        <v>92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78.86</v>
      </c>
      <c r="P176" s="31" t="n">
        <v>42.87</v>
      </c>
      <c r="Q176" s="31" t="inlineStr"/>
      <c r="R176" s="30" t="inlineStr">
        <is>
          <t>Earnings / Momentum Support</t>
        </is>
      </c>
      <c r="S176" s="30" t="inlineStr">
        <is>
          <t>Nifty 50</t>
        </is>
      </c>
      <c r="T176" s="31" t="n">
        <v>0.85</v>
      </c>
      <c r="U176" s="31" t="n">
        <v>47.1</v>
      </c>
      <c r="V176" s="31" t="n">
        <v>45.86</v>
      </c>
      <c r="W176" s="31" t="n">
        <v>27.39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Headwind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No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Above 40</t>
        </is>
      </c>
      <c r="AY176" s="30">
        <f>IF(AX176="Above 40",20,IF(AX176="20 to 40",10,IF(AX176="0 to 20",-5,0)))</f>
        <v/>
      </c>
      <c r="AZ176" s="30" t="inlineStr">
        <is>
          <t>Above 75</t>
        </is>
      </c>
      <c r="BA176" s="30">
        <f>IF(AZ176="Between 50 to 75",10,IF(AZ176="Above 75",0,0))</f>
        <v/>
      </c>
      <c r="BB176" s="30" t="inlineStr">
        <is>
          <t>Stage 3</t>
        </is>
      </c>
      <c r="BC176" s="30">
        <f>IF(BB176="Stage 2",20,IF(BB176="Stage 1",0,IF(BB176="Stage 3",5,IF(BB176="Stage 4",-5,0))))</f>
        <v/>
      </c>
      <c r="BD176" s="30" t="inlineStr">
        <is>
          <t>Negative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Less than 1.5</t>
        </is>
      </c>
      <c r="BU176" s="30">
        <f>IF(BT176="Above 2",0,IF(BT176="Between 1.5 to 2",5,IF(BT176="Less than 1.5",10,0)))</f>
        <v/>
      </c>
      <c r="BV176" s="30" t="inlineStr">
        <is>
          <t>Less than 50% and Borrowings are increasing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Between 0.7 to 1.2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IF(B177=0,"",RANK(B177,$B$2:$B$400,0))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STEELCAS</t>
        </is>
      </c>
      <c r="D177" s="30" t="inlineStr">
        <is>
          <t>Steelcast Ltd</t>
        </is>
      </c>
      <c r="E177" s="30" t="inlineStr">
        <is>
          <t>industrials</t>
        </is>
      </c>
      <c r="F177" s="30" t="inlineStr">
        <is>
          <t>castings &amp; forgings</t>
        </is>
      </c>
      <c r="G177" s="30" t="inlineStr">
        <is>
          <t>smallcap</t>
        </is>
      </c>
      <c r="H177" s="31" t="n">
        <v>3355.79</v>
      </c>
      <c r="I177" s="31" t="n">
        <v>335</v>
      </c>
      <c r="J177" s="31" t="n">
        <v>1.03</v>
      </c>
      <c r="K177" s="31" t="n">
        <v>61456</v>
      </c>
      <c r="L177" s="30" t="n">
        <v>46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75.29000000000001</v>
      </c>
      <c r="P177" s="31" t="n">
        <v>40.43</v>
      </c>
      <c r="Q177" s="31" t="inlineStr"/>
      <c r="R177" s="30" t="inlineStr">
        <is>
          <t>Earnings / Momentum Support</t>
        </is>
      </c>
      <c r="S177" s="30" t="inlineStr">
        <is>
          <t>Nifty Infra</t>
        </is>
      </c>
      <c r="T177" s="31" t="n">
        <v>1.74</v>
      </c>
      <c r="U177" s="31" t="n">
        <v>28.65</v>
      </c>
      <c r="V177" s="31" t="n">
        <v>26.45</v>
      </c>
      <c r="W177" s="31" t="n">
        <v>7.11</v>
      </c>
      <c r="X177" s="30" t="inlineStr">
        <is>
          <t>Cyclical in an Upturn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Headwind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No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Above 40</t>
        </is>
      </c>
      <c r="AY177" s="30">
        <f>IF(AX177="Above 40",20,IF(AX177="20 to 40",10,IF(AX177="0 to 20",-5,0)))</f>
        <v/>
      </c>
      <c r="AZ177" s="30" t="inlineStr">
        <is>
          <t>Above 75</t>
        </is>
      </c>
      <c r="BA177" s="30">
        <f>IF(AZ177="Between 50 to 75",10,IF(AZ177="Above 75",0,0))</f>
        <v/>
      </c>
      <c r="BB177" s="30" t="inlineStr">
        <is>
          <t>Stage 3</t>
        </is>
      </c>
      <c r="BC177" s="30">
        <f>IF(BB177="Stage 2",20,IF(BB177="Stage 1",0,IF(BB177="Stage 3",5,IF(BB177="Stage 4",-5,0))))</f>
        <v/>
      </c>
      <c r="BD177" s="30" t="inlineStr">
        <is>
          <t>Negative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Between 12 to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Between 1.5 to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IF(B178=0,"",RANK(B178,$B$2:$B$400,0))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SOLARINDS</t>
        </is>
      </c>
      <c r="D178" s="30" t="inlineStr">
        <is>
          <t>Solar Industries India Limited</t>
        </is>
      </c>
      <c r="E178" s="30" t="inlineStr">
        <is>
          <t>aerospace &amp; defence</t>
        </is>
      </c>
      <c r="F178" s="30" t="inlineStr">
        <is>
          <t>chemicals</t>
        </is>
      </c>
      <c r="G178" s="30" t="inlineStr">
        <is>
          <t>largecap</t>
        </is>
      </c>
      <c r="H178" s="31" t="n">
        <v>168763.95</v>
      </c>
      <c r="I178" s="31" t="n">
        <v>18820</v>
      </c>
      <c r="J178" s="31" t="n">
        <v>0.91</v>
      </c>
      <c r="K178" s="31" t="n">
        <v>83343</v>
      </c>
      <c r="L178" s="30" t="n">
        <v>55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65.73999999999999</v>
      </c>
      <c r="P178" s="31" t="n">
        <v>39.15</v>
      </c>
      <c r="Q178" s="31" t="inlineStr"/>
      <c r="R178" s="30" t="inlineStr">
        <is>
          <t>Earnings / Momentum Support</t>
        </is>
      </c>
      <c r="S178" s="30" t="inlineStr">
        <is>
          <t>Nifty 50</t>
        </is>
      </c>
      <c r="T178" s="31" t="n">
        <v>0.85</v>
      </c>
      <c r="U178" s="31" t="n">
        <v>29.03</v>
      </c>
      <c r="V178" s="31" t="n">
        <v>27.95</v>
      </c>
      <c r="W178" s="31" t="n">
        <v>9.050000000000001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Headwind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No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3</t>
        </is>
      </c>
      <c r="BC178" s="30">
        <f>IF(BB178="Stage 2",20,IF(BB178="Stage 1",0,IF(BB178="Stage 3",5,IF(BB178="Stage 4",-5,0))))</f>
        <v/>
      </c>
      <c r="BD178" s="30" t="inlineStr">
        <is>
          <t>Negative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Less than 1.5</t>
        </is>
      </c>
      <c r="BU178" s="30">
        <f>IF(BT178="Above 2",0,IF(BT178="Between 1.5 to 2",5,IF(BT178="Less than 1.5",10,0)))</f>
        <v/>
      </c>
      <c r="BV178" s="30" t="inlineStr">
        <is>
          <t>Less than 50%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IF(B179=0,"",RANK(B179,$B$2:$B$400,0))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UNIMECH</t>
        </is>
      </c>
      <c r="D179" s="30" t="inlineStr">
        <is>
          <t>Unimech Aerospace and Manufacturing Ltd</t>
        </is>
      </c>
      <c r="E179" s="30" t="inlineStr">
        <is>
          <t>aerospace &amp; defence</t>
        </is>
      </c>
      <c r="F179" s="30" t="inlineStr">
        <is>
          <t>engineering</t>
        </is>
      </c>
      <c r="G179" s="30" t="inlineStr">
        <is>
          <t>midcap</t>
        </is>
      </c>
      <c r="H179" s="31" t="n">
        <v>7357.47</v>
      </c>
      <c r="I179" s="31" t="n">
        <v>1452.3</v>
      </c>
      <c r="J179" s="31" t="n">
        <v>0.39</v>
      </c>
      <c r="K179" s="31" t="n">
        <v>245270</v>
      </c>
      <c r="L179" s="30" t="n">
        <v>73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73.31999999999999</v>
      </c>
      <c r="P179" s="31" t="n">
        <v>33.01</v>
      </c>
      <c r="Q179" s="31" t="inlineStr"/>
      <c r="R179" s="30" t="inlineStr">
        <is>
          <t>Earnings / Momentum Support</t>
        </is>
      </c>
      <c r="S179" s="30" t="inlineStr">
        <is>
          <t>Nifty 50</t>
        </is>
      </c>
      <c r="T179" s="31" t="n">
        <v>0.85</v>
      </c>
      <c r="U179" s="31" t="n">
        <v>34.65</v>
      </c>
      <c r="V179" s="31" t="n">
        <v>33.52</v>
      </c>
      <c r="W179" s="31" t="n">
        <v>15.02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Headwind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No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3</t>
        </is>
      </c>
      <c r="BC179" s="30">
        <f>IF(BB179="Stage 2",20,IF(BB179="Stage 1",0,IF(BB179="Stage 3",5,IF(BB179="Stage 4",-5,0))))</f>
        <v/>
      </c>
      <c r="BD179" s="30" t="inlineStr">
        <is>
          <t>Negative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IF(B180=0,"",RANK(B180,$B$2:$B$400,0))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AIAENG</t>
        </is>
      </c>
      <c r="D180" s="30" t="inlineStr">
        <is>
          <t>Aia Engineering Limited</t>
        </is>
      </c>
      <c r="E180" s="30" t="inlineStr">
        <is>
          <t>industrials</t>
        </is>
      </c>
      <c r="F180" s="30" t="inlineStr">
        <is>
          <t>castings &amp; forgings</t>
        </is>
      </c>
      <c r="G180" s="30" t="inlineStr">
        <is>
          <t>largecap</t>
        </is>
      </c>
      <c r="H180" s="31" t="n">
        <v>44569.81</v>
      </c>
      <c r="I180" s="31" t="n">
        <v>4790</v>
      </c>
      <c r="J180" s="31" t="n">
        <v>0.29</v>
      </c>
      <c r="K180" s="31" t="n">
        <v>34703</v>
      </c>
      <c r="L180" s="30" t="n">
        <v>68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65.34</v>
      </c>
      <c r="P180" s="31" t="n">
        <v>35.94</v>
      </c>
      <c r="Q180" s="31" t="inlineStr"/>
      <c r="R180" s="30" t="inlineStr">
        <is>
          <t>Earnings / Momentum Support</t>
        </is>
      </c>
      <c r="S180" s="30" t="inlineStr">
        <is>
          <t>Nifty 50</t>
        </is>
      </c>
      <c r="T180" s="31" t="n">
        <v>0.85</v>
      </c>
      <c r="U180" s="31" t="n">
        <v>55.44</v>
      </c>
      <c r="V180" s="31" t="n">
        <v>54.13</v>
      </c>
      <c r="W180" s="31" t="n">
        <v>13.6</v>
      </c>
      <c r="X180" s="30" t="inlineStr">
        <is>
          <t>Cyclical in an Upturn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Headwind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3</t>
        </is>
      </c>
      <c r="BC180" s="30">
        <f>IF(BB180="Stage 2",20,IF(BB180="Stage 1",0,IF(BB180="Stage 3",5,IF(BB180="Stage 4",-5,0))))</f>
        <v/>
      </c>
      <c r="BD180" s="30" t="inlineStr">
        <is>
          <t>Negative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Less than 1.5</t>
        </is>
      </c>
      <c r="BU180" s="30">
        <f>IF(BT180="Above 2",0,IF(BT180="Between 1.5 to 2",5,IF(BT180="Less than 1.5",10,0)))</f>
        <v/>
      </c>
      <c r="BV180" s="30" t="inlineStr">
        <is>
          <t>Less than 50%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IF(B181=0,"",RANK(B181,$B$2:$B$400,0))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MAHLIFE</t>
        </is>
      </c>
      <c r="D181" s="30" t="inlineStr">
        <is>
          <t>Mahindra Lifespace Developers Limited</t>
        </is>
      </c>
      <c r="E181" s="30" t="inlineStr">
        <is>
          <t>realty</t>
        </is>
      </c>
      <c r="F181" s="30" t="inlineStr">
        <is>
          <t>construction</t>
        </is>
      </c>
      <c r="G181" s="30" t="inlineStr">
        <is>
          <t>midcap</t>
        </is>
      </c>
      <c r="H181" s="31" t="n">
        <v>8246.76</v>
      </c>
      <c r="I181" s="31" t="n">
        <v>386.85</v>
      </c>
      <c r="J181" s="31" t="n">
        <v>0.08</v>
      </c>
      <c r="K181" s="31" t="n">
        <v>141750</v>
      </c>
      <c r="L181" s="30" t="n">
        <v>28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60.45</v>
      </c>
      <c r="P181" s="31" t="n">
        <v>15.67</v>
      </c>
      <c r="Q181" s="31" t="inlineStr"/>
      <c r="R181" s="30" t="inlineStr">
        <is>
          <t>Earnings / Momentum Support</t>
        </is>
      </c>
      <c r="S181" s="30" t="inlineStr">
        <is>
          <t>Nifty Realty</t>
        </is>
      </c>
      <c r="T181" s="31" t="n">
        <v>-8.119999999999999</v>
      </c>
      <c r="U181" s="31" t="n">
        <v>-1.54</v>
      </c>
      <c r="V181" s="31" t="n">
        <v>7.16</v>
      </c>
      <c r="W181" s="31" t="n">
        <v>3.28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Headwind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No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0 to 20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3</t>
        </is>
      </c>
      <c r="BC181" s="30">
        <f>IF(BB181="Stage 2",20,IF(BB181="Stage 1",0,IF(BB181="Stage 3",5,IF(BB181="Stage 4",-5,0))))</f>
        <v/>
      </c>
      <c r="BD181" s="30" t="inlineStr">
        <is>
          <t>Negative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Less than 1.5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IF(B182=0,"",RANK(B182,$B$2:$B$400,0))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TBOTEK</t>
        </is>
      </c>
      <c r="D182" s="30" t="inlineStr">
        <is>
          <t>TBO Tek Ltd</t>
        </is>
      </c>
      <c r="E182" s="30" t="inlineStr">
        <is>
          <t>i.t</t>
        </is>
      </c>
      <c r="F182" s="30" t="inlineStr">
        <is>
          <t>travel agencies</t>
        </is>
      </c>
      <c r="G182" s="30" t="inlineStr">
        <is>
          <t>midcap</t>
        </is>
      </c>
      <c r="H182" s="31" t="n">
        <v>17492.41</v>
      </c>
      <c r="I182" s="31" t="n">
        <v>1610</v>
      </c>
      <c r="J182" s="31" t="n">
        <v>-0.06</v>
      </c>
      <c r="K182" s="31" t="n">
        <v>76263</v>
      </c>
      <c r="L182" s="30" t="n">
        <v>59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63.88</v>
      </c>
      <c r="P182" s="31" t="n">
        <v>20.03</v>
      </c>
      <c r="Q182" s="31" t="inlineStr"/>
      <c r="R182" s="30" t="inlineStr">
        <is>
          <t>Earnings / Momentum Support</t>
        </is>
      </c>
      <c r="S182" s="30" t="inlineStr">
        <is>
          <t>Nifty IT</t>
        </is>
      </c>
      <c r="T182" s="31" t="n">
        <v>-8.289999999999999</v>
      </c>
      <c r="U182" s="31" t="n">
        <v>18.3</v>
      </c>
      <c r="V182" s="31" t="n">
        <v>28.99</v>
      </c>
      <c r="W182" s="31" t="n">
        <v>10.76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Headwind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No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3</t>
        </is>
      </c>
      <c r="BC182" s="30">
        <f>IF(BB182="Stage 2",20,IF(BB182="Stage 1",0,IF(BB182="Stage 3",5,IF(BB182="Stage 4",-5,0))))</f>
        <v/>
      </c>
      <c r="BD182" s="30" t="inlineStr">
        <is>
          <t>Negative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IF(B183=0,"",RANK(B183,$B$2:$B$400,0))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RRKABEL</t>
        </is>
      </c>
      <c r="D183" s="30" t="inlineStr">
        <is>
          <t>R R Kabel Ltd</t>
        </is>
      </c>
      <c r="E183" s="30" t="inlineStr">
        <is>
          <t>industrials</t>
        </is>
      </c>
      <c r="F183" s="30" t="inlineStr">
        <is>
          <t>cables - power</t>
        </is>
      </c>
      <c r="G183" s="30" t="inlineStr">
        <is>
          <t>largecap</t>
        </is>
      </c>
      <c r="H183" s="31" t="n">
        <v>31211.46</v>
      </c>
      <c r="I183" s="31" t="n">
        <v>2756.9</v>
      </c>
      <c r="J183" s="31" t="n">
        <v>-0.09</v>
      </c>
      <c r="K183" s="31" t="n">
        <v>216591</v>
      </c>
      <c r="L183" s="30" t="n">
        <v>85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76.97</v>
      </c>
      <c r="P183" s="31" t="n">
        <v>67.18000000000001</v>
      </c>
      <c r="Q183" s="31" t="inlineStr"/>
      <c r="R183" s="30" t="inlineStr">
        <is>
          <t>Earnings / Momentum Support</t>
        </is>
      </c>
      <c r="S183" s="30" t="inlineStr">
        <is>
          <t>Nifty Energy</t>
        </is>
      </c>
      <c r="T183" s="31" t="n">
        <v>8.41</v>
      </c>
      <c r="U183" s="31" t="n">
        <v>56.69</v>
      </c>
      <c r="V183" s="31" t="n">
        <v>44.54</v>
      </c>
      <c r="W183" s="31" t="n">
        <v>22.92</v>
      </c>
      <c r="X183" s="30" t="inlineStr">
        <is>
          <t>Cyclical in an Upturn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Headwind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No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Above 40</t>
        </is>
      </c>
      <c r="AY183" s="30">
        <f>IF(AX183="Above 40",20,IF(AX183="20 to 40",10,IF(AX183="0 to 20",-5,0)))</f>
        <v/>
      </c>
      <c r="AZ183" s="30" t="inlineStr">
        <is>
          <t>Above 75</t>
        </is>
      </c>
      <c r="BA183" s="30">
        <f>IF(AZ183="Between 50 to 75",10,IF(AZ183="Above 75",0,0))</f>
        <v/>
      </c>
      <c r="BB183" s="30" t="inlineStr">
        <is>
          <t>Stage 3</t>
        </is>
      </c>
      <c r="BC183" s="30">
        <f>IF(BB183="Stage 2",20,IF(BB183="Stage 1",0,IF(BB183="Stage 3",5,IF(BB183="Stage 4",-5,0))))</f>
        <v/>
      </c>
      <c r="BD183" s="30" t="inlineStr">
        <is>
          <t>Negative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IF(B184=0,"",RANK(B184,$B$2:$B$400,0))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HONASA</t>
        </is>
      </c>
      <c r="D184" s="30" t="inlineStr">
        <is>
          <t>Honasa Consumer Ltd</t>
        </is>
      </c>
      <c r="E184" s="30" t="inlineStr">
        <is>
          <t>services</t>
        </is>
      </c>
      <c r="F184" s="30" t="inlineStr">
        <is>
          <t>trading</t>
        </is>
      </c>
      <c r="G184" s="30" t="inlineStr">
        <is>
          <t>midcap</t>
        </is>
      </c>
      <c r="H184" s="31" t="n">
        <v>15570.92</v>
      </c>
      <c r="I184" s="31" t="n">
        <v>477.1</v>
      </c>
      <c r="J184" s="31" t="n">
        <v>-0.1</v>
      </c>
      <c r="K184" s="31" t="n">
        <v>743001</v>
      </c>
      <c r="L184" s="30" t="n">
        <v>81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76.48</v>
      </c>
      <c r="P184" s="31" t="n">
        <v>57.73</v>
      </c>
      <c r="Q184" s="31" t="inlineStr"/>
      <c r="R184" s="30" t="inlineStr">
        <is>
          <t>Earnings / Momentum Support</t>
        </is>
      </c>
      <c r="S184" s="30" t="inlineStr">
        <is>
          <t>Nifty 50</t>
        </is>
      </c>
      <c r="T184" s="31" t="n">
        <v>0.85</v>
      </c>
      <c r="U184" s="31" t="n">
        <v>84.62</v>
      </c>
      <c r="V184" s="31" t="n">
        <v>83.06</v>
      </c>
      <c r="W184" s="31" t="n">
        <v>20.37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Headwind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No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Above 40</t>
        </is>
      </c>
      <c r="AY184" s="30">
        <f>IF(AX184="Above 40",20,IF(AX184="20 to 40",10,IF(AX184="0 to 20",-5,0)))</f>
        <v/>
      </c>
      <c r="AZ184" s="30" t="inlineStr">
        <is>
          <t>Above 75</t>
        </is>
      </c>
      <c r="BA184" s="30">
        <f>IF(AZ184="Between 50 to 75",10,IF(AZ184="Above 75",0,0))</f>
        <v/>
      </c>
      <c r="BB184" s="30" t="inlineStr">
        <is>
          <t>Stage 3</t>
        </is>
      </c>
      <c r="BC184" s="30">
        <f>IF(BB184="Stage 2",20,IF(BB184="Stage 1",0,IF(BB184="Stage 3",5,IF(BB184="Stage 4",-5,0))))</f>
        <v/>
      </c>
      <c r="BD184" s="30" t="inlineStr">
        <is>
          <t>Negative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Between 50% to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IF(B185=0,"",RANK(B185,$B$2:$B$400,0))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MOTHERSON</t>
        </is>
      </c>
      <c r="D185" s="30" t="inlineStr">
        <is>
          <t>Samvardhana Motherson International Ltd</t>
        </is>
      </c>
      <c r="E185" s="30" t="inlineStr">
        <is>
          <t>auto</t>
        </is>
      </c>
      <c r="F185" s="30" t="inlineStr">
        <is>
          <t>auto ancillaries</t>
        </is>
      </c>
      <c r="G185" s="30" t="inlineStr">
        <is>
          <t>largecap</t>
        </is>
      </c>
      <c r="H185" s="31" t="n">
        <v>177842.36</v>
      </c>
      <c r="I185" s="31" t="n">
        <v>167.99</v>
      </c>
      <c r="J185" s="31" t="n">
        <v>-0.3</v>
      </c>
      <c r="K185" s="31" t="n">
        <v>59397681</v>
      </c>
      <c r="L185" s="30" t="n">
        <v>59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74.56</v>
      </c>
      <c r="P185" s="31" t="n">
        <v>37.22</v>
      </c>
      <c r="Q185" s="31" t="inlineStr"/>
      <c r="R185" s="30" t="inlineStr">
        <is>
          <t>Earnings / Momentum Support</t>
        </is>
      </c>
      <c r="S185" s="30" t="inlineStr">
        <is>
          <t>Nifty Auto</t>
        </is>
      </c>
      <c r="T185" s="31" t="n">
        <v>13.41</v>
      </c>
      <c r="U185" s="31" t="n">
        <v>43.48</v>
      </c>
      <c r="V185" s="31" t="n">
        <v>26.51</v>
      </c>
      <c r="W185" s="31" t="n">
        <v>10.72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Headwind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No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3</t>
        </is>
      </c>
      <c r="BC185" s="30">
        <f>IF(BB185="Stage 2",20,IF(BB185="Stage 1",0,IF(BB185="Stage 3",5,IF(BB185="Stage 4",-5,0))))</f>
        <v/>
      </c>
      <c r="BD185" s="30" t="inlineStr">
        <is>
          <t>Negative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IF(B186=0,"",RANK(B186,$B$2:$B$400,0))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2" t="inlineStr">
        <is>
          <t>LODHA</t>
        </is>
      </c>
      <c r="D186" s="32" t="inlineStr">
        <is>
          <t>Lodha Developers Ltd</t>
        </is>
      </c>
      <c r="E186" s="30" t="inlineStr">
        <is>
          <t>realty</t>
        </is>
      </c>
      <c r="F186" s="30" t="inlineStr">
        <is>
          <t>construction</t>
        </is>
      </c>
      <c r="G186" s="30" t="inlineStr">
        <is>
          <t>largecap</t>
        </is>
      </c>
      <c r="H186" s="31" t="n">
        <v>121759.64</v>
      </c>
      <c r="I186" s="31" t="n">
        <v>1213</v>
      </c>
      <c r="J186" s="31" t="n">
        <v>-0.47</v>
      </c>
      <c r="K186" s="31" t="n">
        <v>1277678</v>
      </c>
      <c r="L186" s="30" t="n">
        <v>37</v>
      </c>
      <c r="M186" s="30" t="inlineStr">
        <is>
          <t>Underperforming</t>
        </is>
      </c>
      <c r="N186" s="31">
        <f>IF(M186="Underperforming",-5,IF(L186&gt;=95,15,IF(L186&gt;=90,10,IF(L186&gt;=80,5,0))))</f>
        <v/>
      </c>
      <c r="O186" s="31" t="n">
        <v>62.86</v>
      </c>
      <c r="P186" s="31" t="n">
        <v>20.83</v>
      </c>
      <c r="Q186" s="31" t="inlineStr"/>
      <c r="R186" s="30" t="inlineStr">
        <is>
          <t>Earnings / Momentum Support</t>
        </is>
      </c>
      <c r="S186" s="30" t="inlineStr">
        <is>
          <t>Nifty Realty</t>
        </is>
      </c>
      <c r="T186" s="31" t="n">
        <v>-8.119999999999999</v>
      </c>
      <c r="U186" s="31" t="n">
        <v>-17.46</v>
      </c>
      <c r="V186" s="31" t="n">
        <v>-10.16</v>
      </c>
      <c r="W186" s="31" t="n">
        <v>5.32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Headwind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No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3</t>
        </is>
      </c>
      <c r="BC186" s="30">
        <f>IF(BB186="Stage 2",20,IF(BB186="Stage 1",0,IF(BB186="Stage 3",5,IF(BB186="Stage 4",-5,0))))</f>
        <v/>
      </c>
      <c r="BD186" s="30" t="inlineStr">
        <is>
          <t>Negative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No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IF(B187=0,"",RANK(B187,$B$2:$B$400,0))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OAL</t>
        </is>
      </c>
      <c r="D187" s="30" t="inlineStr">
        <is>
          <t>Oriental Aromatics Ltd</t>
        </is>
      </c>
      <c r="E187" s="30" t="inlineStr">
        <is>
          <t>chemicals</t>
        </is>
      </c>
      <c r="F187" s="30" t="inlineStr">
        <is>
          <t>chemicals</t>
        </is>
      </c>
      <c r="G187" s="30" t="inlineStr">
        <is>
          <t>smallcap</t>
        </is>
      </c>
      <c r="H187" s="31" t="n">
        <v>1273.79</v>
      </c>
      <c r="I187" s="31" t="n">
        <v>375</v>
      </c>
      <c r="J187" s="31" t="n">
        <v>-0.92</v>
      </c>
      <c r="K187" s="31" t="n">
        <v>24911</v>
      </c>
      <c r="L187" s="30" t="n">
        <v>43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65.27</v>
      </c>
      <c r="P187" s="31" t="n">
        <v>27.05</v>
      </c>
      <c r="Q187" s="31" t="inlineStr"/>
      <c r="R187" s="30" t="inlineStr">
        <is>
          <t>Earnings / Momentum Support</t>
        </is>
      </c>
      <c r="S187" s="30" t="inlineStr">
        <is>
          <t>Nifty 50</t>
        </is>
      </c>
      <c r="T187" s="31" t="n">
        <v>0.85</v>
      </c>
      <c r="U187" s="31" t="n">
        <v>7.95</v>
      </c>
      <c r="V187" s="31" t="n">
        <v>7.03</v>
      </c>
      <c r="W187" s="31" t="n">
        <v>6.23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Headwind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No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3</t>
        </is>
      </c>
      <c r="BC187" s="30">
        <f>IF(BB187="Stage 2",20,IF(BB187="Stage 1",0,IF(BB187="Stage 3",5,IF(BB187="Stage 4",-5,0))))</f>
        <v/>
      </c>
      <c r="BD187" s="30" t="inlineStr">
        <is>
          <t>Negative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IF(B188=0,"",RANK(B188,$B$2:$B$400,0))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KALYANKJIL</t>
        </is>
      </c>
      <c r="D188" s="30" t="inlineStr">
        <is>
          <t>Kalyan Jewellers India Ltd</t>
        </is>
      </c>
      <c r="E188" s="30" t="inlineStr">
        <is>
          <t>consumer discretionary</t>
        </is>
      </c>
      <c r="F188" s="30" t="inlineStr">
        <is>
          <t>diamond cutting / jewellery</t>
        </is>
      </c>
      <c r="G188" s="30" t="inlineStr">
        <is>
          <t>largecap</t>
        </is>
      </c>
      <c r="H188" s="31" t="n">
        <v>62615.04</v>
      </c>
      <c r="I188" s="31" t="n">
        <v>600.25</v>
      </c>
      <c r="J188" s="31" t="n">
        <v>-1</v>
      </c>
      <c r="K188" s="31" t="n">
        <v>29410446</v>
      </c>
      <c r="L188" s="30" t="n">
        <v>68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71.68000000000001</v>
      </c>
      <c r="P188" s="31" t="n">
        <v>33.13</v>
      </c>
      <c r="Q188" s="31" t="inlineStr"/>
      <c r="R188" s="30" t="inlineStr">
        <is>
          <t>Earnings / Momentum Support</t>
        </is>
      </c>
      <c r="S188" s="30" t="inlineStr">
        <is>
          <t>Nifty 50</t>
        </is>
      </c>
      <c r="T188" s="31" t="n">
        <v>0.85</v>
      </c>
      <c r="U188" s="31" t="n">
        <v>15.14</v>
      </c>
      <c r="V188" s="31" t="n">
        <v>14.17</v>
      </c>
      <c r="W188" s="31" t="n">
        <v>13.76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Headwind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No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3</t>
        </is>
      </c>
      <c r="BC188" s="30">
        <f>IF(BB188="Stage 2",20,IF(BB188="Stage 1",0,IF(BB188="Stage 3",5,IF(BB188="Stage 4",-5,0))))</f>
        <v/>
      </c>
      <c r="BD188" s="30" t="inlineStr">
        <is>
          <t>Negative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Between 0.7 to 1.2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IF(B189=0,"",RANK(B189,$B$2:$B$400,0))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CRAFTSMAN</t>
        </is>
      </c>
      <c r="D189" s="30" t="inlineStr">
        <is>
          <t>Craftsman Automation Ltd</t>
        </is>
      </c>
      <c r="E189" s="30" t="inlineStr">
        <is>
          <t>auto</t>
        </is>
      </c>
      <c r="F189" s="30" t="inlineStr">
        <is>
          <t>auto ancillaries</t>
        </is>
      </c>
      <c r="G189" s="30" t="inlineStr">
        <is>
          <t>largecap</t>
        </is>
      </c>
      <c r="H189" s="31" t="n">
        <v>27417.69</v>
      </c>
      <c r="I189" s="31" t="n">
        <v>10282.5</v>
      </c>
      <c r="J189" s="31" t="n">
        <v>-1.91</v>
      </c>
      <c r="K189" s="31" t="n">
        <v>30985</v>
      </c>
      <c r="L189" s="30" t="n">
        <v>62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70.84</v>
      </c>
      <c r="P189" s="31" t="n">
        <v>62.44</v>
      </c>
      <c r="Q189" s="31" t="inlineStr"/>
      <c r="R189" s="30" t="inlineStr">
        <is>
          <t>Earnings / Momentum Support</t>
        </is>
      </c>
      <c r="S189" s="30" t="inlineStr">
        <is>
          <t>Nifty Auto</t>
        </is>
      </c>
      <c r="T189" s="31" t="n">
        <v>13.41</v>
      </c>
      <c r="U189" s="31" t="n">
        <v>42.38</v>
      </c>
      <c r="V189" s="31" t="n">
        <v>25.54</v>
      </c>
      <c r="W189" s="31" t="n">
        <v>11.32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Headwind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No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Above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3</t>
        </is>
      </c>
      <c r="BC189" s="30">
        <f>IF(BB189="Stage 2",20,IF(BB189="Stage 1",0,IF(BB189="Stage 3",5,IF(BB189="Stage 4",-5,0))))</f>
        <v/>
      </c>
      <c r="BD189" s="30" t="inlineStr">
        <is>
          <t>Negative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Between 0.7 to 1.2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IF(B190=0,"",RANK(B190,$B$2:$B$400,0))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GABRIEL</t>
        </is>
      </c>
      <c r="D190" s="30" t="inlineStr">
        <is>
          <t>Gabriel India Limited</t>
        </is>
      </c>
      <c r="E190" s="30" t="inlineStr">
        <is>
          <t>auto</t>
        </is>
      </c>
      <c r="F190" s="30" t="inlineStr">
        <is>
          <t>auto ancillaries</t>
        </is>
      </c>
      <c r="G190" s="30" t="inlineStr">
        <is>
          <t>largecap</t>
        </is>
      </c>
      <c r="H190" s="31" t="n">
        <v>26580.96</v>
      </c>
      <c r="I190" s="31" t="n">
        <v>1469.8</v>
      </c>
      <c r="J190" s="31" t="n">
        <v>-2</v>
      </c>
      <c r="K190" s="31" t="n">
        <v>257361</v>
      </c>
      <c r="L190" s="30" t="n">
        <v>70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74.92</v>
      </c>
      <c r="P190" s="31" t="n">
        <v>35.95</v>
      </c>
      <c r="Q190" s="31" t="inlineStr"/>
      <c r="R190" s="30" t="inlineStr">
        <is>
          <t>Earnings / Momentum Support</t>
        </is>
      </c>
      <c r="S190" s="30" t="inlineStr">
        <is>
          <t>Nifty Auto</t>
        </is>
      </c>
      <c r="T190" s="31" t="n">
        <v>13.41</v>
      </c>
      <c r="U190" s="31" t="n">
        <v>32.19</v>
      </c>
      <c r="V190" s="31" t="n">
        <v>16.56</v>
      </c>
      <c r="W190" s="31" t="n">
        <v>14.07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Headwind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No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3</t>
        </is>
      </c>
      <c r="BC190" s="30">
        <f>IF(BB190="Stage 2",20,IF(BB190="Stage 1",0,IF(BB190="Stage 3",5,IF(BB190="Stage 4",-5,0))))</f>
        <v/>
      </c>
      <c r="BD190" s="30" t="inlineStr">
        <is>
          <t>Negative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Yes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IF(B191=0,"",RANK(B191,$B$2:$B$400,0))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IGPL</t>
        </is>
      </c>
      <c r="D191" s="30" t="inlineStr">
        <is>
          <t>Ig Petrochemicals Limited</t>
        </is>
      </c>
      <c r="E191" s="30" t="inlineStr">
        <is>
          <t>chemicals</t>
        </is>
      </c>
      <c r="F191" s="30" t="inlineStr">
        <is>
          <t>chemicals</t>
        </is>
      </c>
      <c r="G191" s="30" t="inlineStr">
        <is>
          <t>smallcap</t>
        </is>
      </c>
      <c r="H191" s="31" t="n">
        <v>1517.88</v>
      </c>
      <c r="I191" s="31" t="n">
        <v>482.6</v>
      </c>
      <c r="J191" s="31" t="n">
        <v>-2.09</v>
      </c>
      <c r="K191" s="31" t="n">
        <v>83369</v>
      </c>
      <c r="L191" s="30" t="n">
        <v>32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65.98</v>
      </c>
      <c r="P191" s="31" t="n">
        <v>23.07</v>
      </c>
      <c r="Q191" s="31" t="inlineStr"/>
      <c r="R191" s="30" t="inlineStr">
        <is>
          <t>Earnings / Momentum Support</t>
        </is>
      </c>
      <c r="S191" s="30" t="inlineStr">
        <is>
          <t>Nifty 50</t>
        </is>
      </c>
      <c r="T191" s="31" t="n">
        <v>0.85</v>
      </c>
      <c r="U191" s="31" t="n">
        <v>7.58</v>
      </c>
      <c r="V191" s="31" t="n">
        <v>6.68</v>
      </c>
      <c r="W191" s="31" t="n">
        <v>4.09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Headwind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3</t>
        </is>
      </c>
      <c r="BC191" s="30">
        <f>IF(BB191="Stage 2",20,IF(BB191="Stage 1",0,IF(BB191="Stage 3",5,IF(BB191="Stage 4",-5,0))))</f>
        <v/>
      </c>
      <c r="BD191" s="30" t="inlineStr">
        <is>
          <t>Negative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IF(B192=0,"",RANK(B192,$B$2:$B$400,0))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NAHARSPING</t>
        </is>
      </c>
      <c r="D192" s="30" t="inlineStr">
        <is>
          <t>Nahar Spinning Mills Limited</t>
        </is>
      </c>
      <c r="E192" s="30" t="inlineStr">
        <is>
          <t>textiles</t>
        </is>
      </c>
      <c r="F192" s="30" t="inlineStr">
        <is>
          <t>textiles - cotton/blended</t>
        </is>
      </c>
      <c r="G192" s="30" t="inlineStr">
        <is>
          <t>smallcap</t>
        </is>
      </c>
      <c r="H192" s="31" t="n">
        <v>1140.57</v>
      </c>
      <c r="I192" s="31" t="n">
        <v>307.7</v>
      </c>
      <c r="J192" s="31" t="n">
        <v>-2.7</v>
      </c>
      <c r="K192" s="31" t="n">
        <v>37947</v>
      </c>
      <c r="L192" s="30" t="n">
        <v>70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71.70999999999999</v>
      </c>
      <c r="P192" s="31" t="n">
        <v>27.64</v>
      </c>
      <c r="Q192" s="31" t="inlineStr"/>
      <c r="R192" s="30" t="inlineStr">
        <is>
          <t>Earnings / Momentum Support</t>
        </is>
      </c>
      <c r="S192" s="30" t="inlineStr">
        <is>
          <t>Nifty 50</t>
        </is>
      </c>
      <c r="T192" s="31" t="n">
        <v>0.85</v>
      </c>
      <c r="U192" s="31" t="n">
        <v>55.01</v>
      </c>
      <c r="V192" s="31" t="n">
        <v>53.7</v>
      </c>
      <c r="W192" s="31" t="n">
        <v>14.12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Headwind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No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3</t>
        </is>
      </c>
      <c r="BC192" s="30">
        <f>IF(BB192="Stage 2",20,IF(BB192="Stage 1",0,IF(BB192="Stage 3",5,IF(BB192="Stage 4",-5,0))))</f>
        <v/>
      </c>
      <c r="BD192" s="30" t="inlineStr">
        <is>
          <t>Negative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IF(B193=0,"",RANK(B193,$B$2:$B$400,0))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SWANDEF</t>
        </is>
      </c>
      <c r="D193" s="30" t="inlineStr">
        <is>
          <t>Swan Defence and Heavy Industries Ltd</t>
        </is>
      </c>
      <c r="E193" s="30" t="inlineStr">
        <is>
          <t>transportation</t>
        </is>
      </c>
      <c r="F193" s="30" t="inlineStr">
        <is>
          <t>miscellaneous</t>
        </is>
      </c>
      <c r="G193" s="30" t="inlineStr">
        <is>
          <t>midcap</t>
        </is>
      </c>
      <c r="H193" s="31" t="n">
        <v>14197.31</v>
      </c>
      <c r="I193" s="31" t="n">
        <v>2610</v>
      </c>
      <c r="J193" s="31" t="n">
        <v>-3.15</v>
      </c>
      <c r="K193" s="31" t="n">
        <v>6871</v>
      </c>
      <c r="L193" s="30" t="n">
        <v>98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74.79000000000001</v>
      </c>
      <c r="P193" s="31" t="n">
        <v>54.46</v>
      </c>
      <c r="Q193" s="31" t="inlineStr"/>
      <c r="R193" s="30" t="inlineStr">
        <is>
          <t>Earnings / Momentum Support</t>
        </is>
      </c>
      <c r="S193" s="30" t="inlineStr">
        <is>
          <t>Nifty 50</t>
        </is>
      </c>
      <c r="T193" s="31" t="n">
        <v>0.85</v>
      </c>
      <c r="U193" s="31" t="n">
        <v>698.13</v>
      </c>
      <c r="V193" s="31" t="n">
        <v>691.4</v>
      </c>
      <c r="W193" s="31" t="n">
        <v>71.67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Headwind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No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Above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3</t>
        </is>
      </c>
      <c r="BC193" s="30">
        <f>IF(BB193="Stage 2",20,IF(BB193="Stage 1",0,IF(BB193="Stage 3",5,IF(BB193="Stage 4",-5,0))))</f>
        <v/>
      </c>
      <c r="BD193" s="30" t="inlineStr">
        <is>
          <t>Negative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No</t>
        </is>
      </c>
      <c r="BS193" s="30">
        <f>IF(BR193="NO",5,0)</f>
        <v/>
      </c>
      <c r="BT193" s="30" t="inlineStr">
        <is>
          <t>Less than 1.5</t>
        </is>
      </c>
      <c r="BU193" s="30">
        <f>IF(BT193="Above 2",0,IF(BT193="Between 1.5 to 2",5,IF(BT193="Less than 1.5",10,0)))</f>
        <v/>
      </c>
      <c r="BV193" s="30" t="inlineStr">
        <is>
          <t>Negative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More than 1.2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IF(B194=0,"",RANK(B194,$B$2:$B$400,0))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AKUMS</t>
        </is>
      </c>
      <c r="D194" s="30" t="inlineStr">
        <is>
          <t>Akums Drugs &amp; Pharmaceuticals Ltd</t>
        </is>
      </c>
      <c r="E194" s="30" t="inlineStr">
        <is>
          <t>healthcare</t>
        </is>
      </c>
      <c r="F194" s="30" t="inlineStr">
        <is>
          <t>pharmaceuticals - indian - bulk drugs &amp; formln</t>
        </is>
      </c>
      <c r="G194" s="30" t="inlineStr">
        <is>
          <t>midcap</t>
        </is>
      </c>
      <c r="H194" s="31" t="n">
        <v>10977.44</v>
      </c>
      <c r="I194" s="31" t="n">
        <v>730.1</v>
      </c>
      <c r="J194" s="31" t="n">
        <v>4.68</v>
      </c>
      <c r="K194" s="31" t="n">
        <v>2185132</v>
      </c>
      <c r="L194" s="30" t="n">
        <v>69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68.31</v>
      </c>
      <c r="P194" s="31" t="n">
        <v>49.51</v>
      </c>
      <c r="Q194" s="31" t="inlineStr"/>
      <c r="R194" s="30" t="inlineStr">
        <is>
          <t>Earnings / Momentum Support</t>
        </is>
      </c>
      <c r="S194" s="30" t="inlineStr">
        <is>
          <t>Nifty Pharma</t>
        </is>
      </c>
      <c r="T194" s="31" t="n">
        <v>24.01</v>
      </c>
      <c r="U194" s="31" t="n">
        <v>45.88</v>
      </c>
      <c r="V194" s="31" t="n">
        <v>17.63</v>
      </c>
      <c r="W194" s="31" t="n">
        <v>13.84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Yes</t>
        </is>
      </c>
      <c r="AC194" s="30">
        <f>IF(AB194="No",5,0)</f>
        <v/>
      </c>
      <c r="AD194" s="30" t="inlineStr">
        <is>
          <t>Headwind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No</t>
        </is>
      </c>
      <c r="AQ194" s="30">
        <f>IF(AP194="Yes",10,0)</f>
        <v/>
      </c>
      <c r="AR194" s="30" t="inlineStr">
        <is>
          <t>Higher Annuity, Lower One Time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Above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3</t>
        </is>
      </c>
      <c r="BC194" s="30">
        <f>IF(BB194="Stage 2",20,IF(BB194="Stage 1",0,IF(BB194="Stage 3",5,IF(BB194="Stage 4",-5,0))))</f>
        <v/>
      </c>
      <c r="BD194" s="30" t="inlineStr">
        <is>
          <t>Negative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Less than 12%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IF(B195=0,"",RANK(B195,$B$2:$B$400,0))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MANORAMA</t>
        </is>
      </c>
      <c r="D195" s="30" t="inlineStr">
        <is>
          <t>Manorama Industries Ltd</t>
        </is>
      </c>
      <c r="E195" s="30" t="inlineStr">
        <is>
          <t>fmcg</t>
        </is>
      </c>
      <c r="F195" s="30" t="inlineStr">
        <is>
          <t>food - processing - indian</t>
        </is>
      </c>
      <c r="G195" s="30" t="inlineStr">
        <is>
          <t>midcap</t>
        </is>
      </c>
      <c r="H195" s="31" t="n">
        <v>9769.51</v>
      </c>
      <c r="I195" s="31" t="n">
        <v>1674</v>
      </c>
      <c r="J195" s="31" t="n">
        <v>2.31</v>
      </c>
      <c r="K195" s="31" t="n">
        <v>90784</v>
      </c>
      <c r="L195" s="30" t="n">
        <v>29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62.64</v>
      </c>
      <c r="P195" s="31" t="n">
        <v>14.72</v>
      </c>
      <c r="Q195" s="31" t="inlineStr"/>
      <c r="R195" s="30" t="inlineStr">
        <is>
          <t>Earnings / Momentum Support</t>
        </is>
      </c>
      <c r="S195" s="30" t="inlineStr">
        <is>
          <t>Nifty FMCG</t>
        </is>
      </c>
      <c r="T195" s="31" t="n">
        <v>-13.73</v>
      </c>
      <c r="U195" s="31" t="n">
        <v>2.05</v>
      </c>
      <c r="V195" s="31" t="n">
        <v>18.29</v>
      </c>
      <c r="W195" s="31" t="n">
        <v>3.39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Headwind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B2C</t>
        </is>
      </c>
      <c r="AO195" s="30">
        <f>IF(AN195="B2C",10,IF(AN195="B2B",5,0))</f>
        <v/>
      </c>
      <c r="AP195" s="30" t="inlineStr">
        <is>
          <t>No</t>
        </is>
      </c>
      <c r="AQ195" s="30">
        <f>IF(AP195="Yes",10,0)</f>
        <v/>
      </c>
      <c r="AR195" s="30" t="inlineStr">
        <is>
          <t>Higher Annuity, Lower One Time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0 to 20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3</t>
        </is>
      </c>
      <c r="BC195" s="30">
        <f>IF(BB195="Stage 2",20,IF(BB195="Stage 1",0,IF(BB195="Stage 3",5,IF(BB195="Stage 4",-5,0))))</f>
        <v/>
      </c>
      <c r="BD195" s="30" t="inlineStr">
        <is>
          <t>Negative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Less than 1.5</t>
        </is>
      </c>
      <c r="BU195" s="30">
        <f>IF(BT195="Above 2",0,IF(BT195="Between 1.5 to 2",5,IF(BT195="Less than 1.5",10,0)))</f>
        <v/>
      </c>
      <c r="BV195" s="30" t="inlineStr">
        <is>
          <t>Between 50% to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IF(B196=0,"",RANK(B196,$B$2:$B$400,0))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2" t="inlineStr">
        <is>
          <t>PPLPHARMA</t>
        </is>
      </c>
      <c r="D196" s="32" t="inlineStr">
        <is>
          <t>Piramal Pharma Ltd</t>
        </is>
      </c>
      <c r="E196" s="30" t="inlineStr">
        <is>
          <t>healthcare</t>
        </is>
      </c>
      <c r="F196" s="30" t="inlineStr">
        <is>
          <t>pharmaceuticals - indian - bulk drugs &amp; formln</t>
        </is>
      </c>
      <c r="G196" s="30" t="inlineStr">
        <is>
          <t>largecap</t>
        </is>
      </c>
      <c r="H196" s="31" t="n">
        <v>27898.4</v>
      </c>
      <c r="I196" s="31" t="n">
        <v>213.61</v>
      </c>
      <c r="J196" s="31" t="n">
        <v>1.94</v>
      </c>
      <c r="K196" s="31" t="n">
        <v>9027984</v>
      </c>
      <c r="L196" s="30" t="n">
        <v>43</v>
      </c>
      <c r="M196" s="30" t="inlineStr">
        <is>
          <t>Underperforming</t>
        </is>
      </c>
      <c r="N196" s="31">
        <f>IF(M196="Underperforming",-5,IF(L196&gt;=95,15,IF(L196&gt;=90,10,IF(L196&gt;=80,5,0))))</f>
        <v/>
      </c>
      <c r="O196" s="31" t="n">
        <v>71.18000000000001</v>
      </c>
      <c r="P196" s="31" t="n">
        <v>25.32</v>
      </c>
      <c r="Q196" s="31" t="inlineStr"/>
      <c r="R196" s="30" t="inlineStr">
        <is>
          <t>Earnings / Momentum Support</t>
        </is>
      </c>
      <c r="S196" s="30" t="inlineStr">
        <is>
          <t>Nifty Pharma</t>
        </is>
      </c>
      <c r="T196" s="31" t="n">
        <v>24.01</v>
      </c>
      <c r="U196" s="31" t="n">
        <v>10.25</v>
      </c>
      <c r="V196" s="31" t="n">
        <v>-11.1</v>
      </c>
      <c r="W196" s="31" t="n">
        <v>6.16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Yes</t>
        </is>
      </c>
      <c r="AC196" s="30">
        <f>IF(AB196="No",5,0)</f>
        <v/>
      </c>
      <c r="AD196" s="30" t="inlineStr">
        <is>
          <t>Headwind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Annuity, Lower One Time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3</t>
        </is>
      </c>
      <c r="BC196" s="30">
        <f>IF(BB196="Stage 2",20,IF(BB196="Stage 1",0,IF(BB196="Stage 3",5,IF(BB196="Stage 4",-5,0))))</f>
        <v/>
      </c>
      <c r="BD196" s="30" t="inlineStr">
        <is>
          <t>Negative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IF(B197=0,"",RANK(B197,$B$2:$B$400,0))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UNITDSPR</t>
        </is>
      </c>
      <c r="D197" s="30" t="inlineStr">
        <is>
          <t>United Spirits Ltd</t>
        </is>
      </c>
      <c r="E197" s="30" t="inlineStr">
        <is>
          <t>fmcg</t>
        </is>
      </c>
      <c r="F197" s="30" t="inlineStr">
        <is>
          <t>breweries &amp; distilleries</t>
        </is>
      </c>
      <c r="G197" s="30" t="inlineStr">
        <is>
          <t>largecap</t>
        </is>
      </c>
      <c r="H197" s="31" t="n">
        <v>110004.54</v>
      </c>
      <c r="I197" s="31" t="n">
        <v>1522</v>
      </c>
      <c r="J197" s="31" t="n">
        <v>0.63</v>
      </c>
      <c r="K197" s="31" t="n">
        <v>1151926</v>
      </c>
      <c r="L197" s="30" t="n">
        <v>21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67.13</v>
      </c>
      <c r="P197" s="31" t="n">
        <v>21.85</v>
      </c>
      <c r="Q197" s="31" t="inlineStr"/>
      <c r="R197" s="30" t="inlineStr">
        <is>
          <t>Earnings / Momentum Support</t>
        </is>
      </c>
      <c r="S197" s="30" t="inlineStr">
        <is>
          <t>Nifty FMCG</t>
        </is>
      </c>
      <c r="T197" s="31" t="n">
        <v>-13.73</v>
      </c>
      <c r="U197" s="31" t="n">
        <v>2.84</v>
      </c>
      <c r="V197" s="31" t="n">
        <v>19.21</v>
      </c>
      <c r="W197" s="31" t="n">
        <v>1.89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Headwind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B2C</t>
        </is>
      </c>
      <c r="AO197" s="30">
        <f>IF(AN197="B2C",10,IF(AN197="B2B",5,0))</f>
        <v/>
      </c>
      <c r="AP197" s="30" t="inlineStr">
        <is>
          <t>No</t>
        </is>
      </c>
      <c r="AQ197" s="30">
        <f>IF(AP197="Yes",10,0)</f>
        <v/>
      </c>
      <c r="AR197" s="30" t="inlineStr">
        <is>
          <t>Higher Annuity, Lower One Time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3</t>
        </is>
      </c>
      <c r="BC197" s="30">
        <f>IF(BB197="Stage 2",20,IF(BB197="Stage 1",0,IF(BB197="Stage 3",5,IF(BB197="Stage 4",-5,0))))</f>
        <v/>
      </c>
      <c r="BD197" s="30" t="inlineStr">
        <is>
          <t>Negative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Less than 12%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IF(B198=0,"",RANK(B198,$B$2:$B$400,0))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DIVISLAB</t>
        </is>
      </c>
      <c r="D198" s="30" t="inlineStr">
        <is>
          <t>Divi's Laboratories Limited</t>
        </is>
      </c>
      <c r="E198" s="30" t="inlineStr">
        <is>
          <t>healthcare</t>
        </is>
      </c>
      <c r="F198" s="30" t="inlineStr">
        <is>
          <t>pharmaceuticals - indian - bulk drugs</t>
        </is>
      </c>
      <c r="G198" s="30" t="inlineStr">
        <is>
          <t>largecap</t>
        </is>
      </c>
      <c r="H198" s="31" t="n">
        <v>219675.25</v>
      </c>
      <c r="I198" s="31" t="n">
        <v>8300</v>
      </c>
      <c r="J198" s="31" t="n">
        <v>0.3</v>
      </c>
      <c r="K198" s="31" t="n">
        <v>745378</v>
      </c>
      <c r="L198" s="30" t="n">
        <v>65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82.20999999999999</v>
      </c>
      <c r="P198" s="31" t="n">
        <v>31.33</v>
      </c>
      <c r="Q198" s="31" t="inlineStr"/>
      <c r="R198" s="30" t="inlineStr">
        <is>
          <t>Earnings / Momentum Support</t>
        </is>
      </c>
      <c r="S198" s="30" t="inlineStr">
        <is>
          <t>Nifty Pharma</t>
        </is>
      </c>
      <c r="T198" s="31" t="n">
        <v>24.01</v>
      </c>
      <c r="U198" s="31" t="n">
        <v>40.49</v>
      </c>
      <c r="V198" s="31" t="n">
        <v>13.28</v>
      </c>
      <c r="W198" s="31" t="n">
        <v>12.42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Yes</t>
        </is>
      </c>
      <c r="AC198" s="30">
        <f>IF(AB198="No",5,0)</f>
        <v/>
      </c>
      <c r="AD198" s="30" t="inlineStr">
        <is>
          <t>Headwind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Annuity, Lower One Time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Above 75</t>
        </is>
      </c>
      <c r="BA198" s="30">
        <f>IF(AZ198="Between 50 to 75",10,IF(AZ198="Above 75",0,0))</f>
        <v/>
      </c>
      <c r="BB198" s="30" t="inlineStr">
        <is>
          <t>Stage 3</t>
        </is>
      </c>
      <c r="BC198" s="30">
        <f>IF(BB198="Stage 2",20,IF(BB198="Stage 1",0,IF(BB198="Stage 3",5,IF(BB198="Stage 4",-5,0))))</f>
        <v/>
      </c>
      <c r="BD198" s="30" t="inlineStr">
        <is>
          <t>Negative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IF(B199=0,"",RANK(B199,$B$2:$B$400,0))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ARTEMISMED</t>
        </is>
      </c>
      <c r="D199" s="30" t="inlineStr">
        <is>
          <t>Artemis Medicare Services Ltd</t>
        </is>
      </c>
      <c r="E199" s="30" t="inlineStr">
        <is>
          <t>healthcare</t>
        </is>
      </c>
      <c r="F199" s="30" t="inlineStr">
        <is>
          <t>healthcare</t>
        </is>
      </c>
      <c r="G199" s="30" t="inlineStr">
        <is>
          <t>midcap</t>
        </is>
      </c>
      <c r="H199" s="31" t="n">
        <v>5007.23</v>
      </c>
      <c r="I199" s="31" t="n">
        <v>315.95</v>
      </c>
      <c r="J199" s="31" t="n">
        <v>-0.11</v>
      </c>
      <c r="K199" s="31" t="n">
        <v>479872</v>
      </c>
      <c r="L199" s="30" t="n">
        <v>59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71.33</v>
      </c>
      <c r="P199" s="31" t="n">
        <v>27.82</v>
      </c>
      <c r="Q199" s="31" t="inlineStr"/>
      <c r="R199" s="30" t="inlineStr">
        <is>
          <t>Earnings / Momentum Support</t>
        </is>
      </c>
      <c r="S199" s="30" t="inlineStr">
        <is>
          <t>Nifty Pharma</t>
        </is>
      </c>
      <c r="T199" s="31" t="n">
        <v>24.01</v>
      </c>
      <c r="U199" s="31" t="n">
        <v>31.47</v>
      </c>
      <c r="V199" s="31" t="n">
        <v>6.01</v>
      </c>
      <c r="W199" s="31" t="n">
        <v>10.23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Yes</t>
        </is>
      </c>
      <c r="AC199" s="30">
        <f>IF(AB199="No",5,0)</f>
        <v/>
      </c>
      <c r="AD199" s="30" t="inlineStr">
        <is>
          <t>Headwind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No</t>
        </is>
      </c>
      <c r="AQ199" s="30">
        <f>IF(AP199="Yes",10,0)</f>
        <v/>
      </c>
      <c r="AR199" s="30" t="inlineStr">
        <is>
          <t>Higher Annuity, Lower One Time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3</t>
        </is>
      </c>
      <c r="BC199" s="30">
        <f>IF(BB199="Stage 2",20,IF(BB199="Stage 1",0,IF(BB199="Stage 3",5,IF(BB199="Stage 4",-5,0))))</f>
        <v/>
      </c>
      <c r="BD199" s="30" t="inlineStr">
        <is>
          <t>Negative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IF(B200=0,"",RANK(B200,$B$2:$B$400,0))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ASTERDM</t>
        </is>
      </c>
      <c r="D200" s="30" t="inlineStr">
        <is>
          <t>Aster DM Healthcare Ltd</t>
        </is>
      </c>
      <c r="E200" s="30" t="inlineStr">
        <is>
          <t>healthcare</t>
        </is>
      </c>
      <c r="F200" s="30" t="inlineStr">
        <is>
          <t>healthcare</t>
        </is>
      </c>
      <c r="G200" s="30" t="inlineStr">
        <is>
          <t>largecap</t>
        </is>
      </c>
      <c r="H200" s="31" t="n">
        <v>75809.35000000001</v>
      </c>
      <c r="I200" s="31" t="n">
        <v>867.15</v>
      </c>
      <c r="J200" s="31" t="n">
        <v>-0.29</v>
      </c>
      <c r="K200" s="31" t="n">
        <v>1012733</v>
      </c>
      <c r="L200" s="30" t="n">
        <v>67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69.52</v>
      </c>
      <c r="P200" s="31" t="n">
        <v>48.55</v>
      </c>
      <c r="Q200" s="31" t="inlineStr"/>
      <c r="R200" s="30" t="inlineStr">
        <is>
          <t>Earnings / Momentum Support</t>
        </is>
      </c>
      <c r="S200" s="30" t="inlineStr">
        <is>
          <t>Nifty Pharma</t>
        </is>
      </c>
      <c r="T200" s="31" t="n">
        <v>24.01</v>
      </c>
      <c r="U200" s="31" t="n">
        <v>50.74</v>
      </c>
      <c r="V200" s="31" t="n">
        <v>21.55</v>
      </c>
      <c r="W200" s="31" t="n">
        <v>13.51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Yes</t>
        </is>
      </c>
      <c r="AC200" s="30">
        <f>IF(AB200="No",5,0)</f>
        <v/>
      </c>
      <c r="AD200" s="30" t="inlineStr">
        <is>
          <t>Headwind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Above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3</t>
        </is>
      </c>
      <c r="BC200" s="30">
        <f>IF(BB200="Stage 2",20,IF(BB200="Stage 1",0,IF(BB200="Stage 3",5,IF(BB200="Stage 4",-5,0))))</f>
        <v/>
      </c>
      <c r="BD200" s="30" t="inlineStr">
        <is>
          <t>Negative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IF(B201=0,"",RANK(B201,$B$2:$B$400,0))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2" t="inlineStr">
        <is>
          <t>RAINBOW</t>
        </is>
      </c>
      <c r="D201" s="32" t="inlineStr">
        <is>
          <t>Rainbow Childrens Medicare Ltd</t>
        </is>
      </c>
      <c r="E201" s="30" t="inlineStr">
        <is>
          <t>healthcare</t>
        </is>
      </c>
      <c r="F201" s="30" t="inlineStr">
        <is>
          <t>healthcare</t>
        </is>
      </c>
      <c r="G201" s="30" t="inlineStr">
        <is>
          <t>midcap</t>
        </is>
      </c>
      <c r="H201" s="31" t="n">
        <v>15809.71</v>
      </c>
      <c r="I201" s="31" t="n">
        <v>1536.7</v>
      </c>
      <c r="J201" s="31" t="n">
        <v>-1.28</v>
      </c>
      <c r="K201" s="31" t="n">
        <v>79401</v>
      </c>
      <c r="L201" s="30" t="n">
        <v>42</v>
      </c>
      <c r="M201" s="30" t="inlineStr">
        <is>
          <t>Underperforming</t>
        </is>
      </c>
      <c r="N201" s="31">
        <f>IF(M201="Underperforming",-5,IF(L201&gt;=95,15,IF(L201&gt;=90,10,IF(L201&gt;=80,5,0))))</f>
        <v/>
      </c>
      <c r="O201" s="31" t="n">
        <v>70.29000000000001</v>
      </c>
      <c r="P201" s="31" t="n">
        <v>40.98</v>
      </c>
      <c r="Q201" s="31" t="inlineStr"/>
      <c r="R201" s="30" t="inlineStr">
        <is>
          <t>Earnings / Momentum Support</t>
        </is>
      </c>
      <c r="S201" s="30" t="inlineStr">
        <is>
          <t>Nifty Pharma</t>
        </is>
      </c>
      <c r="T201" s="31" t="n">
        <v>24.01</v>
      </c>
      <c r="U201" s="31" t="n">
        <v>6.26</v>
      </c>
      <c r="V201" s="31" t="n">
        <v>-14.32</v>
      </c>
      <c r="W201" s="31" t="n">
        <v>6.11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Yes</t>
        </is>
      </c>
      <c r="AC201" s="30">
        <f>IF(AB201="No",5,0)</f>
        <v/>
      </c>
      <c r="AD201" s="30" t="inlineStr">
        <is>
          <t>Headwind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No</t>
        </is>
      </c>
      <c r="AQ201" s="30">
        <f>IF(AP201="Yes",10,0)</f>
        <v/>
      </c>
      <c r="AR201" s="30" t="inlineStr">
        <is>
          <t>Higher Annuity, Lower One Time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Above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3</t>
        </is>
      </c>
      <c r="BC201" s="30">
        <f>IF(BB201="Stage 2",20,IF(BB201="Stage 1",0,IF(BB201="Stage 3",5,IF(BB201="Stage 4",-5,0))))</f>
        <v/>
      </c>
      <c r="BD201" s="30" t="inlineStr">
        <is>
          <t>Negative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Between 12 to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IF(B202=0,"",RANK(B202,$B$2:$B$400,0))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MOREPENLAB</t>
        </is>
      </c>
      <c r="D202" s="30" t="inlineStr">
        <is>
          <t>Morepen Laboratories Limited</t>
        </is>
      </c>
      <c r="E202" s="30" t="inlineStr">
        <is>
          <t>healthcare</t>
        </is>
      </c>
      <c r="F202" s="30" t="inlineStr">
        <is>
          <t>pharmaceuticals - indian - bulk drugs &amp; formln</t>
        </is>
      </c>
      <c r="G202" s="30" t="inlineStr">
        <is>
          <t>smallcap</t>
        </is>
      </c>
      <c r="H202" s="31" t="n">
        <v>4397.33</v>
      </c>
      <c r="I202" s="31" t="n">
        <v>79.16</v>
      </c>
      <c r="J202" s="31" t="n">
        <v>-1.36</v>
      </c>
      <c r="K202" s="31" t="n">
        <v>15288954</v>
      </c>
      <c r="L202" s="30" t="n">
        <v>93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78.25</v>
      </c>
      <c r="P202" s="31" t="n">
        <v>34.43</v>
      </c>
      <c r="Q202" s="31" t="inlineStr"/>
      <c r="R202" s="30" t="inlineStr">
        <is>
          <t>Earnings / Momentum Support</t>
        </is>
      </c>
      <c r="S202" s="30" t="inlineStr">
        <is>
          <t>Nifty Pharma</t>
        </is>
      </c>
      <c r="T202" s="31" t="n">
        <v>24.01</v>
      </c>
      <c r="U202" s="31" t="n">
        <v>70.97</v>
      </c>
      <c r="V202" s="31" t="n">
        <v>37.86</v>
      </c>
      <c r="W202" s="31" t="n">
        <v>30.85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Yes</t>
        </is>
      </c>
      <c r="AC202" s="30">
        <f>IF(AB202="No",5,0)</f>
        <v/>
      </c>
      <c r="AD202" s="30" t="inlineStr">
        <is>
          <t>Headwind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Annuity, Lower One Time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Above 75</t>
        </is>
      </c>
      <c r="BA202" s="30">
        <f>IF(AZ202="Between 50 to 75",10,IF(AZ202="Above 75",0,0))</f>
        <v/>
      </c>
      <c r="BB202" s="30" t="inlineStr">
        <is>
          <t>Stage 3</t>
        </is>
      </c>
      <c r="BC202" s="30">
        <f>IF(BB202="Stage 2",20,IF(BB202="Stage 1",0,IF(BB202="Stage 3",5,IF(BB202="Stage 4",-5,0))))</f>
        <v/>
      </c>
      <c r="BD202" s="30" t="inlineStr">
        <is>
          <t>Negative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IF(B203=0,"",RANK(B203,$B$2:$B$400,0))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POWERINDIA</t>
        </is>
      </c>
      <c r="D203" s="30" t="inlineStr">
        <is>
          <t>Hitachi Energy India Ltd</t>
        </is>
      </c>
      <c r="E203" s="30" t="inlineStr">
        <is>
          <t>industrials</t>
        </is>
      </c>
      <c r="F203" s="30" t="inlineStr">
        <is>
          <t>electric equipment</t>
        </is>
      </c>
      <c r="G203" s="30" t="inlineStr">
        <is>
          <t>largecap</t>
        </is>
      </c>
      <c r="H203" s="31" t="n">
        <v>145305.9</v>
      </c>
      <c r="I203" s="31" t="n">
        <v>36050</v>
      </c>
      <c r="J203" s="31" t="n">
        <v>10.58</v>
      </c>
      <c r="K203" s="31" t="n">
        <v>1348196</v>
      </c>
      <c r="L203" s="30" t="n">
        <v>60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56.45</v>
      </c>
      <c r="P203" s="31" t="n">
        <v>39.87</v>
      </c>
      <c r="Q203" s="31" t="inlineStr"/>
      <c r="R203" s="30" t="inlineStr">
        <is>
          <t>Earnings / Momentum Support</t>
        </is>
      </c>
      <c r="S203" s="30" t="inlineStr">
        <is>
          <t>Nifty 50</t>
        </is>
      </c>
      <c r="T203" s="31" t="n">
        <v>0.85</v>
      </c>
      <c r="U203" s="31" t="n">
        <v>60.68</v>
      </c>
      <c r="V203" s="31" t="n">
        <v>59.32</v>
      </c>
      <c r="W203" s="31" t="n">
        <v>10.98</v>
      </c>
      <c r="X203" s="30" t="inlineStr">
        <is>
          <t>Cyclical in an Upturn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Headwind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No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3</t>
        </is>
      </c>
      <c r="BC203" s="30">
        <f>IF(BB203="Stage 2",20,IF(BB203="Stage 1",0,IF(BB203="Stage 3",5,IF(BB203="Stage 4",-5,0))))</f>
        <v/>
      </c>
      <c r="BD203" s="30" t="inlineStr">
        <is>
          <t>Negative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IF(B204=0,"",RANK(B204,$B$2:$B$400,0))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2" t="inlineStr">
        <is>
          <t>SUMICHEM</t>
        </is>
      </c>
      <c r="D204" s="32" t="inlineStr">
        <is>
          <t>Sumitomo Chemical India Ltd</t>
        </is>
      </c>
      <c r="E204" s="30" t="inlineStr">
        <is>
          <t>chemicals</t>
        </is>
      </c>
      <c r="F204" s="30" t="inlineStr">
        <is>
          <t>pesticides / agrochemicals - indian</t>
        </is>
      </c>
      <c r="G204" s="30" t="inlineStr">
        <is>
          <t>largecap</t>
        </is>
      </c>
      <c r="H204" s="31" t="n">
        <v>26601.97</v>
      </c>
      <c r="I204" s="31" t="n">
        <v>561.25</v>
      </c>
      <c r="J204" s="31" t="n">
        <v>5.31</v>
      </c>
      <c r="K204" s="31" t="n">
        <v>2054001</v>
      </c>
      <c r="L204" s="30" t="n">
        <v>19</v>
      </c>
      <c r="M204" s="30" t="inlineStr">
        <is>
          <t>Underperforming</t>
        </is>
      </c>
      <c r="N204" s="31">
        <f>IF(M204="Underperforming",-5,IF(L204&gt;=95,15,IF(L204&gt;=90,10,IF(L204&gt;=80,5,0))))</f>
        <v/>
      </c>
      <c r="O204" s="31" t="n">
        <v>61.03</v>
      </c>
      <c r="P204" s="31" t="n">
        <v>32.36</v>
      </c>
      <c r="Q204" s="31" t="inlineStr"/>
      <c r="R204" s="30" t="inlineStr">
        <is>
          <t>Earnings / Momentum Support</t>
        </is>
      </c>
      <c r="S204" s="30" t="inlineStr">
        <is>
          <t>Nifty 50</t>
        </is>
      </c>
      <c r="T204" s="31" t="n">
        <v>0.85</v>
      </c>
      <c r="U204" s="31" t="n">
        <v>-7.43</v>
      </c>
      <c r="V204" s="31" t="n">
        <v>-8.210000000000001</v>
      </c>
      <c r="W204" s="31" t="n">
        <v>1.42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Headwind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3</t>
        </is>
      </c>
      <c r="BC204" s="30">
        <f>IF(BB204="Stage 2",20,IF(BB204="Stage 1",0,IF(BB204="Stage 3",5,IF(BB204="Stage 4",-5,0))))</f>
        <v/>
      </c>
      <c r="BD204" s="30" t="inlineStr">
        <is>
          <t>Negative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More than 20%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IF(B205=0,"",RANK(B205,$B$2:$B$400,0))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NELCO</t>
        </is>
      </c>
      <c r="D205" s="30" t="inlineStr">
        <is>
          <t>Nelco Limited</t>
        </is>
      </c>
      <c r="E205" s="30" t="inlineStr">
        <is>
          <t>telecom</t>
        </is>
      </c>
      <c r="F205" s="30" t="inlineStr">
        <is>
          <t>telecommunications - service provider</t>
        </is>
      </c>
      <c r="G205" s="30" t="inlineStr">
        <is>
          <t>smallcap</t>
        </is>
      </c>
      <c r="H205" s="31" t="n">
        <v>2188.06</v>
      </c>
      <c r="I205" s="31" t="n">
        <v>1007.6</v>
      </c>
      <c r="J205" s="31" t="n">
        <v>5.08</v>
      </c>
      <c r="K205" s="31" t="n">
        <v>790813</v>
      </c>
      <c r="L205" s="30" t="n">
        <v>58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62.94</v>
      </c>
      <c r="P205" s="31" t="n">
        <v>32.13</v>
      </c>
      <c r="Q205" s="31" t="inlineStr"/>
      <c r="R205" s="30" t="inlineStr">
        <is>
          <t>Earnings / Momentum Support</t>
        </is>
      </c>
      <c r="S205" s="30" t="inlineStr">
        <is>
          <t>Nifty 50</t>
        </is>
      </c>
      <c r="T205" s="31" t="n">
        <v>0.85</v>
      </c>
      <c r="U205" s="31" t="n">
        <v>8.869999999999999</v>
      </c>
      <c r="V205" s="31" t="n">
        <v>7.95</v>
      </c>
      <c r="W205" s="31" t="n">
        <v>10.01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Oligopoly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Yes</t>
        </is>
      </c>
      <c r="AC205" s="30">
        <f>IF(AB205="No",5,0)</f>
        <v/>
      </c>
      <c r="AD205" s="30" t="inlineStr">
        <is>
          <t>Headwind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No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3</t>
        </is>
      </c>
      <c r="BC205" s="30">
        <f>IF(BB205="Stage 2",20,IF(BB205="Stage 1",0,IF(BB205="Stage 3",5,IF(BB205="Stage 4",-5,0))))</f>
        <v/>
      </c>
      <c r="BD205" s="30" t="inlineStr">
        <is>
          <t>Negative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IF(B206=0,"",RANK(B206,$B$2:$B$400,0))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PRECWIRE</t>
        </is>
      </c>
      <c r="D206" s="30" t="inlineStr">
        <is>
          <t>Precision Wires India Limited</t>
        </is>
      </c>
      <c r="E206" s="30" t="inlineStr">
        <is>
          <t>metals &amp; mining</t>
        </is>
      </c>
      <c r="F206" s="30" t="inlineStr">
        <is>
          <t>mining / minerals / metals</t>
        </is>
      </c>
      <c r="G206" s="30" t="inlineStr">
        <is>
          <t>midcap</t>
        </is>
      </c>
      <c r="H206" s="31" t="n">
        <v>7564.59</v>
      </c>
      <c r="I206" s="31" t="n">
        <v>433.3</v>
      </c>
      <c r="J206" s="31" t="n">
        <v>4.71</v>
      </c>
      <c r="K206" s="31" t="n">
        <v>846917</v>
      </c>
      <c r="L206" s="30" t="n">
        <v>74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61.95</v>
      </c>
      <c r="P206" s="31" t="n">
        <v>43.1</v>
      </c>
      <c r="Q206" s="31" t="inlineStr"/>
      <c r="R206" s="30" t="inlineStr">
        <is>
          <t>Earnings / Momentum Support</t>
        </is>
      </c>
      <c r="S206" s="30" t="inlineStr">
        <is>
          <t>Nifty Metal</t>
        </is>
      </c>
      <c r="T206" s="31" t="n">
        <v>31.49</v>
      </c>
      <c r="U206" s="31" t="n">
        <v>90.40000000000001</v>
      </c>
      <c r="V206" s="31" t="n">
        <v>44.8</v>
      </c>
      <c r="W206" s="31" t="n">
        <v>15.49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Headwind</t>
        </is>
      </c>
      <c r="AE206" s="30">
        <f>IF(AD206="Tailwind",10,0)</f>
        <v/>
      </c>
      <c r="AF206" s="30" t="inlineStr">
        <is>
          <t>Cyclical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Volatile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Above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3</t>
        </is>
      </c>
      <c r="BC206" s="30">
        <f>IF(BB206="Stage 2",20,IF(BB206="Stage 1",0,IF(BB206="Stage 3",5,IF(BB206="Stage 4",-5,0))))</f>
        <v/>
      </c>
      <c r="BD206" s="30" t="inlineStr">
        <is>
          <t>Negative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Less than 1.5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IF(B207=0,"",RANK(B207,$B$2:$B$400,0))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SPECIALITY</t>
        </is>
      </c>
      <c r="D207" s="30" t="inlineStr">
        <is>
          <t>Speciality Restaurants Limited</t>
        </is>
      </c>
      <c r="E207" s="30" t="inlineStr">
        <is>
          <t>services</t>
        </is>
      </c>
      <c r="F207" s="30" t="inlineStr">
        <is>
          <t>hotels</t>
        </is>
      </c>
      <c r="G207" s="30" t="inlineStr">
        <is>
          <t>smallcap</t>
        </is>
      </c>
      <c r="H207" s="31" t="n">
        <v>700.24</v>
      </c>
      <c r="I207" s="31" t="n">
        <v>151</v>
      </c>
      <c r="J207" s="31" t="n">
        <v>4.02</v>
      </c>
      <c r="K207" s="31" t="n">
        <v>218468</v>
      </c>
      <c r="L207" s="30" t="n">
        <v>63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67.88</v>
      </c>
      <c r="P207" s="31" t="n">
        <v>25.5</v>
      </c>
      <c r="Q207" s="31" t="inlineStr"/>
      <c r="R207" s="30" t="inlineStr">
        <is>
          <t>Earnings / Momentum Support</t>
        </is>
      </c>
      <c r="S207" s="30" t="inlineStr">
        <is>
          <t>Nifty 50</t>
        </is>
      </c>
      <c r="T207" s="31" t="n">
        <v>0.85</v>
      </c>
      <c r="U207" s="31" t="n">
        <v>17.61</v>
      </c>
      <c r="V207" s="31" t="n">
        <v>16.62</v>
      </c>
      <c r="W207" s="31" t="n">
        <v>11.68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Headwind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3</t>
        </is>
      </c>
      <c r="BC207" s="30">
        <f>IF(BB207="Stage 2",20,IF(BB207="Stage 1",0,IF(BB207="Stage 3",5,IF(BB207="Stage 4",-5,0))))</f>
        <v/>
      </c>
      <c r="BD207" s="30" t="inlineStr">
        <is>
          <t>Negative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Less than 12%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IF(B208=0,"",RANK(B208,$B$2:$B$400,0))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FINCABLES</t>
        </is>
      </c>
      <c r="D208" s="30" t="inlineStr">
        <is>
          <t>Finolex Cables Limited</t>
        </is>
      </c>
      <c r="E208" s="30" t="inlineStr">
        <is>
          <t>industrials</t>
        </is>
      </c>
      <c r="F208" s="30" t="inlineStr">
        <is>
          <t>cables - power</t>
        </is>
      </c>
      <c r="G208" s="30" t="inlineStr">
        <is>
          <t>midcap</t>
        </is>
      </c>
      <c r="H208" s="31" t="n">
        <v>15670.93</v>
      </c>
      <c r="I208" s="31" t="n">
        <v>1058.05</v>
      </c>
      <c r="J208" s="31" t="n">
        <v>3.26</v>
      </c>
      <c r="K208" s="31" t="n">
        <v>596060</v>
      </c>
      <c r="L208" s="30" t="n">
        <v>33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53.37</v>
      </c>
      <c r="P208" s="31" t="n">
        <v>33.18</v>
      </c>
      <c r="Q208" s="31" t="inlineStr"/>
      <c r="R208" s="30" t="inlineStr">
        <is>
          <t>Earnings / Momentum Support</t>
        </is>
      </c>
      <c r="S208" s="30" t="inlineStr">
        <is>
          <t>Nifty Energy</t>
        </is>
      </c>
      <c r="T208" s="31" t="n">
        <v>8.41</v>
      </c>
      <c r="U208" s="31" t="n">
        <v>10.55</v>
      </c>
      <c r="V208" s="31" t="n">
        <v>1.98</v>
      </c>
      <c r="W208" s="31" t="n">
        <v>4.32</v>
      </c>
      <c r="X208" s="30" t="inlineStr">
        <is>
          <t>Cyclical in an Upturn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Headwind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No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3</t>
        </is>
      </c>
      <c r="BC208" s="30">
        <f>IF(BB208="Stage 2",20,IF(BB208="Stage 1",0,IF(BB208="Stage 3",5,IF(BB208="Stage 4",-5,0))))</f>
        <v/>
      </c>
      <c r="BD208" s="30" t="inlineStr">
        <is>
          <t>Negative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Between 12 to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Less than 50%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IF(B209=0,"",RANK(B209,$B$2:$B$400,0))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SPAL</t>
        </is>
      </c>
      <c r="D209" s="30" t="inlineStr">
        <is>
          <t>S. P. Apparels Limited</t>
        </is>
      </c>
      <c r="E209" s="30" t="inlineStr">
        <is>
          <t>consumer discretionary</t>
        </is>
      </c>
      <c r="F209" s="30" t="inlineStr">
        <is>
          <t>textiles - products</t>
        </is>
      </c>
      <c r="G209" s="30" t="inlineStr">
        <is>
          <t>smallcap</t>
        </is>
      </c>
      <c r="H209" s="31" t="n">
        <v>2605.9</v>
      </c>
      <c r="I209" s="31" t="n">
        <v>1067.95</v>
      </c>
      <c r="J209" s="31" t="n">
        <v>3.02</v>
      </c>
      <c r="K209" s="31" t="n">
        <v>100108</v>
      </c>
      <c r="L209" s="30" t="n">
        <v>67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63.6</v>
      </c>
      <c r="P209" s="31" t="n">
        <v>38.31</v>
      </c>
      <c r="Q209" s="31" t="inlineStr"/>
      <c r="R209" s="30" t="inlineStr">
        <is>
          <t>Earnings / Momentum Support</t>
        </is>
      </c>
      <c r="S209" s="30" t="inlineStr">
        <is>
          <t>Nifty 50</t>
        </is>
      </c>
      <c r="T209" s="31" t="n">
        <v>0.85</v>
      </c>
      <c r="U209" s="31" t="n">
        <v>40.2</v>
      </c>
      <c r="V209" s="31" t="n">
        <v>39.02</v>
      </c>
      <c r="W209" s="31" t="n">
        <v>13.22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Headwind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No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3</t>
        </is>
      </c>
      <c r="BC209" s="30">
        <f>IF(BB209="Stage 2",20,IF(BB209="Stage 1",0,IF(BB209="Stage 3",5,IF(BB209="Stage 4",-5,0))))</f>
        <v/>
      </c>
      <c r="BD209" s="30" t="inlineStr">
        <is>
          <t>Negative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Less than 12%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IF(B210=0,"",RANK(B210,$B$2:$B$400,0))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2" t="inlineStr">
        <is>
          <t>JINDALSAW</t>
        </is>
      </c>
      <c r="D210" s="32" t="inlineStr">
        <is>
          <t>Jindal Saw Limited</t>
        </is>
      </c>
      <c r="E210" s="30" t="inlineStr">
        <is>
          <t>industrials</t>
        </is>
      </c>
      <c r="F210" s="30" t="inlineStr">
        <is>
          <t>steel - large</t>
        </is>
      </c>
      <c r="G210" s="30" t="inlineStr">
        <is>
          <t>midcap</t>
        </is>
      </c>
      <c r="H210" s="31" t="n">
        <v>17356.25</v>
      </c>
      <c r="I210" s="31" t="n">
        <v>279.05</v>
      </c>
      <c r="J210" s="31" t="n">
        <v>2.82</v>
      </c>
      <c r="K210" s="31" t="n">
        <v>2495974</v>
      </c>
      <c r="L210" s="30" t="n">
        <v>56</v>
      </c>
      <c r="M210" s="30" t="inlineStr">
        <is>
          <t>Underperforming</t>
        </is>
      </c>
      <c r="N210" s="31">
        <f>IF(M210="Underperforming",-5,IF(L210&gt;=95,15,IF(L210&gt;=90,10,IF(L210&gt;=80,5,0))))</f>
        <v/>
      </c>
      <c r="O210" s="31" t="n">
        <v>63.66</v>
      </c>
      <c r="P210" s="31" t="n">
        <v>40.1</v>
      </c>
      <c r="Q210" s="31" t="inlineStr"/>
      <c r="R210" s="30" t="inlineStr">
        <is>
          <t>Earnings / Momentum Support</t>
        </is>
      </c>
      <c r="S210" s="30" t="inlineStr">
        <is>
          <t>Nifty Metal</t>
        </is>
      </c>
      <c r="T210" s="31" t="n">
        <v>31.49</v>
      </c>
      <c r="U210" s="31" t="n">
        <v>19.01</v>
      </c>
      <c r="V210" s="31" t="n">
        <v>-9.49</v>
      </c>
      <c r="W210" s="31" t="n">
        <v>9.5</v>
      </c>
      <c r="X210" s="30" t="inlineStr">
        <is>
          <t>Cyclical in an Upturn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Headwind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No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Above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3</t>
        </is>
      </c>
      <c r="BC210" s="30">
        <f>IF(BB210="Stage 2",20,IF(BB210="Stage 1",0,IF(BB210="Stage 3",5,IF(BB210="Stage 4",-5,0))))</f>
        <v/>
      </c>
      <c r="BD210" s="30" t="inlineStr">
        <is>
          <t>Negative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Less than 12%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IF(B211=0,"",RANK(B211,$B$2:$B$400,0))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HEG</t>
        </is>
      </c>
      <c r="D211" s="30" t="inlineStr">
        <is>
          <t>Heg Limited</t>
        </is>
      </c>
      <c r="E211" s="30" t="inlineStr">
        <is>
          <t>industrials</t>
        </is>
      </c>
      <c r="F211" s="30" t="inlineStr">
        <is>
          <t>electrodes - graphites</t>
        </is>
      </c>
      <c r="G211" s="30" t="inlineStr">
        <is>
          <t>midcap</t>
        </is>
      </c>
      <c r="H211" s="31" t="n">
        <v>13006.69</v>
      </c>
      <c r="I211" s="31" t="n">
        <v>683.6</v>
      </c>
      <c r="J211" s="31" t="n">
        <v>1.42</v>
      </c>
      <c r="K211" s="31" t="n">
        <v>900225</v>
      </c>
      <c r="L211" s="30" t="n">
        <v>54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65.5</v>
      </c>
      <c r="P211" s="31" t="n">
        <v>26.81</v>
      </c>
      <c r="Q211" s="31" t="inlineStr"/>
      <c r="R211" s="30" t="inlineStr">
        <is>
          <t>Earnings / Momentum Support</t>
        </is>
      </c>
      <c r="S211" s="30" t="inlineStr">
        <is>
          <t>Nifty 50</t>
        </is>
      </c>
      <c r="T211" s="31" t="n">
        <v>0.85</v>
      </c>
      <c r="U211" s="31" t="n">
        <v>34.48</v>
      </c>
      <c r="V211" s="31" t="n">
        <v>33.35</v>
      </c>
      <c r="W211" s="31" t="n">
        <v>8.99</v>
      </c>
      <c r="X211" s="30" t="inlineStr">
        <is>
          <t>Cyclical in an Upturn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Headwind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3</t>
        </is>
      </c>
      <c r="BC211" s="30">
        <f>IF(BB211="Stage 2",20,IF(BB211="Stage 1",0,IF(BB211="Stage 3",5,IF(BB211="Stage 4",-5,0))))</f>
        <v/>
      </c>
      <c r="BD211" s="30" t="inlineStr">
        <is>
          <t>Negative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Between 12 to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No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IF(B212=0,"",RANK(B212,$B$2:$B$400,0))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YASHO</t>
        </is>
      </c>
      <c r="D212" s="30" t="inlineStr">
        <is>
          <t>Yasho Industries Ltd</t>
        </is>
      </c>
      <c r="E212" s="30" t="inlineStr">
        <is>
          <t>chemicals</t>
        </is>
      </c>
      <c r="F212" s="30" t="inlineStr">
        <is>
          <t>chemicals</t>
        </is>
      </c>
      <c r="G212" s="30" t="inlineStr">
        <is>
          <t>midcap</t>
        </is>
      </c>
      <c r="H212" s="31" t="n">
        <v>5006.95</v>
      </c>
      <c r="I212" s="31" t="n">
        <v>4201.3</v>
      </c>
      <c r="J212" s="31" t="n">
        <v>1.17</v>
      </c>
      <c r="K212" s="31" t="n">
        <v>28604</v>
      </c>
      <c r="L212" s="30" t="n">
        <v>98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91.37</v>
      </c>
      <c r="P212" s="31" t="n">
        <v>65.54000000000001</v>
      </c>
      <c r="Q212" s="31" t="inlineStr"/>
      <c r="R212" s="30" t="inlineStr">
        <is>
          <t>Earnings / Momentum Support</t>
        </is>
      </c>
      <c r="S212" s="30" t="inlineStr">
        <is>
          <t>Nifty 50</t>
        </is>
      </c>
      <c r="T212" s="31" t="n">
        <v>0.85</v>
      </c>
      <c r="U212" s="31" t="n">
        <v>135.53</v>
      </c>
      <c r="V212" s="31" t="n">
        <v>133.54</v>
      </c>
      <c r="W212" s="31" t="n">
        <v>64.93000000000001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Headwind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Above 40</t>
        </is>
      </c>
      <c r="AY212" s="30">
        <f>IF(AX212="Above 40",20,IF(AX212="20 to 40",10,IF(AX212="0 to 20",-5,0)))</f>
        <v/>
      </c>
      <c r="AZ212" s="30" t="inlineStr">
        <is>
          <t>Above 75</t>
        </is>
      </c>
      <c r="BA212" s="30">
        <f>IF(AZ212="Between 50 to 75",10,IF(AZ212="Above 75",0,0))</f>
        <v/>
      </c>
      <c r="BB212" s="30" t="inlineStr">
        <is>
          <t>Stage 3</t>
        </is>
      </c>
      <c r="BC212" s="30">
        <f>IF(BB212="Stage 2",20,IF(BB212="Stage 1",0,IF(BB212="Stage 3",5,IF(BB212="Stage 4",-5,0))))</f>
        <v/>
      </c>
      <c r="BD212" s="30" t="inlineStr">
        <is>
          <t>Negative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More than 1.2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IF(B213=0,"",RANK(B213,$B$2:$B$400,0))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2" t="inlineStr">
        <is>
          <t>KAMDHENU</t>
        </is>
      </c>
      <c r="D213" s="32" t="inlineStr">
        <is>
          <t>Kamdhenu Limited</t>
        </is>
      </c>
      <c r="E213" s="30" t="inlineStr">
        <is>
          <t>metals &amp; mining</t>
        </is>
      </c>
      <c r="F213" s="30" t="inlineStr">
        <is>
          <t>steel - medium / small</t>
        </is>
      </c>
      <c r="G213" s="30" t="inlineStr">
        <is>
          <t>smallcap</t>
        </is>
      </c>
      <c r="H213" s="31" t="n">
        <v>991.66</v>
      </c>
      <c r="I213" s="31" t="n">
        <v>35.52</v>
      </c>
      <c r="J213" s="31" t="n">
        <v>0.97</v>
      </c>
      <c r="K213" s="31" t="n">
        <v>205364</v>
      </c>
      <c r="L213" s="30" t="n">
        <v>68</v>
      </c>
      <c r="M213" s="30" t="inlineStr">
        <is>
          <t>Underperforming</t>
        </is>
      </c>
      <c r="N213" s="31">
        <f>IF(M213="Underperforming",-5,IF(L213&gt;=95,15,IF(L213&gt;=90,10,IF(L213&gt;=80,5,0))))</f>
        <v/>
      </c>
      <c r="O213" s="31" t="n">
        <v>68.65000000000001</v>
      </c>
      <c r="P213" s="31" t="n">
        <v>42.41</v>
      </c>
      <c r="Q213" s="31" t="inlineStr"/>
      <c r="R213" s="30" t="inlineStr">
        <is>
          <t>Earnings / Momentum Support</t>
        </is>
      </c>
      <c r="S213" s="30" t="inlineStr">
        <is>
          <t>Nifty Metal</t>
        </is>
      </c>
      <c r="T213" s="31" t="n">
        <v>31.49</v>
      </c>
      <c r="U213" s="31" t="n">
        <v>12.5</v>
      </c>
      <c r="V213" s="31" t="n">
        <v>-14.45</v>
      </c>
      <c r="W213" s="31" t="n">
        <v>13.64</v>
      </c>
      <c r="X213" s="30" t="inlineStr">
        <is>
          <t>Cyclical in an Upturn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Headwind</t>
        </is>
      </c>
      <c r="AE213" s="30">
        <f>IF(AD213="Tailwind",10,0)</f>
        <v/>
      </c>
      <c r="AF213" s="30" t="inlineStr">
        <is>
          <t>Cyclical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Volatile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No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Above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3</t>
        </is>
      </c>
      <c r="BC213" s="30">
        <f>IF(BB213="Stage 2",20,IF(BB213="Stage 1",0,IF(BB213="Stage 3",5,IF(BB213="Stage 4",-5,0))))</f>
        <v/>
      </c>
      <c r="BD213" s="30" t="inlineStr">
        <is>
          <t>Negative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Less than 1.5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IF(B214=0,"",RANK(B214,$B$2:$B$400,0))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RBZJEWEL</t>
        </is>
      </c>
      <c r="D214" s="30" t="inlineStr">
        <is>
          <t>RBZ Jewellers Ltd</t>
        </is>
      </c>
      <c r="E214" s="30" t="inlineStr">
        <is>
          <t>consumer discretionary</t>
        </is>
      </c>
      <c r="F214" s="30" t="inlineStr">
        <is>
          <t>diamond cutting / jewellery</t>
        </is>
      </c>
      <c r="G214" s="30" t="inlineStr">
        <is>
          <t>smallcap</t>
        </is>
      </c>
      <c r="H214" s="31" t="n">
        <v>603.64</v>
      </c>
      <c r="I214" s="31" t="n">
        <v>152</v>
      </c>
      <c r="J214" s="31" t="n">
        <v>0.72</v>
      </c>
      <c r="K214" s="31" t="n">
        <v>67934</v>
      </c>
      <c r="L214" s="30" t="n">
        <v>30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56.59</v>
      </c>
      <c r="P214" s="31" t="n">
        <v>26.97</v>
      </c>
      <c r="Q214" s="31" t="inlineStr"/>
      <c r="R214" s="30" t="inlineStr">
        <is>
          <t>Earnings / Momentum Support</t>
        </is>
      </c>
      <c r="S214" s="30" t="inlineStr">
        <is>
          <t>Nifty 50</t>
        </is>
      </c>
      <c r="T214" s="31" t="n">
        <v>0.85</v>
      </c>
      <c r="U214" s="31" t="n">
        <v>16.64</v>
      </c>
      <c r="V214" s="31" t="n">
        <v>15.66</v>
      </c>
      <c r="W214" s="31" t="n">
        <v>3.46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Headwind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3</t>
        </is>
      </c>
      <c r="BC214" s="30">
        <f>IF(BB214="Stage 2",20,IF(BB214="Stage 1",0,IF(BB214="Stage 3",5,IF(BB214="Stage 4",-5,0))))</f>
        <v/>
      </c>
      <c r="BD214" s="30" t="inlineStr">
        <is>
          <t>Negative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Negative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IF(B215=0,"",RANK(B215,$B$2:$B$400,0))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FAZE3Q</t>
        </is>
      </c>
      <c r="D215" s="30" t="inlineStr">
        <is>
          <t>Faze Three Ltd</t>
        </is>
      </c>
      <c r="E215" s="30" t="inlineStr">
        <is>
          <t>textiles</t>
        </is>
      </c>
      <c r="F215" s="30" t="inlineStr">
        <is>
          <t>textiles - processing</t>
        </is>
      </c>
      <c r="G215" s="30" t="inlineStr">
        <is>
          <t>smallcap</t>
        </is>
      </c>
      <c r="H215" s="31" t="n">
        <v>1384.24</v>
      </c>
      <c r="I215" s="31" t="n">
        <v>572</v>
      </c>
      <c r="J215" s="31" t="n">
        <v>0.49</v>
      </c>
      <c r="K215" s="31" t="n">
        <v>6415</v>
      </c>
      <c r="L215" s="30" t="n">
        <v>47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56.98</v>
      </c>
      <c r="P215" s="31" t="n">
        <v>24.01</v>
      </c>
      <c r="Q215" s="31" t="inlineStr"/>
      <c r="R215" s="30" t="inlineStr">
        <is>
          <t>Earnings / Momentum Support</t>
        </is>
      </c>
      <c r="S215" s="30" t="inlineStr">
        <is>
          <t>Nifty 50</t>
        </is>
      </c>
      <c r="T215" s="31" t="n">
        <v>0.85</v>
      </c>
      <c r="U215" s="31" t="n">
        <v>7.36</v>
      </c>
      <c r="V215" s="31" t="n">
        <v>6.45</v>
      </c>
      <c r="W215" s="31" t="n">
        <v>7.41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Headwind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3</t>
        </is>
      </c>
      <c r="BC215" s="30">
        <f>IF(BB215="Stage 2",20,IF(BB215="Stage 1",0,IF(BB215="Stage 3",5,IF(BB215="Stage 4",-5,0))))</f>
        <v/>
      </c>
      <c r="BD215" s="30" t="inlineStr">
        <is>
          <t>Negative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Between 12 to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IF(B216=0,"",RANK(B216,$B$2:$B$400,0))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SIGMAADV</t>
        </is>
      </c>
      <c r="D216" s="30" t="inlineStr">
        <is>
          <t>Sigma Advanced System Ltd</t>
        </is>
      </c>
      <c r="E216" s="30" t="inlineStr">
        <is>
          <t>aerospace &amp; defence</t>
        </is>
      </c>
      <c r="F216" s="30" t="inlineStr">
        <is>
          <t>electronics - components</t>
        </is>
      </c>
      <c r="G216" s="30" t="inlineStr">
        <is>
          <t>midcap</t>
        </is>
      </c>
      <c r="H216" s="31" t="n">
        <v>13282.73</v>
      </c>
      <c r="I216" s="31" t="n">
        <v>703.95</v>
      </c>
      <c r="J216" s="31" t="n">
        <v>0.43</v>
      </c>
      <c r="K216" s="31" t="n">
        <v>145262</v>
      </c>
      <c r="L216" s="30" t="n">
        <v>99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78.31</v>
      </c>
      <c r="P216" s="31" t="n">
        <v>67.42</v>
      </c>
      <c r="Q216" s="31" t="inlineStr"/>
      <c r="R216" s="30" t="inlineStr">
        <is>
          <t>Earnings / Momentum Support</t>
        </is>
      </c>
      <c r="S216" s="30" t="inlineStr">
        <is>
          <t>Nifty 50</t>
        </is>
      </c>
      <c r="T216" s="31" t="n">
        <v>0.85</v>
      </c>
      <c r="U216" s="31" t="n">
        <v>493.47</v>
      </c>
      <c r="V216" s="31" t="n">
        <v>488.46</v>
      </c>
      <c r="W216" s="31" t="n">
        <v>74.59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Headwind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No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Above 40</t>
        </is>
      </c>
      <c r="AY216" s="30">
        <f>IF(AX216="Above 40",20,IF(AX216="20 to 40",10,IF(AX216="0 to 20",-5,0)))</f>
        <v/>
      </c>
      <c r="AZ216" s="30" t="inlineStr">
        <is>
          <t>Above 75</t>
        </is>
      </c>
      <c r="BA216" s="30">
        <f>IF(AZ216="Between 50 to 75",10,IF(AZ216="Above 75",0,0))</f>
        <v/>
      </c>
      <c r="BB216" s="30" t="inlineStr">
        <is>
          <t>Stage 3</t>
        </is>
      </c>
      <c r="BC216" s="30">
        <f>IF(BB216="Stage 2",20,IF(BB216="Stage 1",0,IF(BB216="Stage 3",5,IF(BB216="Stage 4",-5,0))))</f>
        <v/>
      </c>
      <c r="BD216" s="30" t="inlineStr">
        <is>
          <t>Negative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Yes</t>
        </is>
      </c>
      <c r="BS216" s="30">
        <f>IF(BR216="NO",5,0)</f>
        <v/>
      </c>
      <c r="BT216" s="30" t="inlineStr">
        <is>
          <t>Less than 1.5</t>
        </is>
      </c>
      <c r="BU216" s="30">
        <f>IF(BT216="Above 2",0,IF(BT216="Between 1.5 to 2",5,IF(BT216="Less than 1.5",10,0)))</f>
        <v/>
      </c>
      <c r="BV216" s="30" t="inlineStr">
        <is>
          <t>Negative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Between 0.7 to 1.2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IF(B217=0,"",RANK(B217,$B$2:$B$400,0))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HAL</t>
        </is>
      </c>
      <c r="D217" s="30" t="inlineStr">
        <is>
          <t>Hindustan Aeronautics Ltd</t>
        </is>
      </c>
      <c r="E217" s="30" t="inlineStr">
        <is>
          <t>aerospace &amp; defence</t>
        </is>
      </c>
      <c r="F217" s="30" t="inlineStr">
        <is>
          <t>engineering</t>
        </is>
      </c>
      <c r="G217" s="30" t="inlineStr">
        <is>
          <t>largecap</t>
        </is>
      </c>
      <c r="H217" s="31" t="n">
        <v>328368.53</v>
      </c>
      <c r="I217" s="31" t="n">
        <v>4928</v>
      </c>
      <c r="J217" s="31" t="n">
        <v>0.37</v>
      </c>
      <c r="K217" s="31" t="n">
        <v>1169161</v>
      </c>
      <c r="L217" s="30" t="n">
        <v>28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65.34</v>
      </c>
      <c r="P217" s="31" t="n">
        <v>23.19</v>
      </c>
      <c r="Q217" s="31" t="inlineStr"/>
      <c r="R217" s="30" t="inlineStr">
        <is>
          <t>Earnings / Momentum Support</t>
        </is>
      </c>
      <c r="S217" s="30" t="inlineStr">
        <is>
          <t>Nifty 500</t>
        </is>
      </c>
      <c r="T217" s="31" t="n">
        <v>5.65</v>
      </c>
      <c r="U217" s="31" t="n">
        <v>11.86</v>
      </c>
      <c r="V217" s="31" t="n">
        <v>5.88</v>
      </c>
      <c r="W217" s="31" t="n">
        <v>3.25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Headwind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No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3</t>
        </is>
      </c>
      <c r="BC217" s="30">
        <f>IF(BB217="Stage 2",20,IF(BB217="Stage 1",0,IF(BB217="Stage 3",5,IF(BB217="Stage 4",-5,0))))</f>
        <v/>
      </c>
      <c r="BD217" s="30" t="inlineStr">
        <is>
          <t>Negative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Less than 12%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IF(B218=0,"",RANK(B218,$B$2:$B$400,0))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2" t="inlineStr">
        <is>
          <t>MOLDTECH</t>
        </is>
      </c>
      <c r="D218" s="32" t="inlineStr">
        <is>
          <t>Mold-tek Technologies Limited</t>
        </is>
      </c>
      <c r="E218" s="30" t="inlineStr">
        <is>
          <t>realty</t>
        </is>
      </c>
      <c r="F218" s="30" t="inlineStr">
        <is>
          <t>engineering - turnkey services</t>
        </is>
      </c>
      <c r="G218" s="30" t="inlineStr">
        <is>
          <t>smallcap</t>
        </is>
      </c>
      <c r="H218" s="31" t="n">
        <v>551.36</v>
      </c>
      <c r="I218" s="31" t="n">
        <v>192.09</v>
      </c>
      <c r="J218" s="31" t="n">
        <v>0.36</v>
      </c>
      <c r="K218" s="31" t="n">
        <v>575571</v>
      </c>
      <c r="L218" s="30" t="n">
        <v>2</v>
      </c>
      <c r="M218" s="30" t="inlineStr">
        <is>
          <t>Underperforming</t>
        </is>
      </c>
      <c r="N218" s="31">
        <f>IF(M218="Underperforming",-5,IF(L218&gt;=95,15,IF(L218&gt;=90,10,IF(L218&gt;=80,5,0))))</f>
        <v/>
      </c>
      <c r="O218" s="31" t="n">
        <v>72.39</v>
      </c>
      <c r="P218" s="31" t="n">
        <v>27.71</v>
      </c>
      <c r="Q218" s="31" t="inlineStr"/>
      <c r="R218" s="30" t="inlineStr">
        <is>
          <t>Earnings / Momentum Support</t>
        </is>
      </c>
      <c r="S218" s="30" t="inlineStr">
        <is>
          <t>Nifty Realty</t>
        </is>
      </c>
      <c r="T218" s="31" t="n">
        <v>-8.119999999999999</v>
      </c>
      <c r="U218" s="31" t="n">
        <v>-19.67</v>
      </c>
      <c r="V218" s="31" t="n">
        <v>-12.57</v>
      </c>
      <c r="W218" s="31" t="n">
        <v>-4.45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Headwind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3</t>
        </is>
      </c>
      <c r="BC218" s="30">
        <f>IF(BB218="Stage 2",20,IF(BB218="Stage 1",0,IF(BB218="Stage 3",5,IF(BB218="Stage 4",-5,0))))</f>
        <v/>
      </c>
      <c r="BD218" s="30" t="inlineStr">
        <is>
          <t>Negative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IF(B219=0,"",RANK(B219,$B$2:$B$400,0))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2" t="inlineStr">
        <is>
          <t>USHAMART</t>
        </is>
      </c>
      <c r="D219" s="32" t="inlineStr">
        <is>
          <t>Usha Martin Limited</t>
        </is>
      </c>
      <c r="E219" s="30" t="inlineStr">
        <is>
          <t>metals &amp; mining</t>
        </is>
      </c>
      <c r="F219" s="30" t="inlineStr">
        <is>
          <t>steel - medium / small</t>
        </is>
      </c>
      <c r="G219" s="30" t="inlineStr">
        <is>
          <t>midcap</t>
        </is>
      </c>
      <c r="H219" s="31" t="n">
        <v>15695.74</v>
      </c>
      <c r="I219" s="31" t="n">
        <v>516.8</v>
      </c>
      <c r="J219" s="31" t="n">
        <v>0.34</v>
      </c>
      <c r="K219" s="31" t="n">
        <v>364278</v>
      </c>
      <c r="L219" s="30" t="n">
        <v>49</v>
      </c>
      <c r="M219" s="30" t="inlineStr">
        <is>
          <t>Underperforming</t>
        </is>
      </c>
      <c r="N219" s="31">
        <f>IF(M219="Underperforming",-5,IF(L219&gt;=95,15,IF(L219&gt;=90,10,IF(L219&gt;=80,5,0))))</f>
        <v/>
      </c>
      <c r="O219" s="31" t="n">
        <v>64.34999999999999</v>
      </c>
      <c r="P219" s="31" t="n">
        <v>49.13</v>
      </c>
      <c r="Q219" s="31" t="inlineStr"/>
      <c r="R219" s="30" t="inlineStr">
        <is>
          <t>Earnings / Momentum Support</t>
        </is>
      </c>
      <c r="S219" s="30" t="inlineStr">
        <is>
          <t>Nifty Metal</t>
        </is>
      </c>
      <c r="T219" s="31" t="n">
        <v>31.49</v>
      </c>
      <c r="U219" s="31" t="n">
        <v>30.81</v>
      </c>
      <c r="V219" s="31" t="n">
        <v>-0.52</v>
      </c>
      <c r="W219" s="31" t="n">
        <v>7.97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Headwind</t>
        </is>
      </c>
      <c r="AE219" s="30">
        <f>IF(AD219="Tailwind",10,0)</f>
        <v/>
      </c>
      <c r="AF219" s="30" t="inlineStr">
        <is>
          <t>Cyclical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Volatile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No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Above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3</t>
        </is>
      </c>
      <c r="BC219" s="30">
        <f>IF(BB219="Stage 2",20,IF(BB219="Stage 1",0,IF(BB219="Stage 3",5,IF(BB219="Stage 4",-5,0))))</f>
        <v/>
      </c>
      <c r="BD219" s="30" t="inlineStr">
        <is>
          <t>Negative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Less than 1.5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IF(B220=0,"",RANK(B220,$B$2:$B$400,0))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INDOTECH</t>
        </is>
      </c>
      <c r="D220" s="30" t="inlineStr">
        <is>
          <t>Indo Tech Transformers Limited</t>
        </is>
      </c>
      <c r="E220" s="30" t="inlineStr">
        <is>
          <t>industrials</t>
        </is>
      </c>
      <c r="F220" s="30" t="inlineStr">
        <is>
          <t>electric equipment</t>
        </is>
      </c>
      <c r="G220" s="30" t="inlineStr">
        <is>
          <t>smallcap</t>
        </is>
      </c>
      <c r="H220" s="31" t="n">
        <v>4027.74</v>
      </c>
      <c r="I220" s="31" t="n">
        <v>3804.4</v>
      </c>
      <c r="J220" s="31" t="n">
        <v>0.31</v>
      </c>
      <c r="K220" s="31" t="n">
        <v>14598</v>
      </c>
      <c r="L220" s="30" t="n">
        <v>95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79.69</v>
      </c>
      <c r="P220" s="31" t="n">
        <v>49.93</v>
      </c>
      <c r="Q220" s="31" t="inlineStr"/>
      <c r="R220" s="30" t="inlineStr">
        <is>
          <t>Earnings / Momentum Support</t>
        </is>
      </c>
      <c r="S220" s="30" t="inlineStr">
        <is>
          <t>Nifty 50</t>
        </is>
      </c>
      <c r="T220" s="31" t="n">
        <v>0.85</v>
      </c>
      <c r="U220" s="31" t="n">
        <v>141.83</v>
      </c>
      <c r="V220" s="31" t="n">
        <v>139.79</v>
      </c>
      <c r="W220" s="31" t="n">
        <v>32.96</v>
      </c>
      <c r="X220" s="30" t="inlineStr">
        <is>
          <t>Cyclical in an Upturn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Headwind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Above 40</t>
        </is>
      </c>
      <c r="AY220" s="30">
        <f>IF(AX220="Above 40",20,IF(AX220="20 to 40",10,IF(AX220="0 to 20",-5,0)))</f>
        <v/>
      </c>
      <c r="AZ220" s="30" t="inlineStr">
        <is>
          <t>Above 75</t>
        </is>
      </c>
      <c r="BA220" s="30">
        <f>IF(AZ220="Between 50 to 75",10,IF(AZ220="Above 75",0,0))</f>
        <v/>
      </c>
      <c r="BB220" s="30" t="inlineStr">
        <is>
          <t>Stage 3</t>
        </is>
      </c>
      <c r="BC220" s="30">
        <f>IF(BB220="Stage 2",20,IF(BB220="Stage 1",0,IF(BB220="Stage 3",5,IF(BB220="Stage 4",-5,0))))</f>
        <v/>
      </c>
      <c r="BD220" s="30" t="inlineStr">
        <is>
          <t>Negative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Between 12 to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Less than 50%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IF(B221=0,"",RANK(B221,$B$2:$B$400,0))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2" t="inlineStr">
        <is>
          <t>ORIENTELEC</t>
        </is>
      </c>
      <c r="D221" s="32" t="inlineStr">
        <is>
          <t>Orient Electric Ltd</t>
        </is>
      </c>
      <c r="E221" s="30" t="inlineStr">
        <is>
          <t>consumer discretionary</t>
        </is>
      </c>
      <c r="F221" s="30" t="inlineStr">
        <is>
          <t>domestic appliances</t>
        </is>
      </c>
      <c r="G221" s="30" t="inlineStr">
        <is>
          <t>smallcap</t>
        </is>
      </c>
      <c r="H221" s="31" t="n">
        <v>4036.46</v>
      </c>
      <c r="I221" s="31" t="n">
        <v>189.75</v>
      </c>
      <c r="J221" s="31" t="n">
        <v>0.3</v>
      </c>
      <c r="K221" s="31" t="n">
        <v>732061</v>
      </c>
      <c r="L221" s="30" t="n">
        <v>11</v>
      </c>
      <c r="M221" s="30" t="inlineStr">
        <is>
          <t>Underperforming</t>
        </is>
      </c>
      <c r="N221" s="31">
        <f>IF(M221="Underperforming",-5,IF(L221&gt;=95,15,IF(L221&gt;=90,10,IF(L221&gt;=80,5,0))))</f>
        <v/>
      </c>
      <c r="O221" s="31" t="n">
        <v>56.88</v>
      </c>
      <c r="P221" s="31" t="n">
        <v>10.7</v>
      </c>
      <c r="Q221" s="31" t="inlineStr"/>
      <c r="R221" s="30" t="inlineStr">
        <is>
          <t>Earnings / Momentum Support</t>
        </is>
      </c>
      <c r="S221" s="30" t="inlineStr">
        <is>
          <t>Nifty 50</t>
        </is>
      </c>
      <c r="T221" s="31" t="n">
        <v>0.85</v>
      </c>
      <c r="U221" s="31" t="n">
        <v>-7.4</v>
      </c>
      <c r="V221" s="31" t="n">
        <v>-8.18</v>
      </c>
      <c r="W221" s="31" t="n">
        <v>-0.86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Headwind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No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0 to 20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3</t>
        </is>
      </c>
      <c r="BC221" s="30">
        <f>IF(BB221="Stage 2",20,IF(BB221="Stage 1",0,IF(BB221="Stage 3",5,IF(BB221="Stage 4",-5,0))))</f>
        <v/>
      </c>
      <c r="BD221" s="30" t="inlineStr">
        <is>
          <t>Negative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Less than 1.5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IF(B222=0,"",RANK(B222,$B$2:$B$400,0))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2" t="inlineStr">
        <is>
          <t>RELAXO</t>
        </is>
      </c>
      <c r="D222" s="32" t="inlineStr">
        <is>
          <t>Relaxo Footwears Limited</t>
        </is>
      </c>
      <c r="E222" s="30" t="inlineStr">
        <is>
          <t>consumer discretionary</t>
        </is>
      </c>
      <c r="F222" s="30" t="inlineStr">
        <is>
          <t>leather / leather products</t>
        </is>
      </c>
      <c r="G222" s="30" t="inlineStr">
        <is>
          <t>midcap</t>
        </is>
      </c>
      <c r="H222" s="31" t="n">
        <v>10541.3</v>
      </c>
      <c r="I222" s="31" t="n">
        <v>424.45</v>
      </c>
      <c r="J222" s="31" t="n">
        <v>0.24</v>
      </c>
      <c r="K222" s="31" t="n">
        <v>242396</v>
      </c>
      <c r="L222" s="30" t="n">
        <v>52</v>
      </c>
      <c r="M222" s="30" t="inlineStr">
        <is>
          <t>Underperforming</t>
        </is>
      </c>
      <c r="N222" s="31">
        <f>IF(M222="Underperforming",-5,IF(L222&gt;=95,15,IF(L222&gt;=90,10,IF(L222&gt;=80,5,0))))</f>
        <v/>
      </c>
      <c r="O222" s="31" t="n">
        <v>60.89</v>
      </c>
      <c r="P222" s="31" t="n">
        <v>28.39</v>
      </c>
      <c r="Q222" s="31" t="inlineStr"/>
      <c r="R222" s="30" t="inlineStr">
        <is>
          <t>Earnings / Momentum Support</t>
        </is>
      </c>
      <c r="S222" s="30" t="inlineStr">
        <is>
          <t>Nifty 50</t>
        </is>
      </c>
      <c r="T222" s="31" t="n">
        <v>0.85</v>
      </c>
      <c r="U222" s="31" t="n">
        <v>-2.39</v>
      </c>
      <c r="V222" s="31" t="n">
        <v>-3.21</v>
      </c>
      <c r="W222" s="31" t="n">
        <v>8.58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Headwind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3</t>
        </is>
      </c>
      <c r="BC222" s="30">
        <f>IF(BB222="Stage 2",20,IF(BB222="Stage 1",0,IF(BB222="Stage 3",5,IF(BB222="Stage 4",-5,0))))</f>
        <v/>
      </c>
      <c r="BD222" s="30" t="inlineStr">
        <is>
          <t>Negative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IF(B223=0,"",RANK(B223,$B$2:$B$400,0))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2" t="inlineStr">
        <is>
          <t>BHAGCHEM</t>
        </is>
      </c>
      <c r="D223" s="32" t="inlineStr">
        <is>
          <t>Bhagiradha Chemicals &amp; Industries Ltd</t>
        </is>
      </c>
      <c r="E223" s="30" t="inlineStr">
        <is>
          <t>chemicals</t>
        </is>
      </c>
      <c r="F223" s="30" t="inlineStr">
        <is>
          <t>pesticides / agrochemicals - indian</t>
        </is>
      </c>
      <c r="G223" s="30" t="inlineStr">
        <is>
          <t>smallcap</t>
        </is>
      </c>
      <c r="H223" s="31" t="n">
        <v>3703.35</v>
      </c>
      <c r="I223" s="31" t="n">
        <v>285.35</v>
      </c>
      <c r="J223" s="31" t="n">
        <v>-0.09</v>
      </c>
      <c r="K223" s="31" t="n">
        <v>118049</v>
      </c>
      <c r="L223" s="30" t="n">
        <v>26</v>
      </c>
      <c r="M223" s="30" t="inlineStr">
        <is>
          <t>Underperforming</t>
        </is>
      </c>
      <c r="N223" s="31">
        <f>IF(M223="Underperforming",-5,IF(L223&gt;=95,15,IF(L223&gt;=90,10,IF(L223&gt;=80,5,0))))</f>
        <v/>
      </c>
      <c r="O223" s="31" t="n">
        <v>60.29</v>
      </c>
      <c r="P223" s="31" t="n">
        <v>25.83</v>
      </c>
      <c r="Q223" s="31" t="inlineStr"/>
      <c r="R223" s="30" t="inlineStr">
        <is>
          <t>Earnings / Momentum Support</t>
        </is>
      </c>
      <c r="S223" s="30" t="inlineStr">
        <is>
          <t>Nifty 50</t>
        </is>
      </c>
      <c r="T223" s="31" t="n">
        <v>0.85</v>
      </c>
      <c r="U223" s="31" t="n">
        <v>-0.27</v>
      </c>
      <c r="V223" s="31" t="n">
        <v>-1.12</v>
      </c>
      <c r="W223" s="31" t="n">
        <v>2.75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Headwind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No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3</t>
        </is>
      </c>
      <c r="BC223" s="30">
        <f>IF(BB223="Stage 2",20,IF(BB223="Stage 1",0,IF(BB223="Stage 3",5,IF(BB223="Stage 4",-5,0))))</f>
        <v/>
      </c>
      <c r="BD223" s="30" t="inlineStr">
        <is>
          <t>Negative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Yes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IF(B224=0,"",RANK(B224,$B$2:$B$400,0))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2" t="inlineStr">
        <is>
          <t>MATRIMONY</t>
        </is>
      </c>
      <c r="D224" s="32" t="inlineStr">
        <is>
          <t>Matrimony.com Ltd</t>
        </is>
      </c>
      <c r="E224" s="30" t="inlineStr">
        <is>
          <t>miscellaneous</t>
        </is>
      </c>
      <c r="F224" s="30" t="inlineStr">
        <is>
          <t>miscellaneous</t>
        </is>
      </c>
      <c r="G224" s="30" t="inlineStr">
        <is>
          <t>smallcap</t>
        </is>
      </c>
      <c r="H224" s="31" t="n">
        <v>993.98</v>
      </c>
      <c r="I224" s="31" t="n">
        <v>480</v>
      </c>
      <c r="J224" s="31" t="n">
        <v>-0.17</v>
      </c>
      <c r="K224" s="31" t="n">
        <v>111358</v>
      </c>
      <c r="L224" s="30" t="n">
        <v>17</v>
      </c>
      <c r="M224" s="30" t="inlineStr">
        <is>
          <t>Underperforming</t>
        </is>
      </c>
      <c r="N224" s="31">
        <f>IF(M224="Underperforming",-5,IF(L224&gt;=95,15,IF(L224&gt;=90,10,IF(L224&gt;=80,5,0))))</f>
        <v/>
      </c>
      <c r="O224" s="31" t="n">
        <v>60.43</v>
      </c>
      <c r="P224" s="31" t="n">
        <v>19.58</v>
      </c>
      <c r="Q224" s="31" t="inlineStr"/>
      <c r="R224" s="30" t="inlineStr">
        <is>
          <t>Earnings / Momentum Support</t>
        </is>
      </c>
      <c r="S224" s="30" t="inlineStr">
        <is>
          <t>Nifty 50</t>
        </is>
      </c>
      <c r="T224" s="31" t="n">
        <v>0.85</v>
      </c>
      <c r="U224" s="31" t="n">
        <v>-6.68</v>
      </c>
      <c r="V224" s="31" t="n">
        <v>-7.47</v>
      </c>
      <c r="W224" s="31" t="n">
        <v>0.8100000000000001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Headwind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0 to 20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3</t>
        </is>
      </c>
      <c r="BC224" s="30">
        <f>IF(BB224="Stage 2",20,IF(BB224="Stage 1",0,IF(BB224="Stage 3",5,IF(BB224="Stage 4",-5,0))))</f>
        <v/>
      </c>
      <c r="BD224" s="30" t="inlineStr">
        <is>
          <t>Negative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Less than 1.5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IF(B225=0,"",RANK(B225,$B$2:$B$400,0))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2" t="inlineStr">
        <is>
          <t>MIDHANI</t>
        </is>
      </c>
      <c r="D225" s="32" t="inlineStr">
        <is>
          <t>Mishra Dhatu Nigam Ltd</t>
        </is>
      </c>
      <c r="E225" s="30" t="inlineStr">
        <is>
          <t>aerospace &amp; defence</t>
        </is>
      </c>
      <c r="F225" s="30" t="inlineStr">
        <is>
          <t>steel - medium / small</t>
        </is>
      </c>
      <c r="G225" s="30" t="inlineStr">
        <is>
          <t>midcap</t>
        </is>
      </c>
      <c r="H225" s="31" t="n">
        <v>8152.1</v>
      </c>
      <c r="I225" s="31" t="n">
        <v>434.15</v>
      </c>
      <c r="J225" s="31" t="n">
        <v>-0.23</v>
      </c>
      <c r="K225" s="31" t="n">
        <v>710452</v>
      </c>
      <c r="L225" s="30" t="n">
        <v>21</v>
      </c>
      <c r="M225" s="30" t="inlineStr">
        <is>
          <t>Underperforming</t>
        </is>
      </c>
      <c r="N225" s="31">
        <f>IF(M225="Underperforming",-5,IF(L225&gt;=95,15,IF(L225&gt;=90,10,IF(L225&gt;=80,5,0))))</f>
        <v/>
      </c>
      <c r="O225" s="31" t="n">
        <v>60.92</v>
      </c>
      <c r="P225" s="31" t="n">
        <v>26.59</v>
      </c>
      <c r="Q225" s="31" t="inlineStr"/>
      <c r="R225" s="30" t="inlineStr">
        <is>
          <t>Earnings / Momentum Support</t>
        </is>
      </c>
      <c r="S225" s="30" t="inlineStr">
        <is>
          <t>Nifty Metal</t>
        </is>
      </c>
      <c r="T225" s="31" t="n">
        <v>31.49</v>
      </c>
      <c r="U225" s="31" t="n">
        <v>-2.42</v>
      </c>
      <c r="V225" s="31" t="n">
        <v>-25.79</v>
      </c>
      <c r="W225" s="31" t="n">
        <v>1.83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Headwind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No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20 to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3</t>
        </is>
      </c>
      <c r="BC225" s="30">
        <f>IF(BB225="Stage 2",20,IF(BB225="Stage 1",0,IF(BB225="Stage 3",5,IF(BB225="Stage 4",-5,0))))</f>
        <v/>
      </c>
      <c r="BD225" s="30" t="inlineStr">
        <is>
          <t>Negative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Between 1.5 to 2</t>
        </is>
      </c>
      <c r="BU225" s="30">
        <f>IF(BT225="Above 2",0,IF(BT225="Between 1.5 to 2",5,IF(BT225="Less than 1.5",10,0)))</f>
        <v/>
      </c>
      <c r="BV225" s="30" t="inlineStr">
        <is>
          <t>Between 50% to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IF(B226=0,"",RANK(B226,$B$2:$B$400,0))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AARTIIND</t>
        </is>
      </c>
      <c r="D226" s="30" t="inlineStr">
        <is>
          <t>Aarti Industries Limited</t>
        </is>
      </c>
      <c r="E226" s="30" t="inlineStr">
        <is>
          <t>chemicals</t>
        </is>
      </c>
      <c r="F226" s="30" t="inlineStr">
        <is>
          <t>chemicals</t>
        </is>
      </c>
      <c r="G226" s="30" t="inlineStr">
        <is>
          <t>midcap</t>
        </is>
      </c>
      <c r="H226" s="31" t="n">
        <v>18212.51</v>
      </c>
      <c r="I226" s="31" t="n">
        <v>500.55</v>
      </c>
      <c r="J226" s="31" t="n">
        <v>-0.31</v>
      </c>
      <c r="K226" s="31" t="n">
        <v>602599</v>
      </c>
      <c r="L226" s="30" t="n">
        <v>45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60.82</v>
      </c>
      <c r="P226" s="31" t="n">
        <v>22.18</v>
      </c>
      <c r="Q226" s="31" t="inlineStr"/>
      <c r="R226" s="30" t="inlineStr">
        <is>
          <t>Earnings / Momentum Support</t>
        </is>
      </c>
      <c r="S226" s="30" t="inlineStr">
        <is>
          <t>Nifty 50</t>
        </is>
      </c>
      <c r="T226" s="31" t="n">
        <v>0.85</v>
      </c>
      <c r="U226" s="31" t="n">
        <v>34.21</v>
      </c>
      <c r="V226" s="31" t="n">
        <v>33.08</v>
      </c>
      <c r="W226" s="31" t="n">
        <v>6.85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Headwind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3</t>
        </is>
      </c>
      <c r="BC226" s="30">
        <f>IF(BB226="Stage 2",20,IF(BB226="Stage 1",0,IF(BB226="Stage 3",5,IF(BB226="Stage 4",-5,0))))</f>
        <v/>
      </c>
      <c r="BD226" s="30" t="inlineStr">
        <is>
          <t>Negative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Between 0.7 to 1.2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IF(B227=0,"",RANK(B227,$B$2:$B$400,0))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EICHERMOT</t>
        </is>
      </c>
      <c r="D227" s="30" t="inlineStr">
        <is>
          <t>Eicher Motors Limited</t>
        </is>
      </c>
      <c r="E227" s="30" t="inlineStr">
        <is>
          <t>auto</t>
        </is>
      </c>
      <c r="F227" s="30" t="inlineStr">
        <is>
          <t>automobiles - motorcycles / mopeds</t>
        </is>
      </c>
      <c r="G227" s="30" t="inlineStr">
        <is>
          <t>largecap</t>
        </is>
      </c>
      <c r="H227" s="31" t="n">
        <v>220147.02</v>
      </c>
      <c r="I227" s="31" t="n">
        <v>7975</v>
      </c>
      <c r="J227" s="31" t="n">
        <v>-0.5600000000000001</v>
      </c>
      <c r="K227" s="31" t="n">
        <v>733152</v>
      </c>
      <c r="L227" s="30" t="n">
        <v>49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64.95999999999999</v>
      </c>
      <c r="P227" s="31" t="n">
        <v>8.65</v>
      </c>
      <c r="Q227" s="31" t="inlineStr"/>
      <c r="R227" s="30" t="inlineStr">
        <is>
          <t>Earnings / Momentum Support</t>
        </is>
      </c>
      <c r="S227" s="30" t="inlineStr">
        <is>
          <t>Nifty Auto</t>
        </is>
      </c>
      <c r="T227" s="31" t="n">
        <v>13.41</v>
      </c>
      <c r="U227" s="31" t="n">
        <v>36.15</v>
      </c>
      <c r="V227" s="31" t="n">
        <v>20.04</v>
      </c>
      <c r="W227" s="31" t="n">
        <v>7.86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Headwind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No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0 to 20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3</t>
        </is>
      </c>
      <c r="BC227" s="30">
        <f>IF(BB227="Stage 2",20,IF(BB227="Stage 1",0,IF(BB227="Stage 3",5,IF(BB227="Stage 4",-5,0))))</f>
        <v/>
      </c>
      <c r="BD227" s="30" t="inlineStr">
        <is>
          <t>Negative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Between 1.5 to 2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IF(B228=0,"",RANK(B228,$B$2:$B$400,0))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2" t="inlineStr">
        <is>
          <t>GULFOILLUB</t>
        </is>
      </c>
      <c r="D228" s="32" t="inlineStr">
        <is>
          <t>Gulf Oil Lubricants India Limited</t>
        </is>
      </c>
      <c r="E228" s="30" t="inlineStr">
        <is>
          <t>chemicals</t>
        </is>
      </c>
      <c r="F228" s="30" t="inlineStr">
        <is>
          <t>chemicals</t>
        </is>
      </c>
      <c r="G228" s="30" t="inlineStr">
        <is>
          <t>midcap</t>
        </is>
      </c>
      <c r="H228" s="31" t="n">
        <v>5890.02</v>
      </c>
      <c r="I228" s="31" t="n">
        <v>1180</v>
      </c>
      <c r="J228" s="31" t="n">
        <v>-0.8</v>
      </c>
      <c r="K228" s="31" t="n">
        <v>52134</v>
      </c>
      <c r="L228" s="30" t="n">
        <v>7</v>
      </c>
      <c r="M228" s="30" t="inlineStr">
        <is>
          <t>Underperforming</t>
        </is>
      </c>
      <c r="N228" s="31">
        <f>IF(M228="Underperforming",-5,IF(L228&gt;=95,15,IF(L228&gt;=90,10,IF(L228&gt;=80,5,0))))</f>
        <v/>
      </c>
      <c r="O228" s="31" t="n">
        <v>63.81</v>
      </c>
      <c r="P228" s="31" t="n">
        <v>19.81</v>
      </c>
      <c r="Q228" s="31" t="inlineStr"/>
      <c r="R228" s="30" t="inlineStr">
        <is>
          <t>Earnings / Momentum Support</t>
        </is>
      </c>
      <c r="S228" s="30" t="inlineStr">
        <is>
          <t>Nifty Energy</t>
        </is>
      </c>
      <c r="T228" s="31" t="n">
        <v>8.41</v>
      </c>
      <c r="U228" s="31" t="n">
        <v>-14.83</v>
      </c>
      <c r="V228" s="31" t="n">
        <v>-21.44</v>
      </c>
      <c r="W228" s="31" t="n">
        <v>-2.12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Headwind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0 to 20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3</t>
        </is>
      </c>
      <c r="BC228" s="30">
        <f>IF(BB228="Stage 2",20,IF(BB228="Stage 1",0,IF(BB228="Stage 3",5,IF(BB228="Stage 4",-5,0))))</f>
        <v/>
      </c>
      <c r="BD228" s="30" t="inlineStr">
        <is>
          <t>Negative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Less than 1.5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IF(B229=0,"",RANK(B229,$B$2:$B$400,0))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2" t="inlineStr">
        <is>
          <t>TTKHLTCARE</t>
        </is>
      </c>
      <c r="D229" s="32" t="inlineStr">
        <is>
          <t>Ttk Healthcare Limited</t>
        </is>
      </c>
      <c r="E229" s="30" t="inlineStr">
        <is>
          <t>miscellaneous</t>
        </is>
      </c>
      <c r="F229" s="30" t="inlineStr">
        <is>
          <t>diversified - medium / small</t>
        </is>
      </c>
      <c r="G229" s="30" t="inlineStr">
        <is>
          <t>smallcap</t>
        </is>
      </c>
      <c r="H229" s="31" t="n">
        <v>1532.86</v>
      </c>
      <c r="I229" s="31" t="n">
        <v>1068</v>
      </c>
      <c r="J229" s="31" t="n">
        <v>-1.55</v>
      </c>
      <c r="K229" s="31" t="n">
        <v>19169</v>
      </c>
      <c r="L229" s="30" t="n">
        <v>6</v>
      </c>
      <c r="M229" s="30" t="inlineStr">
        <is>
          <t>Underperforming</t>
        </is>
      </c>
      <c r="N229" s="31">
        <f>IF(M229="Underperforming",-5,IF(L229&gt;=95,15,IF(L229&gt;=90,10,IF(L229&gt;=80,5,0))))</f>
        <v/>
      </c>
      <c r="O229" s="31" t="n">
        <v>67.34</v>
      </c>
      <c r="P229" s="31" t="n">
        <v>18.85</v>
      </c>
      <c r="Q229" s="31" t="inlineStr"/>
      <c r="R229" s="30" t="inlineStr">
        <is>
          <t>Earnings / Momentum Support</t>
        </is>
      </c>
      <c r="S229" s="30" t="inlineStr">
        <is>
          <t>Nifty Infra</t>
        </is>
      </c>
      <c r="T229" s="31" t="n">
        <v>1.74</v>
      </c>
      <c r="U229" s="31" t="n">
        <v>-25.24</v>
      </c>
      <c r="V229" s="31" t="n">
        <v>-26.52</v>
      </c>
      <c r="W229" s="31" t="n">
        <v>-2.39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Headwind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No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0 to 20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3</t>
        </is>
      </c>
      <c r="BC229" s="30">
        <f>IF(BB229="Stage 2",20,IF(BB229="Stage 1",0,IF(BB229="Stage 3",5,IF(BB229="Stage 4",-5,0))))</f>
        <v/>
      </c>
      <c r="BD229" s="30" t="inlineStr">
        <is>
          <t>Negative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Less than 1.5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IF(B230=0,"",RANK(B230,$B$2:$B$400,0))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2" t="inlineStr">
        <is>
          <t>TNPL</t>
        </is>
      </c>
      <c r="D230" s="32" t="inlineStr">
        <is>
          <t>Tamil Nadu Newsprint &amp; Papers Limited</t>
        </is>
      </c>
      <c r="E230" s="30" t="inlineStr">
        <is>
          <t>building materials</t>
        </is>
      </c>
      <c r="F230" s="30" t="inlineStr">
        <is>
          <t>paper</t>
        </is>
      </c>
      <c r="G230" s="30" t="inlineStr">
        <is>
          <t>smallcap</t>
        </is>
      </c>
      <c r="H230" s="31" t="n">
        <v>1083.84</v>
      </c>
      <c r="I230" s="31" t="n">
        <v>153.88</v>
      </c>
      <c r="J230" s="31" t="n">
        <v>-1.74</v>
      </c>
      <c r="K230" s="31" t="n">
        <v>115261</v>
      </c>
      <c r="L230" s="30" t="n">
        <v>7</v>
      </c>
      <c r="M230" s="30" t="inlineStr">
        <is>
          <t>Underperforming</t>
        </is>
      </c>
      <c r="N230" s="31">
        <f>IF(M230="Underperforming",-5,IF(L230&gt;=95,15,IF(L230&gt;=90,10,IF(L230&gt;=80,5,0))))</f>
        <v/>
      </c>
      <c r="O230" s="31" t="n">
        <v>62.31</v>
      </c>
      <c r="P230" s="31" t="n">
        <v>13.29</v>
      </c>
      <c r="Q230" s="31" t="inlineStr"/>
      <c r="R230" s="30" t="inlineStr">
        <is>
          <t>Earnings / Momentum Support</t>
        </is>
      </c>
      <c r="S230" s="30" t="inlineStr">
        <is>
          <t>Nifty Infra</t>
        </is>
      </c>
      <c r="T230" s="31" t="n">
        <v>1.74</v>
      </c>
      <c r="U230" s="31" t="n">
        <v>-12.81</v>
      </c>
      <c r="V230" s="31" t="n">
        <v>-14.31</v>
      </c>
      <c r="W230" s="31" t="n">
        <v>-1.85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Headwind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0 to 20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3</t>
        </is>
      </c>
      <c r="BC230" s="30">
        <f>IF(BB230="Stage 2",20,IF(BB230="Stage 1",0,IF(BB230="Stage 3",5,IF(BB230="Stage 4",-5,0))))</f>
        <v/>
      </c>
      <c r="BD230" s="30" t="inlineStr">
        <is>
          <t>Negative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Less than 1.5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IF(B231=0,"",RANK(B231,$B$2:$B$400,0))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SANDHAR</t>
        </is>
      </c>
      <c r="D231" s="30" t="inlineStr">
        <is>
          <t>Sandhar Technologies Limited</t>
        </is>
      </c>
      <c r="E231" s="30" t="inlineStr">
        <is>
          <t>auto</t>
        </is>
      </c>
      <c r="F231" s="30" t="inlineStr">
        <is>
          <t>auto ancillaries</t>
        </is>
      </c>
      <c r="G231" s="30" t="inlineStr">
        <is>
          <t>smallcap</t>
        </is>
      </c>
      <c r="H231" s="31" t="n">
        <v>4012.61</v>
      </c>
      <c r="I231" s="31" t="n">
        <v>654.1</v>
      </c>
      <c r="J231" s="31" t="n">
        <v>-1.88</v>
      </c>
      <c r="K231" s="31" t="n">
        <v>291529</v>
      </c>
      <c r="L231" s="30" t="n">
        <v>50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59.54</v>
      </c>
      <c r="P231" s="31" t="n">
        <v>36.7</v>
      </c>
      <c r="Q231" s="31" t="inlineStr"/>
      <c r="R231" s="30" t="inlineStr">
        <is>
          <t>Earnings / Momentum Support</t>
        </is>
      </c>
      <c r="S231" s="30" t="inlineStr">
        <is>
          <t>Nifty Auto</t>
        </is>
      </c>
      <c r="T231" s="31" t="n">
        <v>13.41</v>
      </c>
      <c r="U231" s="31" t="n">
        <v>19.99</v>
      </c>
      <c r="V231" s="31" t="n">
        <v>5.8</v>
      </c>
      <c r="W231" s="31" t="n">
        <v>8.140000000000001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Headwind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No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3</t>
        </is>
      </c>
      <c r="BC231" s="30">
        <f>IF(BB231="Stage 2",20,IF(BB231="Stage 1",0,IF(BB231="Stage 3",5,IF(BB231="Stage 4",-5,0))))</f>
        <v/>
      </c>
      <c r="BD231" s="30" t="inlineStr">
        <is>
          <t>Negative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No</t>
        </is>
      </c>
      <c r="BS231" s="30">
        <f>IF(BR231="NO",5,0)</f>
        <v/>
      </c>
      <c r="BT231" s="30" t="inlineStr">
        <is>
          <t>Less than 1.5</t>
        </is>
      </c>
      <c r="BU231" s="30">
        <f>IF(BT231="Above 2",0,IF(BT231="Between 1.5 to 2",5,IF(BT231="Less than 1.5",10,0)))</f>
        <v/>
      </c>
      <c r="BV231" s="30" t="inlineStr">
        <is>
          <t>Less than 50%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Between 0.7 to 1.2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IF(B232=0,"",RANK(B232,$B$2:$B$400,0))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TDPOWERSYS</t>
        </is>
      </c>
      <c r="D232" s="30" t="inlineStr">
        <is>
          <t>Td Power Systems Limited</t>
        </is>
      </c>
      <c r="E232" s="30" t="inlineStr">
        <is>
          <t>industrials</t>
        </is>
      </c>
      <c r="F232" s="30" t="inlineStr">
        <is>
          <t>electric equipment</t>
        </is>
      </c>
      <c r="G232" s="30" t="inlineStr">
        <is>
          <t>midcap</t>
        </is>
      </c>
      <c r="H232" s="31" t="n">
        <v>19698.84</v>
      </c>
      <c r="I232" s="31" t="n">
        <v>1236.4</v>
      </c>
      <c r="J232" s="31" t="n">
        <v>-1.94</v>
      </c>
      <c r="K232" s="31" t="n">
        <v>1054445</v>
      </c>
      <c r="L232" s="30" t="n">
        <v>90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63.28</v>
      </c>
      <c r="P232" s="31" t="n">
        <v>30.7</v>
      </c>
      <c r="Q232" s="31" t="inlineStr"/>
      <c r="R232" s="30" t="inlineStr">
        <is>
          <t>Earnings / Momentum Support</t>
        </is>
      </c>
      <c r="S232" s="30" t="inlineStr">
        <is>
          <t>Nifty 50</t>
        </is>
      </c>
      <c r="T232" s="31" t="n">
        <v>0.85</v>
      </c>
      <c r="U232" s="31" t="n">
        <v>167.25</v>
      </c>
      <c r="V232" s="31" t="n">
        <v>164.99</v>
      </c>
      <c r="W232" s="31" t="n">
        <v>25.66</v>
      </c>
      <c r="X232" s="30" t="inlineStr">
        <is>
          <t>Cyclical in an Upturn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Headwind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No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3</t>
        </is>
      </c>
      <c r="BC232" s="30">
        <f>IF(BB232="Stage 2",20,IF(BB232="Stage 1",0,IF(BB232="Stage 3",5,IF(BB232="Stage 4",-5,0))))</f>
        <v/>
      </c>
      <c r="BD232" s="30" t="inlineStr">
        <is>
          <t>Negative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Less than 50%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IF(B233=0,"",RANK(B233,$B$2:$B$400,0))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NRAIL</t>
        </is>
      </c>
      <c r="D233" s="30" t="inlineStr">
        <is>
          <t>N R Agarwal Industries Ltd</t>
        </is>
      </c>
      <c r="E233" s="30" t="inlineStr">
        <is>
          <t>building materials</t>
        </is>
      </c>
      <c r="F233" s="30" t="inlineStr">
        <is>
          <t>paper</t>
        </is>
      </c>
      <c r="G233" s="30" t="inlineStr">
        <is>
          <t>smallcap</t>
        </is>
      </c>
      <c r="H233" s="31" t="n">
        <v>926.78</v>
      </c>
      <c r="I233" s="31" t="n">
        <v>527.05</v>
      </c>
      <c r="J233" s="31" t="n">
        <v>-3.21</v>
      </c>
      <c r="K233" s="31" t="n">
        <v>24184</v>
      </c>
      <c r="L233" s="30" t="n">
        <v>24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63.36</v>
      </c>
      <c r="P233" s="31" t="n">
        <v>23.65</v>
      </c>
      <c r="Q233" s="31" t="inlineStr"/>
      <c r="R233" s="30" t="inlineStr">
        <is>
          <t>Earnings / Momentum Support</t>
        </is>
      </c>
      <c r="S233" s="30" t="inlineStr">
        <is>
          <t>Nifty Infra</t>
        </is>
      </c>
      <c r="T233" s="31" t="n">
        <v>1.74</v>
      </c>
      <c r="U233" s="31" t="n">
        <v>19.09</v>
      </c>
      <c r="V233" s="31" t="n">
        <v>17.05</v>
      </c>
      <c r="W233" s="31" t="n">
        <v>2.3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Headwind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No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3</t>
        </is>
      </c>
      <c r="BC233" s="30">
        <f>IF(BB233="Stage 2",20,IF(BB233="Stage 1",0,IF(BB233="Stage 3",5,IF(BB233="Stage 4",-5,0))))</f>
        <v/>
      </c>
      <c r="BD233" s="30" t="inlineStr">
        <is>
          <t>Negative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No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Between 0.7 to 1.2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IF(B234=0,"",RANK(B234,$B$2:$B$400,0))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AVADHSUGAR</t>
        </is>
      </c>
      <c r="D234" s="30" t="inlineStr">
        <is>
          <t>Avadh Sugar &amp; Energy</t>
        </is>
      </c>
      <c r="E234" s="30" t="inlineStr">
        <is>
          <t>fmcg</t>
        </is>
      </c>
      <c r="F234" s="30" t="inlineStr">
        <is>
          <t>sugar</t>
        </is>
      </c>
      <c r="G234" s="30" t="inlineStr">
        <is>
          <t>smallcap</t>
        </is>
      </c>
      <c r="H234" s="31" t="n">
        <v>1203.21</v>
      </c>
      <c r="I234" s="31" t="n">
        <v>635.1</v>
      </c>
      <c r="J234" s="31" t="n">
        <v>5.67</v>
      </c>
      <c r="K234" s="31" t="n">
        <v>231854</v>
      </c>
      <c r="L234" s="30" t="n">
        <v>47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74.43000000000001</v>
      </c>
      <c r="P234" s="31" t="n">
        <v>37.36</v>
      </c>
      <c r="Q234" s="31" t="inlineStr"/>
      <c r="R234" s="30" t="inlineStr">
        <is>
          <t>Earnings / Momentum Support</t>
        </is>
      </c>
      <c r="S234" s="30" t="inlineStr">
        <is>
          <t>Nifty FMCG</t>
        </is>
      </c>
      <c r="T234" s="31" t="n">
        <v>-13.73</v>
      </c>
      <c r="U234" s="31" t="n">
        <v>10.91</v>
      </c>
      <c r="V234" s="31" t="n">
        <v>28.56</v>
      </c>
      <c r="W234" s="31" t="n">
        <v>7.47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Headwind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B2C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Annuity, Lower One Time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3</t>
        </is>
      </c>
      <c r="BC234" s="30">
        <f>IF(BB234="Stage 2",20,IF(BB234="Stage 1",0,IF(BB234="Stage 3",5,IF(BB234="Stage 4",-5,0))))</f>
        <v/>
      </c>
      <c r="BD234" s="30" t="inlineStr">
        <is>
          <t>Negative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More than 1.2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IF(B235=0,"",RANK(B235,$B$2:$B$400,0))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INDSWFTLAB</t>
        </is>
      </c>
      <c r="D235" s="30" t="inlineStr">
        <is>
          <t>Ind-swift Laboratories Limited</t>
        </is>
      </c>
      <c r="E235" s="30" t="inlineStr">
        <is>
          <t>healthcare</t>
        </is>
      </c>
      <c r="F235" s="30" t="inlineStr">
        <is>
          <t>pharmaceuticals - indian - bulk drugs &amp; formln</t>
        </is>
      </c>
      <c r="G235" s="30" t="inlineStr">
        <is>
          <t>smallcap</t>
        </is>
      </c>
      <c r="H235" s="31" t="n">
        <v>1986.29</v>
      </c>
      <c r="I235" s="31" t="n">
        <v>237.24</v>
      </c>
      <c r="J235" s="31" t="n">
        <v>3.87</v>
      </c>
      <c r="K235" s="31" t="n">
        <v>1031876</v>
      </c>
      <c r="L235" s="30" t="n">
        <v>95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73.84</v>
      </c>
      <c r="P235" s="31" t="n">
        <v>59.66</v>
      </c>
      <c r="Q235" s="31" t="inlineStr"/>
      <c r="R235" s="30" t="inlineStr">
        <is>
          <t>Earnings / Momentum Support</t>
        </is>
      </c>
      <c r="S235" s="30" t="inlineStr">
        <is>
          <t>Nifty Pharma</t>
        </is>
      </c>
      <c r="T235" s="31" t="n">
        <v>24.01</v>
      </c>
      <c r="U235" s="31" t="n">
        <v>130.37</v>
      </c>
      <c r="V235" s="31" t="n">
        <v>85.76000000000001</v>
      </c>
      <c r="W235" s="31" t="n">
        <v>33.61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Yes</t>
        </is>
      </c>
      <c r="AC235" s="30">
        <f>IF(AB235="No",5,0)</f>
        <v/>
      </c>
      <c r="AD235" s="30" t="inlineStr">
        <is>
          <t>Headwind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No</t>
        </is>
      </c>
      <c r="AQ235" s="30">
        <f>IF(AP235="Yes",10,0)</f>
        <v/>
      </c>
      <c r="AR235" s="30" t="inlineStr">
        <is>
          <t>Higher Annuity, Lower One Time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Above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3</t>
        </is>
      </c>
      <c r="BC235" s="30">
        <f>IF(BB235="Stage 2",20,IF(BB235="Stage 1",0,IF(BB235="Stage 3",5,IF(BB235="Stage 4",-5,0))))</f>
        <v/>
      </c>
      <c r="BD235" s="30" t="inlineStr">
        <is>
          <t>Negative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Less than 12%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Negative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IF(B236=0,"",RANK(B236,$B$2:$B$400,0))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2" t="inlineStr">
        <is>
          <t>AGARWALEYE</t>
        </is>
      </c>
      <c r="D236" s="32" t="inlineStr">
        <is>
          <t>Dr Agarwals Health Care Ltd</t>
        </is>
      </c>
      <c r="E236" s="30" t="inlineStr">
        <is>
          <t>healthcare</t>
        </is>
      </c>
      <c r="F236" s="30" t="inlineStr">
        <is>
          <t>healthcare</t>
        </is>
      </c>
      <c r="G236" s="30" t="inlineStr">
        <is>
          <t>midcap</t>
        </is>
      </c>
      <c r="H236" s="31" t="n">
        <v>17315.2</v>
      </c>
      <c r="I236" s="31" t="n">
        <v>562.65</v>
      </c>
      <c r="J236" s="31" t="n">
        <v>3</v>
      </c>
      <c r="K236" s="31" t="n">
        <v>202004</v>
      </c>
      <c r="L236" s="30" t="n">
        <v>53</v>
      </c>
      <c r="M236" s="30" t="inlineStr">
        <is>
          <t>Underperforming</t>
        </is>
      </c>
      <c r="N236" s="31">
        <f>IF(M236="Underperforming",-5,IF(L236&gt;=95,15,IF(L236&gt;=90,10,IF(L236&gt;=80,5,0))))</f>
        <v/>
      </c>
      <c r="O236" s="31" t="n">
        <v>69.05</v>
      </c>
      <c r="P236" s="31" t="n">
        <v>24.09</v>
      </c>
      <c r="Q236" s="31" t="inlineStr"/>
      <c r="R236" s="30" t="inlineStr">
        <is>
          <t>Earnings / Momentum Support</t>
        </is>
      </c>
      <c r="S236" s="30" t="inlineStr">
        <is>
          <t>Nifty Pharma</t>
        </is>
      </c>
      <c r="T236" s="31" t="n">
        <v>24.01</v>
      </c>
      <c r="U236" s="31" t="n">
        <v>22.99</v>
      </c>
      <c r="V236" s="31" t="n">
        <v>-0.83</v>
      </c>
      <c r="W236" s="31" t="n">
        <v>8.82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Yes</t>
        </is>
      </c>
      <c r="AC236" s="30">
        <f>IF(AB236="No",5,0)</f>
        <v/>
      </c>
      <c r="AD236" s="30" t="inlineStr">
        <is>
          <t>Headwind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No</t>
        </is>
      </c>
      <c r="AQ236" s="30">
        <f>IF(AP236="Yes",10,0)</f>
        <v/>
      </c>
      <c r="AR236" s="30" t="inlineStr">
        <is>
          <t>Higher Annuity, Lower One Time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3</t>
        </is>
      </c>
      <c r="BC236" s="30">
        <f>IF(BB236="Stage 2",20,IF(BB236="Stage 1",0,IF(BB236="Stage 3",5,IF(BB236="Stage 4",-5,0))))</f>
        <v/>
      </c>
      <c r="BD236" s="30" t="inlineStr">
        <is>
          <t>Negative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IF(B237=0,"",RANK(B237,$B$2:$B$400,0))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2" t="inlineStr">
        <is>
          <t>GUFICBIO</t>
        </is>
      </c>
      <c r="D237" s="32" t="inlineStr">
        <is>
          <t>Gufic Biosciences Limited</t>
        </is>
      </c>
      <c r="E237" s="30" t="inlineStr">
        <is>
          <t>healthcare</t>
        </is>
      </c>
      <c r="F237" s="30" t="inlineStr">
        <is>
          <t>pharmaceuticals - indian - bulk drugs &amp; formln</t>
        </is>
      </c>
      <c r="G237" s="30" t="inlineStr">
        <is>
          <t>smallcap</t>
        </is>
      </c>
      <c r="H237" s="31" t="n">
        <v>4225.9</v>
      </c>
      <c r="I237" s="31" t="n">
        <v>433</v>
      </c>
      <c r="J237" s="31" t="n">
        <v>2.75</v>
      </c>
      <c r="K237" s="31" t="n">
        <v>168401</v>
      </c>
      <c r="L237" s="30" t="n">
        <v>64</v>
      </c>
      <c r="M237" s="30" t="inlineStr">
        <is>
          <t>Underperforming</t>
        </is>
      </c>
      <c r="N237" s="31">
        <f>IF(M237="Underperforming",-5,IF(L237&gt;=95,15,IF(L237&gt;=90,10,IF(L237&gt;=80,5,0))))</f>
        <v/>
      </c>
      <c r="O237" s="31" t="n">
        <v>70.65000000000001</v>
      </c>
      <c r="P237" s="31" t="n">
        <v>47.59</v>
      </c>
      <c r="Q237" s="31" t="inlineStr"/>
      <c r="R237" s="30" t="inlineStr">
        <is>
          <t>Earnings / Momentum Support</t>
        </is>
      </c>
      <c r="S237" s="30" t="inlineStr">
        <is>
          <t>Nifty Pharma</t>
        </is>
      </c>
      <c r="T237" s="31" t="n">
        <v>24.01</v>
      </c>
      <c r="U237" s="31" t="n">
        <v>16.68</v>
      </c>
      <c r="V237" s="31" t="n">
        <v>-5.91</v>
      </c>
      <c r="W237" s="31" t="n">
        <v>12.31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Yes</t>
        </is>
      </c>
      <c r="AC237" s="30">
        <f>IF(AB237="No",5,0)</f>
        <v/>
      </c>
      <c r="AD237" s="30" t="inlineStr">
        <is>
          <t>Headwind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No</t>
        </is>
      </c>
      <c r="AQ237" s="30">
        <f>IF(AP237="Yes",10,0)</f>
        <v/>
      </c>
      <c r="AR237" s="30" t="inlineStr">
        <is>
          <t>Higher Annuity, Lower One Time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Above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3</t>
        </is>
      </c>
      <c r="BC237" s="30">
        <f>IF(BB237="Stage 2",20,IF(BB237="Stage 1",0,IF(BB237="Stage 3",5,IF(BB237="Stage 4",-5,0))))</f>
        <v/>
      </c>
      <c r="BD237" s="30" t="inlineStr">
        <is>
          <t>Negative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Less than 50%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IF(B238=0,"",RANK(B238,$B$2:$B$400,0))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BLSE</t>
        </is>
      </c>
      <c r="D238" s="30" t="inlineStr">
        <is>
          <t>BLS E-Services Ltd</t>
        </is>
      </c>
      <c r="E238" s="30" t="inlineStr">
        <is>
          <t>i.t</t>
        </is>
      </c>
      <c r="F238" s="30" t="inlineStr">
        <is>
          <t>computers - software - medium / small</t>
        </is>
      </c>
      <c r="G238" s="30" t="inlineStr">
        <is>
          <t>smallcap</t>
        </is>
      </c>
      <c r="H238" s="31" t="n">
        <v>2821.55</v>
      </c>
      <c r="I238" s="31" t="n">
        <v>314</v>
      </c>
      <c r="J238" s="31" t="n">
        <v>1.11</v>
      </c>
      <c r="K238" s="31" t="n">
        <v>400568</v>
      </c>
      <c r="L238" s="30" t="n">
        <v>89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82.81</v>
      </c>
      <c r="P238" s="31" t="n">
        <v>45.92</v>
      </c>
      <c r="Q238" s="31" t="inlineStr"/>
      <c r="R238" s="30" t="inlineStr">
        <is>
          <t>Earnings / Momentum Support</t>
        </is>
      </c>
      <c r="S238" s="30" t="inlineStr">
        <is>
          <t>Nifty IT</t>
        </is>
      </c>
      <c r="T238" s="31" t="n">
        <v>-8.289999999999999</v>
      </c>
      <c r="U238" s="31" t="n">
        <v>72.05</v>
      </c>
      <c r="V238" s="31" t="n">
        <v>87.59999999999999</v>
      </c>
      <c r="W238" s="31" t="n">
        <v>25.08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Headwind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No</t>
        </is>
      </c>
      <c r="AQ238" s="30">
        <f>IF(AP238="Yes",10,0)</f>
        <v/>
      </c>
      <c r="AR238" s="30" t="inlineStr">
        <is>
          <t>Higher Annuity, Lower One Time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Above 40</t>
        </is>
      </c>
      <c r="AY238" s="30">
        <f>IF(AX238="Above 40",20,IF(AX238="20 to 40",10,IF(AX238="0 to 20",-5,0)))</f>
        <v/>
      </c>
      <c r="AZ238" s="30" t="inlineStr">
        <is>
          <t>Above 75</t>
        </is>
      </c>
      <c r="BA238" s="30">
        <f>IF(AZ238="Between 50 to 75",10,IF(AZ238="Above 75",0,0))</f>
        <v/>
      </c>
      <c r="BB238" s="30" t="inlineStr">
        <is>
          <t>Stage 3</t>
        </is>
      </c>
      <c r="BC238" s="30">
        <f>IF(BB238="Stage 2",20,IF(BB238="Stage 1",0,IF(BB238="Stage 3",5,IF(BB238="Stage 4",-5,0))))</f>
        <v/>
      </c>
      <c r="BD238" s="30" t="inlineStr">
        <is>
          <t>Negative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Less than 12%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Between 50% to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IF(B239=0,"",RANK(B239,$B$2:$B$400,0))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TATATECH</t>
        </is>
      </c>
      <c r="D239" s="30" t="inlineStr">
        <is>
          <t>Tata Technologies Ltd</t>
        </is>
      </c>
      <c r="E239" s="30" t="inlineStr">
        <is>
          <t>i.t</t>
        </is>
      </c>
      <c r="F239" s="30" t="inlineStr">
        <is>
          <t>computers - software - medium / small</t>
        </is>
      </c>
      <c r="G239" s="30" t="inlineStr">
        <is>
          <t>largecap</t>
        </is>
      </c>
      <c r="H239" s="31" t="n">
        <v>35440.2</v>
      </c>
      <c r="I239" s="31" t="n">
        <v>879.15</v>
      </c>
      <c r="J239" s="31" t="n">
        <v>0.73</v>
      </c>
      <c r="K239" s="31" t="n">
        <v>4640112</v>
      </c>
      <c r="L239" s="30" t="n">
        <v>73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72.89</v>
      </c>
      <c r="P239" s="31" t="n">
        <v>33.06</v>
      </c>
      <c r="Q239" s="31" t="inlineStr"/>
      <c r="R239" s="30" t="inlineStr">
        <is>
          <t>Earnings / Momentum Support</t>
        </is>
      </c>
      <c r="S239" s="30" t="inlineStr">
        <is>
          <t>Nifty IT</t>
        </is>
      </c>
      <c r="T239" s="31" t="n">
        <v>-8.289999999999999</v>
      </c>
      <c r="U239" s="31" t="n">
        <v>34.44</v>
      </c>
      <c r="V239" s="31" t="n">
        <v>46.58</v>
      </c>
      <c r="W239" s="31" t="n">
        <v>15.39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Headwind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Annuity, Lower One Time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3</t>
        </is>
      </c>
      <c r="BC239" s="30">
        <f>IF(BB239="Stage 2",20,IF(BB239="Stage 1",0,IF(BB239="Stage 3",5,IF(BB239="Stage 4",-5,0))))</f>
        <v/>
      </c>
      <c r="BD239" s="30" t="inlineStr">
        <is>
          <t>Negative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Less than 12%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IF(B240=0,"",RANK(B240,$B$2:$B$400,0))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COMSYN</t>
        </is>
      </c>
      <c r="D240" s="30" t="inlineStr">
        <is>
          <t>Commercial Syn Bags Ltd</t>
        </is>
      </c>
      <c r="E240" s="30" t="inlineStr">
        <is>
          <t>industrials</t>
        </is>
      </c>
      <c r="F240" s="30" t="inlineStr">
        <is>
          <t>packaging</t>
        </is>
      </c>
      <c r="G240" s="30" t="inlineStr">
        <is>
          <t>smallcap</t>
        </is>
      </c>
      <c r="H240" s="31" t="n">
        <v>906.95</v>
      </c>
      <c r="I240" s="31" t="n">
        <v>269.03</v>
      </c>
      <c r="J240" s="31" t="n">
        <v>19.66</v>
      </c>
      <c r="K240" s="31" t="n">
        <v>7601735</v>
      </c>
      <c r="L240" s="30" t="n">
        <v>84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71.95999999999999</v>
      </c>
      <c r="P240" s="31" t="n">
        <v>58.68</v>
      </c>
      <c r="Q240" s="31" t="inlineStr"/>
      <c r="R240" s="30" t="inlineStr">
        <is>
          <t>Earnings / Momentum Support</t>
        </is>
      </c>
      <c r="S240" s="30" t="inlineStr">
        <is>
          <t>Nifty 50</t>
        </is>
      </c>
      <c r="T240" s="31" t="n">
        <v>0.85</v>
      </c>
      <c r="U240" s="31" t="n">
        <v>68.75</v>
      </c>
      <c r="V240" s="31" t="n">
        <v>67.31999999999999</v>
      </c>
      <c r="W240" s="31" t="n">
        <v>21.99</v>
      </c>
      <c r="X240" s="30" t="inlineStr">
        <is>
          <t>Cyclical in an Upturn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Headwind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No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Above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3</t>
        </is>
      </c>
      <c r="BC240" s="30">
        <f>IF(BB240="Stage 2",20,IF(BB240="Stage 1",0,IF(BB240="Stage 3",5,IF(BB240="Stage 4",-5,0))))</f>
        <v/>
      </c>
      <c r="BD240" s="30" t="inlineStr">
        <is>
          <t>Negative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Less than 12%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Between 0.7 to 1.2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IF(B241=0,"",RANK(B241,$B$2:$B$400,0))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ANDHRSUGAR</t>
        </is>
      </c>
      <c r="D241" s="30" t="inlineStr">
        <is>
          <t>The Andhra Sugars Limited</t>
        </is>
      </c>
      <c r="E241" s="30" t="inlineStr">
        <is>
          <t>chemicals</t>
        </is>
      </c>
      <c r="F241" s="30" t="inlineStr">
        <is>
          <t>chlor alkali / soda ash</t>
        </is>
      </c>
      <c r="G241" s="30" t="inlineStr">
        <is>
          <t>smallcap</t>
        </is>
      </c>
      <c r="H241" s="31" t="n">
        <v>1192.44</v>
      </c>
      <c r="I241" s="31" t="n">
        <v>99.98</v>
      </c>
      <c r="J241" s="31" t="n">
        <v>13.64</v>
      </c>
      <c r="K241" s="31" t="n">
        <v>17423821</v>
      </c>
      <c r="L241" s="30" t="n">
        <v>19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55.53</v>
      </c>
      <c r="P241" s="31" t="n">
        <v>11.43</v>
      </c>
      <c r="Q241" s="31" t="inlineStr"/>
      <c r="R241" s="30" t="inlineStr">
        <is>
          <t>Volume Spike / Accumulation</t>
        </is>
      </c>
      <c r="S241" s="30" t="inlineStr">
        <is>
          <t>Nifty 50</t>
        </is>
      </c>
      <c r="T241" s="31" t="n">
        <v>0.85</v>
      </c>
      <c r="U241" s="31" t="n">
        <v>13.31</v>
      </c>
      <c r="V241" s="31" t="n">
        <v>12.35</v>
      </c>
      <c r="W241" s="31" t="n">
        <v>1.38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Headwind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0 to 20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3</t>
        </is>
      </c>
      <c r="BC241" s="30">
        <f>IF(BB241="Stage 2",20,IF(BB241="Stage 1",0,IF(BB241="Stage 3",5,IF(BB241="Stage 4",-5,0))))</f>
        <v/>
      </c>
      <c r="BD241" s="30" t="inlineStr">
        <is>
          <t>Negative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Less than 12%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No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IF(B242=0,"",RANK(B242,$B$2:$B$400,0))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PAYTM</t>
        </is>
      </c>
      <c r="D242" s="30" t="inlineStr">
        <is>
          <t>One 97 Communications Ltd</t>
        </is>
      </c>
      <c r="E242" s="30" t="inlineStr">
        <is>
          <t>i.t</t>
        </is>
      </c>
      <c r="F242" s="30" t="inlineStr">
        <is>
          <t>miscellaneous</t>
        </is>
      </c>
      <c r="G242" s="30" t="inlineStr">
        <is>
          <t>largecap</t>
        </is>
      </c>
      <c r="H242" s="31" t="n">
        <v>92310.98</v>
      </c>
      <c r="I242" s="31" t="n">
        <v>1584.1</v>
      </c>
      <c r="J242" s="31" t="n">
        <v>9.880000000000001</v>
      </c>
      <c r="K242" s="31" t="n">
        <v>39982128</v>
      </c>
      <c r="L242" s="30" t="n">
        <v>63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67.34</v>
      </c>
      <c r="P242" s="31" t="n">
        <v>17.3</v>
      </c>
      <c r="Q242" s="31" t="inlineStr"/>
      <c r="R242" s="30" t="inlineStr">
        <is>
          <t>Earnings / Momentum Support</t>
        </is>
      </c>
      <c r="S242" s="30" t="inlineStr">
        <is>
          <t>Nifty IT</t>
        </is>
      </c>
      <c r="T242" s="31" t="n">
        <v>-8.289999999999999</v>
      </c>
      <c r="U242" s="31" t="n">
        <v>35.69</v>
      </c>
      <c r="V242" s="31" t="n">
        <v>47.95</v>
      </c>
      <c r="W242" s="31" t="n">
        <v>11.56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Headwind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No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0 to 20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3</t>
        </is>
      </c>
      <c r="BC242" s="30">
        <f>IF(BB242="Stage 2",20,IF(BB242="Stage 1",0,IF(BB242="Stage 3",5,IF(BB242="Stage 4",-5,0))))</f>
        <v/>
      </c>
      <c r="BD242" s="30" t="inlineStr">
        <is>
          <t>Negative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Between 1.5 to 2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IF(B243=0,"",RANK(B243,$B$2:$B$400,0))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EMIL</t>
        </is>
      </c>
      <c r="D243" s="30" t="inlineStr">
        <is>
          <t>Electronics Mart India Ltd</t>
        </is>
      </c>
      <c r="E243" s="30" t="inlineStr">
        <is>
          <t>consumer discretionary</t>
        </is>
      </c>
      <c r="F243" s="30" t="inlineStr">
        <is>
          <t>trading</t>
        </is>
      </c>
      <c r="G243" s="30" t="inlineStr">
        <is>
          <t>midcap</t>
        </is>
      </c>
      <c r="H243" s="31" t="n">
        <v>6380.29</v>
      </c>
      <c r="I243" s="31" t="n">
        <v>180.77</v>
      </c>
      <c r="J243" s="31" t="n">
        <v>9.01</v>
      </c>
      <c r="K243" s="31" t="n">
        <v>101219512</v>
      </c>
      <c r="L243" s="30" t="n">
        <v>78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72.11</v>
      </c>
      <c r="P243" s="31" t="n">
        <v>26.17</v>
      </c>
      <c r="Q243" s="31" t="inlineStr"/>
      <c r="R243" s="30" t="inlineStr">
        <is>
          <t>Volume Spike / Accumulation</t>
        </is>
      </c>
      <c r="S243" s="30" t="inlineStr">
        <is>
          <t>Nifty 50</t>
        </is>
      </c>
      <c r="T243" s="31" t="n">
        <v>0.85</v>
      </c>
      <c r="U243" s="31" t="n">
        <v>36.51</v>
      </c>
      <c r="V243" s="31" t="n">
        <v>35.36</v>
      </c>
      <c r="W243" s="31" t="n">
        <v>17.72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Headwind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3</t>
        </is>
      </c>
      <c r="BC243" s="30">
        <f>IF(BB243="Stage 2",20,IF(BB243="Stage 1",0,IF(BB243="Stage 3",5,IF(BB243="Stage 4",-5,0))))</f>
        <v/>
      </c>
      <c r="BD243" s="30" t="inlineStr">
        <is>
          <t>Negative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More than 1.2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IF(B244=0,"",RANK(B244,$B$2:$B$400,0))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NEOGEN</t>
        </is>
      </c>
      <c r="D244" s="30" t="inlineStr">
        <is>
          <t>Neogen Chemicals Ltd</t>
        </is>
      </c>
      <c r="E244" s="30" t="inlineStr">
        <is>
          <t>chemicals</t>
        </is>
      </c>
      <c r="F244" s="30" t="inlineStr">
        <is>
          <t>chemicals</t>
        </is>
      </c>
      <c r="G244" s="30" t="inlineStr">
        <is>
          <t>midcap</t>
        </is>
      </c>
      <c r="H244" s="31" t="n">
        <v>5563.68</v>
      </c>
      <c r="I244" s="31" t="n">
        <v>2182.8</v>
      </c>
      <c r="J244" s="31" t="n">
        <v>7.43</v>
      </c>
      <c r="K244" s="31" t="n">
        <v>505295</v>
      </c>
      <c r="L244" s="30" t="n">
        <v>61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62.87</v>
      </c>
      <c r="P244" s="31" t="n">
        <v>52.03</v>
      </c>
      <c r="Q244" s="31" t="inlineStr"/>
      <c r="R244" s="30" t="inlineStr">
        <is>
          <t>Earnings / Momentum Support</t>
        </is>
      </c>
      <c r="S244" s="30" t="inlineStr">
        <is>
          <t>Nifty 50</t>
        </is>
      </c>
      <c r="T244" s="31" t="n">
        <v>0.85</v>
      </c>
      <c r="U244" s="31" t="n">
        <v>43.34</v>
      </c>
      <c r="V244" s="31" t="n">
        <v>42.13</v>
      </c>
      <c r="W244" s="31" t="n">
        <v>11.18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Headwind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Above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3</t>
        </is>
      </c>
      <c r="BC244" s="30">
        <f>IF(BB244="Stage 2",20,IF(BB244="Stage 1",0,IF(BB244="Stage 3",5,IF(BB244="Stage 4",-5,0))))</f>
        <v/>
      </c>
      <c r="BD244" s="30" t="inlineStr">
        <is>
          <t>Negative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More than 1.2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IF(B245=0,"",RANK(B245,$B$2:$B$400,0))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2" t="inlineStr">
        <is>
          <t>LMW</t>
        </is>
      </c>
      <c r="D245" s="32" t="inlineStr">
        <is>
          <t>LMW Ltd</t>
        </is>
      </c>
      <c r="E245" s="30" t="inlineStr">
        <is>
          <t>industrials</t>
        </is>
      </c>
      <c r="F245" s="30" t="inlineStr">
        <is>
          <t>textile machinery</t>
        </is>
      </c>
      <c r="G245" s="30" t="inlineStr">
        <is>
          <t>midcap</t>
        </is>
      </c>
      <c r="H245" s="31" t="n">
        <v>17764.76</v>
      </c>
      <c r="I245" s="31" t="n">
        <v>17689</v>
      </c>
      <c r="J245" s="31" t="n">
        <v>6.37</v>
      </c>
      <c r="K245" s="31" t="n">
        <v>14329</v>
      </c>
      <c r="L245" s="30" t="n">
        <v>25</v>
      </c>
      <c r="M245" s="30" t="inlineStr">
        <is>
          <t>Underperforming</t>
        </is>
      </c>
      <c r="N245" s="31">
        <f>IF(M245="Underperforming",-5,IF(L245&gt;=95,15,IF(L245&gt;=90,10,IF(L245&gt;=80,5,0))))</f>
        <v/>
      </c>
      <c r="O245" s="31" t="n">
        <v>61.17</v>
      </c>
      <c r="P245" s="31" t="n">
        <v>33.14</v>
      </c>
      <c r="Q245" s="31" t="inlineStr"/>
      <c r="R245" s="30" t="inlineStr">
        <is>
          <t>Earnings / Momentum Support</t>
        </is>
      </c>
      <c r="S245" s="30" t="inlineStr">
        <is>
          <t>Nifty Infra</t>
        </is>
      </c>
      <c r="T245" s="31" t="n">
        <v>1.74</v>
      </c>
      <c r="U245" s="31" t="n">
        <v>-0.48</v>
      </c>
      <c r="V245" s="31" t="n">
        <v>-2.18</v>
      </c>
      <c r="W245" s="31" t="n">
        <v>2.53</v>
      </c>
      <c r="X245" s="30" t="inlineStr">
        <is>
          <t>Cyclical in an Upturn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Headwind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No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3</t>
        </is>
      </c>
      <c r="BC245" s="30">
        <f>IF(BB245="Stage 2",20,IF(BB245="Stage 1",0,IF(BB245="Stage 3",5,IF(BB245="Stage 4",-5,0))))</f>
        <v/>
      </c>
      <c r="BD245" s="30" t="inlineStr">
        <is>
          <t>Negative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Yes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IF(B246=0,"",RANK(B246,$B$2:$B$400,0))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UEL</t>
        </is>
      </c>
      <c r="D246" s="30" t="inlineStr">
        <is>
          <t>Ujaas Energy Ltd</t>
        </is>
      </c>
      <c r="E246" s="30" t="inlineStr">
        <is>
          <t>power &amp; utilities</t>
        </is>
      </c>
      <c r="F246" s="30" t="inlineStr">
        <is>
          <t>power generation and supply</t>
        </is>
      </c>
      <c r="G246" s="30" t="inlineStr">
        <is>
          <t>smallcap</t>
        </is>
      </c>
      <c r="H246" s="31" t="n">
        <v>3438.86</v>
      </c>
      <c r="I246" s="31" t="n">
        <v>270.67</v>
      </c>
      <c r="J246" s="31" t="n">
        <v>5</v>
      </c>
      <c r="K246" s="31" t="n">
        <v>37036</v>
      </c>
      <c r="L246" s="30" t="n">
        <v>95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77.87</v>
      </c>
      <c r="P246" s="31" t="n">
        <v>15.23</v>
      </c>
      <c r="Q246" s="31" t="inlineStr"/>
      <c r="R246" s="30" t="inlineStr">
        <is>
          <t>Earnings / Momentum Support</t>
        </is>
      </c>
      <c r="S246" s="30" t="inlineStr">
        <is>
          <t>Nifty IT</t>
        </is>
      </c>
      <c r="T246" s="31" t="n">
        <v>-8.289999999999999</v>
      </c>
      <c r="U246" s="31" t="n">
        <v>110.93</v>
      </c>
      <c r="V246" s="31" t="n">
        <v>129.99</v>
      </c>
      <c r="W246" s="31" t="n">
        <v>32.09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Headwind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No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Above 75</t>
        </is>
      </c>
      <c r="BA246" s="30">
        <f>IF(AZ246="Between 50 to 75",10,IF(AZ246="Above 75",0,0))</f>
        <v/>
      </c>
      <c r="BB246" s="30" t="inlineStr">
        <is>
          <t>Stage 3</t>
        </is>
      </c>
      <c r="BC246" s="30">
        <f>IF(BB246="Stage 2",20,IF(BB246="Stage 1",0,IF(BB246="Stage 3",5,IF(BB246="Stage 4",-5,0))))</f>
        <v/>
      </c>
      <c r="BD246" s="30" t="inlineStr">
        <is>
          <t>Negative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IF(B247=0,"",RANK(B247,$B$2:$B$400,0))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TITAN</t>
        </is>
      </c>
      <c r="D247" s="30" t="inlineStr">
        <is>
          <t>Titan Company Limited</t>
        </is>
      </c>
      <c r="E247" s="30" t="inlineStr">
        <is>
          <t>consumer discretionary</t>
        </is>
      </c>
      <c r="F247" s="30" t="inlineStr">
        <is>
          <t>diamond cutting / jewellery</t>
        </is>
      </c>
      <c r="G247" s="30" t="inlineStr">
        <is>
          <t>largecap</t>
        </is>
      </c>
      <c r="H247" s="31" t="n">
        <v>438655.14</v>
      </c>
      <c r="I247" s="31" t="n">
        <v>5090</v>
      </c>
      <c r="J247" s="31" t="n">
        <v>3.02</v>
      </c>
      <c r="K247" s="31" t="n">
        <v>7293715</v>
      </c>
      <c r="L247" s="30" t="n">
        <v>56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69.54000000000001</v>
      </c>
      <c r="P247" s="31" t="n">
        <v>23.49</v>
      </c>
      <c r="Q247" s="31" t="inlineStr"/>
      <c r="R247" s="30" t="inlineStr">
        <is>
          <t>Earnings / Momentum Support</t>
        </is>
      </c>
      <c r="S247" s="30" t="inlineStr">
        <is>
          <t>Nifty 50</t>
        </is>
      </c>
      <c r="T247" s="31" t="n">
        <v>0.85</v>
      </c>
      <c r="U247" s="31" t="n">
        <v>43.26</v>
      </c>
      <c r="V247" s="31" t="n">
        <v>42.05</v>
      </c>
      <c r="W247" s="31" t="n">
        <v>9.51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Headwind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No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3</t>
        </is>
      </c>
      <c r="BC247" s="30">
        <f>IF(BB247="Stage 2",20,IF(BB247="Stage 1",0,IF(BB247="Stage 3",5,IF(BB247="Stage 4",-5,0))))</f>
        <v/>
      </c>
      <c r="BD247" s="30" t="inlineStr">
        <is>
          <t>Negative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Less than 1.5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More than 1.2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IF(B248=0,"",RANK(B248,$B$2:$B$400,0))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2" t="inlineStr">
        <is>
          <t>BEPL</t>
        </is>
      </c>
      <c r="D248" s="32" t="inlineStr">
        <is>
          <t>Bhansali Engineering Polymers Limited</t>
        </is>
      </c>
      <c r="E248" s="30" t="inlineStr">
        <is>
          <t>energy</t>
        </is>
      </c>
      <c r="F248" s="30" t="inlineStr">
        <is>
          <t>petrochemicals</t>
        </is>
      </c>
      <c r="G248" s="30" t="inlineStr">
        <is>
          <t>smallcap</t>
        </is>
      </c>
      <c r="H248" s="31" t="n">
        <v>3075.14</v>
      </c>
      <c r="I248" s="31" t="n">
        <v>126.14</v>
      </c>
      <c r="J248" s="31" t="n">
        <v>2.08</v>
      </c>
      <c r="K248" s="31" t="n">
        <v>2671340</v>
      </c>
      <c r="L248" s="30" t="n">
        <v>35</v>
      </c>
      <c r="M248" s="30" t="inlineStr">
        <is>
          <t>Underperforming</t>
        </is>
      </c>
      <c r="N248" s="31">
        <f>IF(M248="Underperforming",-5,IF(L248&gt;=95,15,IF(L248&gt;=90,10,IF(L248&gt;=80,5,0))))</f>
        <v/>
      </c>
      <c r="O248" s="31" t="n">
        <v>71.38</v>
      </c>
      <c r="P248" s="31" t="n">
        <v>47.17</v>
      </c>
      <c r="Q248" s="31" t="inlineStr"/>
      <c r="R248" s="30" t="inlineStr">
        <is>
          <t>Earnings / Momentum Support</t>
        </is>
      </c>
      <c r="S248" s="30" t="inlineStr">
        <is>
          <t>Nifty Energy</t>
        </is>
      </c>
      <c r="T248" s="31" t="n">
        <v>8.41</v>
      </c>
      <c r="U248" s="31" t="n">
        <v>2.5</v>
      </c>
      <c r="V248" s="31" t="n">
        <v>-5.44</v>
      </c>
      <c r="W248" s="31" t="n">
        <v>4.89</v>
      </c>
      <c r="X248" s="30" t="inlineStr">
        <is>
          <t>Cyclical in an Upturn</t>
        </is>
      </c>
      <c r="Y248" s="30">
        <f>IF(X248="Growing Industry",10,IF(X248="Cyclical in an Upturn",5,0))</f>
        <v/>
      </c>
      <c r="Z248" s="30" t="inlineStr">
        <is>
          <t>Oligopoly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Yes</t>
        </is>
      </c>
      <c r="AC248" s="30">
        <f>IF(AB248="No",5,0)</f>
        <v/>
      </c>
      <c r="AD248" s="30" t="inlineStr">
        <is>
          <t>Headwind</t>
        </is>
      </c>
      <c r="AE248" s="30">
        <f>IF(AD248="Tailwind",10,0)</f>
        <v/>
      </c>
      <c r="AF248" s="30" t="inlineStr">
        <is>
          <t>Cyclical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Volatile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No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Above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3</t>
        </is>
      </c>
      <c r="BC248" s="30">
        <f>IF(BB248="Stage 2",20,IF(BB248="Stage 1",0,IF(BB248="Stage 3",5,IF(BB248="Stage 4",-5,0))))</f>
        <v/>
      </c>
      <c r="BD248" s="30" t="inlineStr">
        <is>
          <t>Negative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Less than 1.5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IF(B249=0,"",RANK(B249,$B$2:$B$400,0))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JSWINFRA</t>
        </is>
      </c>
      <c r="D249" s="30" t="inlineStr">
        <is>
          <t>JSW Infrastructure Ltd</t>
        </is>
      </c>
      <c r="E249" s="30" t="inlineStr">
        <is>
          <t>transportation</t>
        </is>
      </c>
      <c r="F249" s="30" t="inlineStr">
        <is>
          <t>miscellaneous</t>
        </is>
      </c>
      <c r="G249" s="30" t="inlineStr">
        <is>
          <t>largecap</t>
        </is>
      </c>
      <c r="H249" s="31" t="n">
        <v>78229.8</v>
      </c>
      <c r="I249" s="31" t="n">
        <v>342</v>
      </c>
      <c r="J249" s="31" t="n">
        <v>1.86</v>
      </c>
      <c r="K249" s="31" t="n">
        <v>4403432</v>
      </c>
      <c r="L249" s="30" t="n">
        <v>44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65.26000000000001</v>
      </c>
      <c r="P249" s="31" t="n">
        <v>38.01</v>
      </c>
      <c r="Q249" s="31" t="inlineStr"/>
      <c r="R249" s="30" t="inlineStr">
        <is>
          <t>Earnings / Momentum Support</t>
        </is>
      </c>
      <c r="S249" s="30" t="inlineStr">
        <is>
          <t>Nifty 50</t>
        </is>
      </c>
      <c r="T249" s="31" t="n">
        <v>0.85</v>
      </c>
      <c r="U249" s="31" t="n">
        <v>13.31</v>
      </c>
      <c r="V249" s="31" t="n">
        <v>12.36</v>
      </c>
      <c r="W249" s="31" t="n">
        <v>6.73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Headwind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3</t>
        </is>
      </c>
      <c r="BC249" s="30">
        <f>IF(BB249="Stage 2",20,IF(BB249="Stage 1",0,IF(BB249="Stage 3",5,IF(BB249="Stage 4",-5,0))))</f>
        <v/>
      </c>
      <c r="BD249" s="30" t="inlineStr">
        <is>
          <t>Negative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Less than 12%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IF(B250=0,"",RANK(B250,$B$2:$B$400,0))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VRLLOG</t>
        </is>
      </c>
      <c r="D250" s="30" t="inlineStr">
        <is>
          <t>Vrl Logistics Limited</t>
        </is>
      </c>
      <c r="E250" s="30" t="inlineStr">
        <is>
          <t>transportation</t>
        </is>
      </c>
      <c r="F250" s="30" t="inlineStr">
        <is>
          <t>miscellaneous</t>
        </is>
      </c>
      <c r="G250" s="30" t="inlineStr">
        <is>
          <t>smallcap</t>
        </is>
      </c>
      <c r="H250" s="31" t="n">
        <v>4921.85</v>
      </c>
      <c r="I250" s="31" t="n">
        <v>285.8</v>
      </c>
      <c r="J250" s="31" t="n">
        <v>1.58</v>
      </c>
      <c r="K250" s="31" t="n">
        <v>324876</v>
      </c>
      <c r="L250" s="30" t="n">
        <v>21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62.56</v>
      </c>
      <c r="P250" s="31" t="n">
        <v>12.65</v>
      </c>
      <c r="Q250" s="31" t="inlineStr"/>
      <c r="R250" s="30" t="inlineStr">
        <is>
          <t>Earnings / Momentum Support</t>
        </is>
      </c>
      <c r="S250" s="30" t="inlineStr">
        <is>
          <t>Nifty 50</t>
        </is>
      </c>
      <c r="T250" s="31" t="n">
        <v>0.85</v>
      </c>
      <c r="U250" s="31" t="n">
        <v>2.65</v>
      </c>
      <c r="V250" s="31" t="n">
        <v>1.78</v>
      </c>
      <c r="W250" s="31" t="n">
        <v>1.87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Headwind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No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3</t>
        </is>
      </c>
      <c r="BC250" s="30">
        <f>IF(BB250="Stage 2",20,IF(BB250="Stage 1",0,IF(BB250="Stage 3",5,IF(BB250="Stage 4",-5,0))))</f>
        <v/>
      </c>
      <c r="BD250" s="30" t="inlineStr">
        <is>
          <t>Negative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Less than 1.5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Between 0.7 to 1.2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IF(B251=0,"",RANK(B251,$B$2:$B$400,0))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2" t="inlineStr">
        <is>
          <t>CASTROLIND</t>
        </is>
      </c>
      <c r="D251" s="32" t="inlineStr">
        <is>
          <t>Castrol India Limited</t>
        </is>
      </c>
      <c r="E251" s="30" t="inlineStr">
        <is>
          <t>chemicals</t>
        </is>
      </c>
      <c r="F251" s="30" t="inlineStr">
        <is>
          <t>chemicals</t>
        </is>
      </c>
      <c r="G251" s="30" t="inlineStr">
        <is>
          <t>midcap</t>
        </is>
      </c>
      <c r="H251" s="31" t="n">
        <v>18999.06</v>
      </c>
      <c r="I251" s="31" t="n">
        <v>193.43</v>
      </c>
      <c r="J251" s="31" t="n">
        <v>0.7</v>
      </c>
      <c r="K251" s="31" t="n">
        <v>6485492</v>
      </c>
      <c r="L251" s="30" t="n">
        <v>13</v>
      </c>
      <c r="M251" s="30" t="inlineStr">
        <is>
          <t>Underperforming</t>
        </is>
      </c>
      <c r="N251" s="31">
        <f>IF(M251="Underperforming",-5,IF(L251&gt;=95,15,IF(L251&gt;=90,10,IF(L251&gt;=80,5,0))))</f>
        <v/>
      </c>
      <c r="O251" s="31" t="n">
        <v>65.28</v>
      </c>
      <c r="P251" s="31" t="n">
        <v>16.87</v>
      </c>
      <c r="Q251" s="31" t="inlineStr"/>
      <c r="R251" s="30" t="inlineStr">
        <is>
          <t>Earnings / Momentum Support</t>
        </is>
      </c>
      <c r="S251" s="30" t="inlineStr">
        <is>
          <t>Nifty 50</t>
        </is>
      </c>
      <c r="T251" s="31" t="n">
        <v>0.85</v>
      </c>
      <c r="U251" s="31" t="n">
        <v>-5.69</v>
      </c>
      <c r="V251" s="31" t="n">
        <v>-6.48</v>
      </c>
      <c r="W251" s="31" t="n">
        <v>-0.28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Headwind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No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3</t>
        </is>
      </c>
      <c r="BC251" s="30">
        <f>IF(BB251="Stage 2",20,IF(BB251="Stage 1",0,IF(BB251="Stage 3",5,IF(BB251="Stage 4",-5,0))))</f>
        <v/>
      </c>
      <c r="BD251" s="30" t="inlineStr">
        <is>
          <t>Negative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Less than 1.5</t>
        </is>
      </c>
      <c r="BU251" s="30">
        <f>IF(BT251="Above 2",0,IF(BT251="Between 1.5 to 2",5,IF(BT251="Less than 1.5",10,0)))</f>
        <v/>
      </c>
      <c r="BV251" s="30" t="inlineStr">
        <is>
          <t>Between 50% to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IF(B252=0,"",RANK(B252,$B$2:$B$400,0))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NATIONALUM</t>
        </is>
      </c>
      <c r="D252" s="30" t="inlineStr">
        <is>
          <t>National Aluminium Company Limited</t>
        </is>
      </c>
      <c r="E252" s="30" t="inlineStr">
        <is>
          <t>metals &amp; mining</t>
        </is>
      </c>
      <c r="F252" s="30" t="inlineStr">
        <is>
          <t>aluminium and aluminium products</t>
        </is>
      </c>
      <c r="G252" s="30" t="inlineStr">
        <is>
          <t>largecap</t>
        </is>
      </c>
      <c r="H252" s="31" t="n">
        <v>69975.67</v>
      </c>
      <c r="I252" s="31" t="n">
        <v>382.7</v>
      </c>
      <c r="J252" s="31" t="n">
        <v>0.45</v>
      </c>
      <c r="K252" s="31" t="n">
        <v>10508958</v>
      </c>
      <c r="L252" s="30" t="n">
        <v>65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55.63</v>
      </c>
      <c r="P252" s="31" t="n">
        <v>24.01</v>
      </c>
      <c r="Q252" s="31" t="inlineStr"/>
      <c r="R252" s="30" t="inlineStr">
        <is>
          <t>Earnings / Momentum Support</t>
        </is>
      </c>
      <c r="S252" s="30" t="inlineStr">
        <is>
          <t>Nifty Metal</t>
        </is>
      </c>
      <c r="T252" s="31" t="n">
        <v>31.49</v>
      </c>
      <c r="U252" s="31" t="n">
        <v>88.94</v>
      </c>
      <c r="V252" s="31" t="n">
        <v>43.69</v>
      </c>
      <c r="W252" s="31" t="n">
        <v>12.55</v>
      </c>
      <c r="X252" s="30" t="inlineStr">
        <is>
          <t>Cyclical in an Upturn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Headwind</t>
        </is>
      </c>
      <c r="AE252" s="30">
        <f>IF(AD252="Tailwind",10,0)</f>
        <v/>
      </c>
      <c r="AF252" s="30" t="inlineStr">
        <is>
          <t>Cyclical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Volatile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No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3</t>
        </is>
      </c>
      <c r="BC252" s="30">
        <f>IF(BB252="Stage 2",20,IF(BB252="Stage 1",0,IF(BB252="Stage 3",5,IF(BB252="Stage 4",-5,0))))</f>
        <v/>
      </c>
      <c r="BD252" s="30" t="inlineStr">
        <is>
          <t>Negative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No</t>
        </is>
      </c>
      <c r="BS252" s="30">
        <f>IF(BR252="NO",5,0)</f>
        <v/>
      </c>
      <c r="BT252" s="30" t="inlineStr">
        <is>
          <t>Less than 1.5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IF(B253=0,"",RANK(B253,$B$2:$B$400,0))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CENTUM</t>
        </is>
      </c>
      <c r="D253" s="30" t="inlineStr">
        <is>
          <t>Centum Electronics Limited</t>
        </is>
      </c>
      <c r="E253" s="30" t="inlineStr">
        <is>
          <t>aerospace &amp; defence</t>
        </is>
      </c>
      <c r="F253" s="30" t="inlineStr">
        <is>
          <t>electronics - components</t>
        </is>
      </c>
      <c r="G253" s="30" t="inlineStr">
        <is>
          <t>midcap</t>
        </is>
      </c>
      <c r="H253" s="31" t="n">
        <v>5684.88</v>
      </c>
      <c r="I253" s="31" t="n">
        <v>3861.2</v>
      </c>
      <c r="J253" s="31" t="n">
        <v>0.24</v>
      </c>
      <c r="K253" s="31" t="n">
        <v>57349</v>
      </c>
      <c r="L253" s="30" t="n">
        <v>73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69.63</v>
      </c>
      <c r="P253" s="31" t="n">
        <v>59.4</v>
      </c>
      <c r="Q253" s="31" t="inlineStr"/>
      <c r="R253" s="30" t="inlineStr">
        <is>
          <t>Earnings / Momentum Support</t>
        </is>
      </c>
      <c r="S253" s="30" t="inlineStr">
        <is>
          <t>Nifty Infra</t>
        </is>
      </c>
      <c r="T253" s="31" t="n">
        <v>1.74</v>
      </c>
      <c r="U253" s="31" t="n">
        <v>60</v>
      </c>
      <c r="V253" s="31" t="n">
        <v>57.26</v>
      </c>
      <c r="W253" s="31" t="n">
        <v>14.94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Headwind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No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Above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3</t>
        </is>
      </c>
      <c r="BC253" s="30">
        <f>IF(BB253="Stage 2",20,IF(BB253="Stage 1",0,IF(BB253="Stage 3",5,IF(BB253="Stage 4",-5,0))))</f>
        <v/>
      </c>
      <c r="BD253" s="30" t="inlineStr">
        <is>
          <t>Negative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Less than 50%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IF(B254=0,"",RANK(B254,$B$2:$B$400,0))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LLOYDSENT</t>
        </is>
      </c>
      <c r="D254" s="30" t="inlineStr">
        <is>
          <t>Lloyds Enterprises Ltd</t>
        </is>
      </c>
      <c r="E254" s="30" t="inlineStr">
        <is>
          <t>services</t>
        </is>
      </c>
      <c r="F254" s="30" t="inlineStr">
        <is>
          <t>trading</t>
        </is>
      </c>
      <c r="G254" s="30" t="inlineStr">
        <is>
          <t>midcap</t>
        </is>
      </c>
      <c r="H254" s="31" t="n">
        <v>12746.71</v>
      </c>
      <c r="I254" s="31" t="n">
        <v>82.55</v>
      </c>
      <c r="J254" s="31" t="n">
        <v>-1.14</v>
      </c>
      <c r="K254" s="31" t="n">
        <v>4935008</v>
      </c>
      <c r="L254" s="30" t="n">
        <v>42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67</v>
      </c>
      <c r="P254" s="31" t="n">
        <v>37.54</v>
      </c>
      <c r="Q254" s="31" t="inlineStr"/>
      <c r="R254" s="30" t="inlineStr">
        <is>
          <t>Earnings / Momentum Support</t>
        </is>
      </c>
      <c r="S254" s="30" t="inlineStr">
        <is>
          <t>Nifty 50</t>
        </is>
      </c>
      <c r="T254" s="31" t="n">
        <v>0.85</v>
      </c>
      <c r="U254" s="31" t="n">
        <v>9.49</v>
      </c>
      <c r="V254" s="31" t="n">
        <v>8.57</v>
      </c>
      <c r="W254" s="31" t="n">
        <v>6.02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Headwind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No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20 to 40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3</t>
        </is>
      </c>
      <c r="BC254" s="30">
        <f>IF(BB254="Stage 2",20,IF(BB254="Stage 1",0,IF(BB254="Stage 3",5,IF(BB254="Stage 4",-5,0))))</f>
        <v/>
      </c>
      <c r="BD254" s="30" t="inlineStr">
        <is>
          <t>Negative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Less than 1.5</t>
        </is>
      </c>
      <c r="BU254" s="30">
        <f>IF(BT254="Above 2",0,IF(BT254="Between 1.5 to 2",5,IF(BT254="Less than 1.5",10,0)))</f>
        <v/>
      </c>
      <c r="BV254" s="30" t="inlineStr">
        <is>
          <t>Negative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IF(B255=0,"",RANK(B255,$B$2:$B$400,0))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ARROWGREEN</t>
        </is>
      </c>
      <c r="D255" s="30" t="inlineStr">
        <is>
          <t>Arrow Greentech Limited</t>
        </is>
      </c>
      <c r="E255" s="30" t="inlineStr">
        <is>
          <t>plastic products</t>
        </is>
      </c>
      <c r="F255" s="30" t="inlineStr">
        <is>
          <t>plastics products</t>
        </is>
      </c>
      <c r="G255" s="30" t="inlineStr">
        <is>
          <t>smallcap</t>
        </is>
      </c>
      <c r="H255" s="31" t="n">
        <v>1178.97</v>
      </c>
      <c r="I255" s="31" t="n">
        <v>765</v>
      </c>
      <c r="J255" s="31" t="n">
        <v>-2.1</v>
      </c>
      <c r="K255" s="31" t="n">
        <v>24020</v>
      </c>
      <c r="L255" s="30" t="n">
        <v>62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72.3</v>
      </c>
      <c r="P255" s="31" t="n">
        <v>34.99</v>
      </c>
      <c r="Q255" s="31" t="inlineStr"/>
      <c r="R255" s="30" t="inlineStr">
        <is>
          <t>Earnings / Momentum Support</t>
        </is>
      </c>
      <c r="S255" s="30" t="inlineStr">
        <is>
          <t>Nifty 50</t>
        </is>
      </c>
      <c r="T255" s="31" t="n">
        <v>0.85</v>
      </c>
      <c r="U255" s="31" t="n">
        <v>5.05</v>
      </c>
      <c r="V255" s="31" t="n">
        <v>4.16</v>
      </c>
      <c r="W255" s="31" t="n">
        <v>11.35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Headwind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No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3</t>
        </is>
      </c>
      <c r="BC255" s="30">
        <f>IF(BB255="Stage 2",20,IF(BB255="Stage 1",0,IF(BB255="Stage 3",5,IF(BB255="Stage 4",-5,0))))</f>
        <v/>
      </c>
      <c r="BD255" s="30" t="inlineStr">
        <is>
          <t>Negative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Less than 12%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No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Between 50% to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IF(B256=0,"",RANK(B256,$B$2:$B$400,0))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LUMAXIND</t>
        </is>
      </c>
      <c r="D256" s="30" t="inlineStr">
        <is>
          <t>Lumax Industries Limited</t>
        </is>
      </c>
      <c r="E256" s="30" t="inlineStr">
        <is>
          <t>auto</t>
        </is>
      </c>
      <c r="F256" s="30" t="inlineStr">
        <is>
          <t>auto ancillaries</t>
        </is>
      </c>
      <c r="G256" s="30" t="inlineStr">
        <is>
          <t>midcap</t>
        </is>
      </c>
      <c r="H256" s="31" t="n">
        <v>5413.74</v>
      </c>
      <c r="I256" s="31" t="n">
        <v>5615</v>
      </c>
      <c r="J256" s="31" t="n">
        <v>-3.05</v>
      </c>
      <c r="K256" s="31" t="n">
        <v>30006</v>
      </c>
      <c r="L256" s="30" t="n">
        <v>38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59.41</v>
      </c>
      <c r="P256" s="31" t="n">
        <v>10.3</v>
      </c>
      <c r="Q256" s="31" t="inlineStr"/>
      <c r="R256" s="30" t="inlineStr">
        <is>
          <t>Earnings / Momentum Support</t>
        </is>
      </c>
      <c r="S256" s="30" t="inlineStr">
        <is>
          <t>Nifty Auto</t>
        </is>
      </c>
      <c r="T256" s="31" t="n">
        <v>13.41</v>
      </c>
      <c r="U256" s="31" t="n">
        <v>34.19</v>
      </c>
      <c r="V256" s="31" t="n">
        <v>18.32</v>
      </c>
      <c r="W256" s="31" t="n">
        <v>5.37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Headwind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No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3</t>
        </is>
      </c>
      <c r="BC256" s="30">
        <f>IF(BB256="Stage 2",20,IF(BB256="Stage 1",0,IF(BB256="Stage 3",5,IF(BB256="Stage 4",-5,0))))</f>
        <v/>
      </c>
      <c r="BD256" s="30" t="inlineStr">
        <is>
          <t>Negative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No</t>
        </is>
      </c>
      <c r="BS256" s="30">
        <f>IF(BR256="NO",5,0)</f>
        <v/>
      </c>
      <c r="BT256" s="30" t="inlineStr">
        <is>
          <t>Less than 1.5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Between 0.7 to 1.2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IF(B257=0,"",RANK(B257,$B$2:$B$400,0))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SOTL</t>
        </is>
      </c>
      <c r="D257" s="30" t="inlineStr">
        <is>
          <t>Savita Oil Technologies Limited</t>
        </is>
      </c>
      <c r="E257" s="30" t="inlineStr">
        <is>
          <t>energy</t>
        </is>
      </c>
      <c r="F257" s="30" t="inlineStr">
        <is>
          <t>petrochemicals</t>
        </is>
      </c>
      <c r="G257" s="30" t="inlineStr">
        <is>
          <t>midcap</t>
        </is>
      </c>
      <c r="H257" s="31" t="n">
        <v>5186.25</v>
      </c>
      <c r="I257" s="31" t="n">
        <v>691</v>
      </c>
      <c r="J257" s="31" t="n">
        <v>-8.65</v>
      </c>
      <c r="K257" s="31" t="n">
        <v>1082651</v>
      </c>
      <c r="L257" s="30" t="n">
        <v>83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72.31</v>
      </c>
      <c r="P257" s="31" t="n">
        <v>50.07</v>
      </c>
      <c r="Q257" s="31" t="inlineStr"/>
      <c r="R257" s="30" t="inlineStr">
        <is>
          <t>Earnings / Momentum Support</t>
        </is>
      </c>
      <c r="S257" s="30" t="inlineStr">
        <is>
          <t>Nifty Energy</t>
        </is>
      </c>
      <c r="T257" s="31" t="n">
        <v>8.41</v>
      </c>
      <c r="U257" s="31" t="n">
        <v>39.93</v>
      </c>
      <c r="V257" s="31" t="n">
        <v>29.08</v>
      </c>
      <c r="W257" s="31" t="n">
        <v>21.2</v>
      </c>
      <c r="X257" s="30" t="inlineStr">
        <is>
          <t>Cyclical in an Upturn</t>
        </is>
      </c>
      <c r="Y257" s="30">
        <f>IF(X257="Growing Industry",10,IF(X257="Cyclical in an Upturn",5,0))</f>
        <v/>
      </c>
      <c r="Z257" s="30" t="inlineStr">
        <is>
          <t>Oligopoly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Yes</t>
        </is>
      </c>
      <c r="AC257" s="30">
        <f>IF(AB257="No",5,0)</f>
        <v/>
      </c>
      <c r="AD257" s="30" t="inlineStr">
        <is>
          <t>Headwind</t>
        </is>
      </c>
      <c r="AE257" s="30">
        <f>IF(AD257="Tailwind",10,0)</f>
        <v/>
      </c>
      <c r="AF257" s="30" t="inlineStr">
        <is>
          <t>Cyclical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Volatile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Above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3</t>
        </is>
      </c>
      <c r="BC257" s="30">
        <f>IF(BB257="Stage 2",20,IF(BB257="Stage 1",0,IF(BB257="Stage 3",5,IF(BB257="Stage 4",-5,0))))</f>
        <v/>
      </c>
      <c r="BD257" s="30" t="inlineStr">
        <is>
          <t>Negative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IF(B258=0,"",RANK(B258,$B$2:$B$400,0))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3IINFOLTD</t>
        </is>
      </c>
      <c r="D258" s="30" t="inlineStr">
        <is>
          <t>3i Infotech Ltd</t>
        </is>
      </c>
      <c r="E258" s="30" t="inlineStr">
        <is>
          <t>i.t</t>
        </is>
      </c>
      <c r="F258" s="30" t="inlineStr">
        <is>
          <t>computers - software - medium / small</t>
        </is>
      </c>
      <c r="G258" s="30" t="inlineStr">
        <is>
          <t>smallcap</t>
        </is>
      </c>
      <c r="H258" s="31" t="n">
        <v>534.89</v>
      </c>
      <c r="I258" s="31" t="n">
        <v>27.13</v>
      </c>
      <c r="J258" s="31" t="n">
        <v>5.2</v>
      </c>
      <c r="K258" s="31" t="n">
        <v>3329011</v>
      </c>
      <c r="L258" s="30" t="n">
        <v>68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80.43000000000001</v>
      </c>
      <c r="P258" s="31" t="n">
        <v>39.71</v>
      </c>
      <c r="Q258" s="31" t="inlineStr"/>
      <c r="R258" s="30" t="inlineStr">
        <is>
          <t>Earnings / Momentum Support</t>
        </is>
      </c>
      <c r="S258" s="30" t="inlineStr">
        <is>
          <t>Nifty IT</t>
        </is>
      </c>
      <c r="T258" s="31" t="n">
        <v>-8.289999999999999</v>
      </c>
      <c r="U258" s="31" t="n">
        <v>13.16</v>
      </c>
      <c r="V258" s="31" t="n">
        <v>23.39</v>
      </c>
      <c r="W258" s="31" t="n">
        <v>13.62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Headwind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Annuity, Lower One Time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Above 75</t>
        </is>
      </c>
      <c r="BA258" s="30">
        <f>IF(AZ258="Between 50 to 75",10,IF(AZ258="Above 75",0,0))</f>
        <v/>
      </c>
      <c r="BB258" s="30" t="inlineStr">
        <is>
          <t>Stage 3</t>
        </is>
      </c>
      <c r="BC258" s="30">
        <f>IF(BB258="Stage 2",20,IF(BB258="Stage 1",0,IF(BB258="Stage 3",5,IF(BB258="Stage 4",-5,0))))</f>
        <v/>
      </c>
      <c r="BD258" s="30" t="inlineStr">
        <is>
          <t>Negative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Less than 12%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IF(B259=0,"",RANK(B259,$B$2:$B$400,0))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BRITANNIA</t>
        </is>
      </c>
      <c r="D259" s="30" t="inlineStr">
        <is>
          <t>Britannia Industries Limited</t>
        </is>
      </c>
      <c r="E259" s="30" t="inlineStr">
        <is>
          <t>fmcg</t>
        </is>
      </c>
      <c r="F259" s="30" t="inlineStr">
        <is>
          <t>food - processing - mnc</t>
        </is>
      </c>
      <c r="G259" s="30" t="inlineStr">
        <is>
          <t>largecap</t>
        </is>
      </c>
      <c r="H259" s="31" t="n">
        <v>132718.43</v>
      </c>
      <c r="I259" s="31" t="n">
        <v>5623.5</v>
      </c>
      <c r="J259" s="31" t="n">
        <v>2.06</v>
      </c>
      <c r="K259" s="31" t="n">
        <v>651500</v>
      </c>
      <c r="L259" s="30" t="n">
        <v>7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53.97</v>
      </c>
      <c r="P259" s="31" t="n">
        <v>16.89</v>
      </c>
      <c r="Q259" s="31" t="inlineStr"/>
      <c r="R259" s="30" t="inlineStr">
        <is>
          <t>Earnings / Momentum Support</t>
        </is>
      </c>
      <c r="S259" s="30" t="inlineStr">
        <is>
          <t>Nifty FMCG</t>
        </is>
      </c>
      <c r="T259" s="31" t="n">
        <v>-13.73</v>
      </c>
      <c r="U259" s="31" t="n">
        <v>-4.39</v>
      </c>
      <c r="V259" s="31" t="n">
        <v>10.82</v>
      </c>
      <c r="W259" s="31" t="n">
        <v>-1.92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Headwind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B2C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Annuity, Lower One Time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3</t>
        </is>
      </c>
      <c r="BC259" s="30">
        <f>IF(BB259="Stage 2",20,IF(BB259="Stage 1",0,IF(BB259="Stage 3",5,IF(BB259="Stage 4",-5,0))))</f>
        <v/>
      </c>
      <c r="BD259" s="30" t="inlineStr">
        <is>
          <t>Negative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Between 12 to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IF(B260=0,"",RANK(B260,$B$2:$B$400,0))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GLAXO</t>
        </is>
      </c>
      <c r="D260" s="32" t="inlineStr">
        <is>
          <t>Glaxosmithkline Pharmaceuticals Limited</t>
        </is>
      </c>
      <c r="E260" s="30" t="inlineStr">
        <is>
          <t>healthcare</t>
        </is>
      </c>
      <c r="F260" s="30" t="inlineStr">
        <is>
          <t>pharmaceuticals - multinational</t>
        </is>
      </c>
      <c r="G260" s="30" t="inlineStr">
        <is>
          <t>largecap</t>
        </is>
      </c>
      <c r="H260" s="31" t="n">
        <v>44040.49</v>
      </c>
      <c r="I260" s="31" t="n">
        <v>2601</v>
      </c>
      <c r="J260" s="31" t="n">
        <v>0.05</v>
      </c>
      <c r="K260" s="31" t="n">
        <v>29273</v>
      </c>
      <c r="L260" s="30" t="n">
        <v>20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60.08</v>
      </c>
      <c r="P260" s="31" t="n">
        <v>20.48</v>
      </c>
      <c r="Q260" s="31" t="inlineStr"/>
      <c r="R260" s="30" t="inlineStr">
        <is>
          <t>Earnings / Momentum Support</t>
        </is>
      </c>
      <c r="S260" s="30" t="inlineStr">
        <is>
          <t>Nifty Pharma</t>
        </is>
      </c>
      <c r="T260" s="31" t="n">
        <v>24.01</v>
      </c>
      <c r="U260" s="31" t="n">
        <v>0.5600000000000001</v>
      </c>
      <c r="V260" s="31" t="n">
        <v>-18.91</v>
      </c>
      <c r="W260" s="31" t="n">
        <v>1.72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Yes</t>
        </is>
      </c>
      <c r="AC260" s="30">
        <f>IF(AB260="No",5,0)</f>
        <v/>
      </c>
      <c r="AD260" s="30" t="inlineStr">
        <is>
          <t>Headwind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Annuity, Lower One Time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3</t>
        </is>
      </c>
      <c r="BC260" s="30">
        <f>IF(BB260="Stage 2",20,IF(BB260="Stage 1",0,IF(BB260="Stage 3",5,IF(BB260="Stage 4",-5,0))))</f>
        <v/>
      </c>
      <c r="BD260" s="30" t="inlineStr">
        <is>
          <t>Negative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Between 12 to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IF(B261=0,"",RANK(B261,$B$2:$B$400,0))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2" t="inlineStr">
        <is>
          <t>MMP</t>
        </is>
      </c>
      <c r="D261" s="32" t="inlineStr">
        <is>
          <t>MMP Industries Ltd</t>
        </is>
      </c>
      <c r="E261" s="30" t="inlineStr">
        <is>
          <t>metals &amp; mining</t>
        </is>
      </c>
      <c r="F261" s="30" t="inlineStr">
        <is>
          <t>aluminium and aluminium products</t>
        </is>
      </c>
      <c r="G261" s="30" t="inlineStr">
        <is>
          <t>smallcap</t>
        </is>
      </c>
      <c r="H261" s="31" t="n">
        <v>617.29</v>
      </c>
      <c r="I261" s="31" t="n">
        <v>343.65</v>
      </c>
      <c r="J261" s="31" t="n">
        <v>5.33</v>
      </c>
      <c r="K261" s="31" t="n">
        <v>323912</v>
      </c>
      <c r="L261" s="30" t="n">
        <v>22</v>
      </c>
      <c r="M261" s="30" t="inlineStr">
        <is>
          <t>Underperforming</t>
        </is>
      </c>
      <c r="N261" s="31">
        <f>IF(M261="Underperforming",-5,IF(L261&gt;=95,15,IF(L261&gt;=90,10,IF(L261&gt;=80,5,0))))</f>
        <v/>
      </c>
      <c r="O261" s="31" t="n">
        <v>68.06999999999999</v>
      </c>
      <c r="P261" s="31" t="n">
        <v>38.32</v>
      </c>
      <c r="Q261" s="31" t="inlineStr"/>
      <c r="R261" s="30" t="inlineStr">
        <is>
          <t>Earnings / Momentum Support</t>
        </is>
      </c>
      <c r="S261" s="30" t="inlineStr">
        <is>
          <t>Nifty Metal</t>
        </is>
      </c>
      <c r="T261" s="31" t="n">
        <v>31.49</v>
      </c>
      <c r="U261" s="31" t="n">
        <v>-1.03</v>
      </c>
      <c r="V261" s="31" t="n">
        <v>-24.73</v>
      </c>
      <c r="W261" s="31" t="n">
        <v>2.09</v>
      </c>
      <c r="X261" s="30" t="inlineStr">
        <is>
          <t>Cyclical in an Upturn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Headwind</t>
        </is>
      </c>
      <c r="AE261" s="30">
        <f>IF(AD261="Tailwind",10,0)</f>
        <v/>
      </c>
      <c r="AF261" s="30" t="inlineStr">
        <is>
          <t>Cyclical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Volatile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No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3</t>
        </is>
      </c>
      <c r="BC261" s="30">
        <f>IF(BB261="Stage 2",20,IF(BB261="Stage 1",0,IF(BB261="Stage 3",5,IF(BB261="Stage 4",-5,0))))</f>
        <v/>
      </c>
      <c r="BD261" s="30" t="inlineStr">
        <is>
          <t>Negative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Less than 1.5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IF(B262=0,"",RANK(B262,$B$2:$B$400,0))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PANACHE</t>
        </is>
      </c>
      <c r="D262" s="30" t="inlineStr">
        <is>
          <t>Panache Digilife Ltd</t>
        </is>
      </c>
      <c r="E262" s="30" t="inlineStr">
        <is>
          <t>i.t</t>
        </is>
      </c>
      <c r="F262" s="30" t="inlineStr">
        <is>
          <t>computers - hardware</t>
        </is>
      </c>
      <c r="G262" s="30" t="inlineStr">
        <is>
          <t>smallcap</t>
        </is>
      </c>
      <c r="H262" s="31" t="n">
        <v>734.3200000000001</v>
      </c>
      <c r="I262" s="31" t="n">
        <v>481.45</v>
      </c>
      <c r="J262" s="31" t="n">
        <v>4.99</v>
      </c>
      <c r="K262" s="31" t="n">
        <v>17355</v>
      </c>
      <c r="L262" s="30" t="n">
        <v>89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65.47</v>
      </c>
      <c r="P262" s="31" t="n">
        <v>23.98</v>
      </c>
      <c r="Q262" s="31" t="inlineStr"/>
      <c r="R262" s="30" t="inlineStr">
        <is>
          <t>Earnings / Momentum Support</t>
        </is>
      </c>
      <c r="S262" s="30" t="inlineStr">
        <is>
          <t>Nifty IT</t>
        </is>
      </c>
      <c r="T262" s="31" t="n">
        <v>-8.289999999999999</v>
      </c>
      <c r="U262" s="31" t="n">
        <v>82.91</v>
      </c>
      <c r="V262" s="31" t="n">
        <v>99.44</v>
      </c>
      <c r="W262" s="31" t="n">
        <v>24.92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Headwind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20 to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3</t>
        </is>
      </c>
      <c r="BC262" s="30">
        <f>IF(BB262="Stage 2",20,IF(BB262="Stage 1",0,IF(BB262="Stage 3",5,IF(BB262="Stage 4",-5,0))))</f>
        <v/>
      </c>
      <c r="BD262" s="30" t="inlineStr">
        <is>
          <t>Negative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Negative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IF(B263=0,"",RANK(B263,$B$2:$B$400,0))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MMFL</t>
        </is>
      </c>
      <c r="D263" s="30" t="inlineStr">
        <is>
          <t>Mm Forgings Limited</t>
        </is>
      </c>
      <c r="E263" s="30" t="inlineStr">
        <is>
          <t>industrials</t>
        </is>
      </c>
      <c r="F263" s="30" t="inlineStr">
        <is>
          <t>castings &amp; forgings</t>
        </is>
      </c>
      <c r="G263" s="30" t="inlineStr">
        <is>
          <t>smallcap</t>
        </is>
      </c>
      <c r="H263" s="31" t="n">
        <v>3037.4</v>
      </c>
      <c r="I263" s="31" t="n">
        <v>658.25</v>
      </c>
      <c r="J263" s="31" t="n">
        <v>4.63</v>
      </c>
      <c r="K263" s="31" t="n">
        <v>308671</v>
      </c>
      <c r="L263" s="30" t="n">
        <v>85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78.56</v>
      </c>
      <c r="P263" s="31" t="n">
        <v>20.93</v>
      </c>
      <c r="Q263" s="31" t="inlineStr"/>
      <c r="R263" s="30" t="inlineStr">
        <is>
          <t>Earnings / Momentum Support</t>
        </is>
      </c>
      <c r="S263" s="30" t="inlineStr">
        <is>
          <t>Nifty 50</t>
        </is>
      </c>
      <c r="T263" s="31" t="n">
        <v>0.85</v>
      </c>
      <c r="U263" s="31" t="n">
        <v>105.27</v>
      </c>
      <c r="V263" s="31" t="n">
        <v>103.54</v>
      </c>
      <c r="W263" s="31" t="n">
        <v>22.47</v>
      </c>
      <c r="X263" s="30" t="inlineStr">
        <is>
          <t>Cyclical in an Upturn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Headwind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No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Above 75</t>
        </is>
      </c>
      <c r="BA263" s="30">
        <f>IF(AZ263="Between 50 to 75",10,IF(AZ263="Above 75",0,0))</f>
        <v/>
      </c>
      <c r="BB263" s="30" t="inlineStr">
        <is>
          <t>Stage 3</t>
        </is>
      </c>
      <c r="BC263" s="30">
        <f>IF(BB263="Stage 2",20,IF(BB263="Stage 1",0,IF(BB263="Stage 3",5,IF(BB263="Stage 4",-5,0))))</f>
        <v/>
      </c>
      <c r="BD263" s="30" t="inlineStr">
        <is>
          <t>Negative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More than 20%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No</t>
        </is>
      </c>
      <c r="BS263" s="30">
        <f>IF(BR263="NO",5,0)</f>
        <v/>
      </c>
      <c r="BT263" s="30" t="inlineStr">
        <is>
          <t>Less than 1.5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More than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IF(B264=0,"",RANK(B264,$B$2:$B$400,0))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2" t="inlineStr">
        <is>
          <t>SAMBHV</t>
        </is>
      </c>
      <c r="D264" s="32" t="inlineStr">
        <is>
          <t>Sambhv Steel Tubes Ltd</t>
        </is>
      </c>
      <c r="E264" s="30" t="inlineStr">
        <is>
          <t>metals &amp; mining</t>
        </is>
      </c>
      <c r="F264" s="30" t="inlineStr">
        <is>
          <t>steel - medium / small</t>
        </is>
      </c>
      <c r="G264" s="30" t="inlineStr">
        <is>
          <t>smallcap</t>
        </is>
      </c>
      <c r="H264" s="31" t="n">
        <v>3444.41</v>
      </c>
      <c r="I264" s="31" t="n">
        <v>121.97</v>
      </c>
      <c r="J264" s="31" t="n">
        <v>4.35</v>
      </c>
      <c r="K264" s="31" t="n">
        <v>1704873</v>
      </c>
      <c r="L264" s="30" t="n">
        <v>12</v>
      </c>
      <c r="M264" s="30" t="inlineStr">
        <is>
          <t>Underperforming</t>
        </is>
      </c>
      <c r="N264" s="31">
        <f>IF(M264="Underperforming",-5,IF(L264&gt;=95,15,IF(L264&gt;=90,10,IF(L264&gt;=80,5,0))))</f>
        <v/>
      </c>
      <c r="O264" s="31" t="n">
        <v>58.93</v>
      </c>
      <c r="P264" s="31" t="n">
        <v>23.98</v>
      </c>
      <c r="Q264" s="31" t="inlineStr"/>
      <c r="R264" s="30" t="inlineStr">
        <is>
          <t>Earnings / Momentum Support</t>
        </is>
      </c>
      <c r="S264" s="30" t="inlineStr">
        <is>
          <t>Nifty Metal</t>
        </is>
      </c>
      <c r="T264" s="31" t="n">
        <v>31.49</v>
      </c>
      <c r="U264" s="31" t="n">
        <v>-6.1</v>
      </c>
      <c r="V264" s="31" t="n">
        <v>-28.59</v>
      </c>
      <c r="W264" s="31" t="n">
        <v>-0.51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Headwind</t>
        </is>
      </c>
      <c r="AE264" s="30">
        <f>IF(AD264="Tailwind",10,0)</f>
        <v/>
      </c>
      <c r="AF264" s="30" t="inlineStr">
        <is>
          <t>Cyclical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Volatile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No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3</t>
        </is>
      </c>
      <c r="BC264" s="30">
        <f>IF(BB264="Stage 2",20,IF(BB264="Stage 1",0,IF(BB264="Stage 3",5,IF(BB264="Stage 4",-5,0))))</f>
        <v/>
      </c>
      <c r="BD264" s="30" t="inlineStr">
        <is>
          <t>Negative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Less than 1.5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IF(B265=0,"",RANK(B265,$B$2:$B$400,0))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2" t="inlineStr">
        <is>
          <t>SUNDRMFAST</t>
        </is>
      </c>
      <c r="D265" s="32" t="inlineStr">
        <is>
          <t>Sundram Fasteners Limited</t>
        </is>
      </c>
      <c r="E265" s="30" t="inlineStr">
        <is>
          <t>auto</t>
        </is>
      </c>
      <c r="F265" s="30" t="inlineStr">
        <is>
          <t>auto ancillaries</t>
        </is>
      </c>
      <c r="G265" s="30" t="inlineStr">
        <is>
          <t>largecap</t>
        </is>
      </c>
      <c r="H265" s="31" t="n">
        <v>22915.55</v>
      </c>
      <c r="I265" s="31" t="n">
        <v>1121.3</v>
      </c>
      <c r="J265" s="31" t="n">
        <v>2.82</v>
      </c>
      <c r="K265" s="31" t="n">
        <v>208140</v>
      </c>
      <c r="L265" s="30" t="n">
        <v>27</v>
      </c>
      <c r="M265" s="30" t="inlineStr">
        <is>
          <t>Underperforming</t>
        </is>
      </c>
      <c r="N265" s="31">
        <f>IF(M265="Underperforming",-5,IF(L265&gt;=95,15,IF(L265&gt;=90,10,IF(L265&gt;=80,5,0))))</f>
        <v/>
      </c>
      <c r="O265" s="31" t="n">
        <v>75.23</v>
      </c>
      <c r="P265" s="31" t="n">
        <v>21.14</v>
      </c>
      <c r="Q265" s="31" t="inlineStr"/>
      <c r="R265" s="30" t="inlineStr">
        <is>
          <t>Earnings / Momentum Support</t>
        </is>
      </c>
      <c r="S265" s="30" t="inlineStr">
        <is>
          <t>Nifty Auto</t>
        </is>
      </c>
      <c r="T265" s="31" t="n">
        <v>13.41</v>
      </c>
      <c r="U265" s="31" t="n">
        <v>-4.24</v>
      </c>
      <c r="V265" s="31" t="n">
        <v>-15.56</v>
      </c>
      <c r="W265" s="31" t="n">
        <v>2.97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Headwind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20 to 40</t>
        </is>
      </c>
      <c r="AY265" s="30">
        <f>IF(AX265="Above 40",20,IF(AX265="20 to 40",10,IF(AX265="0 to 20",-5,0)))</f>
        <v/>
      </c>
      <c r="AZ265" s="30" t="inlineStr">
        <is>
          <t>Above 75</t>
        </is>
      </c>
      <c r="BA265" s="30">
        <f>IF(AZ265="Between 50 to 75",10,IF(AZ265="Above 75",0,0))</f>
        <v/>
      </c>
      <c r="BB265" s="30" t="inlineStr">
        <is>
          <t>Stage 3</t>
        </is>
      </c>
      <c r="BC265" s="30">
        <f>IF(BB265="Stage 2",20,IF(BB265="Stage 1",0,IF(BB265="Stage 3",5,IF(BB265="Stage 4",-5,0))))</f>
        <v/>
      </c>
      <c r="BD265" s="30" t="inlineStr">
        <is>
          <t>Negative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Between 12 to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IF(B266=0,"",RANK(B266,$B$2:$B$400,0))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KIRLOSBROS</t>
        </is>
      </c>
      <c r="D266" s="30" t="inlineStr">
        <is>
          <t>Kirloskar Brothers Limited</t>
        </is>
      </c>
      <c r="E266" s="30" t="inlineStr">
        <is>
          <t>industrials</t>
        </is>
      </c>
      <c r="F266" s="30" t="inlineStr">
        <is>
          <t>pumps</t>
        </is>
      </c>
      <c r="G266" s="30" t="inlineStr">
        <is>
          <t>midcap</t>
        </is>
      </c>
      <c r="H266" s="31" t="n">
        <v>15101.2</v>
      </c>
      <c r="I266" s="31" t="n">
        <v>1940</v>
      </c>
      <c r="J266" s="31" t="n">
        <v>2.01</v>
      </c>
      <c r="K266" s="31" t="n">
        <v>117073</v>
      </c>
      <c r="L266" s="30" t="n">
        <v>25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57.9</v>
      </c>
      <c r="P266" s="31" t="n">
        <v>22.06</v>
      </c>
      <c r="Q266" s="31" t="inlineStr"/>
      <c r="R266" s="30" t="inlineStr">
        <is>
          <t>Earnings / Momentum Support</t>
        </is>
      </c>
      <c r="S266" s="30" t="inlineStr">
        <is>
          <t>Nifty 50</t>
        </is>
      </c>
      <c r="T266" s="31" t="n">
        <v>0.85</v>
      </c>
      <c r="U266" s="31" t="n">
        <v>0.96</v>
      </c>
      <c r="V266" s="31" t="n">
        <v>0.11</v>
      </c>
      <c r="W266" s="31" t="n">
        <v>2.51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Headwind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No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3</t>
        </is>
      </c>
      <c r="BC266" s="30">
        <f>IF(BB266="Stage 2",20,IF(BB266="Stage 1",0,IF(BB266="Stage 3",5,IF(BB266="Stage 4",-5,0))))</f>
        <v/>
      </c>
      <c r="BD266" s="30" t="inlineStr">
        <is>
          <t>Negative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Less than 12%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Yes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IF(B267=0,"",RANK(B267,$B$2:$B$400,0))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2" t="inlineStr">
        <is>
          <t>RAYMOND</t>
        </is>
      </c>
      <c r="D267" s="32" t="inlineStr">
        <is>
          <t>Raymond Limited</t>
        </is>
      </c>
      <c r="E267" s="30" t="inlineStr">
        <is>
          <t>transportation</t>
        </is>
      </c>
      <c r="F267" s="30" t="inlineStr">
        <is>
          <t>transport - airlines</t>
        </is>
      </c>
      <c r="G267" s="30" t="inlineStr">
        <is>
          <t>smallcap</t>
        </is>
      </c>
      <c r="H267" s="31" t="n">
        <v>4093.95</v>
      </c>
      <c r="I267" s="31" t="n">
        <v>627</v>
      </c>
      <c r="J267" s="31" t="n">
        <v>1.96</v>
      </c>
      <c r="K267" s="31" t="n">
        <v>928797</v>
      </c>
      <c r="L267" s="30" t="n">
        <v>52</v>
      </c>
      <c r="M267" s="30" t="inlineStr">
        <is>
          <t>Underperforming</t>
        </is>
      </c>
      <c r="N267" s="31">
        <f>IF(M267="Underperforming",-5,IF(L267&gt;=95,15,IF(L267&gt;=90,10,IF(L267&gt;=80,5,0))))</f>
        <v/>
      </c>
      <c r="O267" s="31" t="n">
        <v>61.6</v>
      </c>
      <c r="P267" s="31" t="n">
        <v>39.68</v>
      </c>
      <c r="Q267" s="31" t="inlineStr"/>
      <c r="R267" s="30" t="inlineStr">
        <is>
          <t>Earnings / Momentum Support</t>
        </is>
      </c>
      <c r="S267" s="30" t="inlineStr">
        <is>
          <t>Nifty Infra</t>
        </is>
      </c>
      <c r="T267" s="31" t="n">
        <v>1.74</v>
      </c>
      <c r="U267" s="31" t="n">
        <v>-15.87</v>
      </c>
      <c r="V267" s="31" t="n">
        <v>-17.31</v>
      </c>
      <c r="W267" s="31" t="n">
        <v>8.380000000000001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Headwind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20 to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3</t>
        </is>
      </c>
      <c r="BC267" s="30">
        <f>IF(BB267="Stage 2",20,IF(BB267="Stage 1",0,IF(BB267="Stage 3",5,IF(BB267="Stage 4",-5,0))))</f>
        <v/>
      </c>
      <c r="BD267" s="30" t="inlineStr">
        <is>
          <t>Negative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Less than 12%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Yes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IF(B268=0,"",RANK(B268,$B$2:$B$400,0))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ETHOSLTD</t>
        </is>
      </c>
      <c r="D268" s="30" t="inlineStr">
        <is>
          <t>Ethos Ltd</t>
        </is>
      </c>
      <c r="E268" s="30" t="inlineStr">
        <is>
          <t>consumer discretionary</t>
        </is>
      </c>
      <c r="F268" s="30" t="inlineStr">
        <is>
          <t>trading</t>
        </is>
      </c>
      <c r="G268" s="30" t="inlineStr">
        <is>
          <t>midcap</t>
        </is>
      </c>
      <c r="H268" s="31" t="n">
        <v>7444.26</v>
      </c>
      <c r="I268" s="31" t="n">
        <v>2833.1</v>
      </c>
      <c r="J268" s="31" t="n">
        <v>1.83</v>
      </c>
      <c r="K268" s="31" t="n">
        <v>31526</v>
      </c>
      <c r="L268" s="30" t="n">
        <v>31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61.05</v>
      </c>
      <c r="P268" s="31" t="n">
        <v>14.82</v>
      </c>
      <c r="Q268" s="31" t="inlineStr"/>
      <c r="R268" s="30" t="inlineStr">
        <is>
          <t>Earnings / Momentum Support</t>
        </is>
      </c>
      <c r="S268" s="30" t="inlineStr">
        <is>
          <t>Nifty 50</t>
        </is>
      </c>
      <c r="T268" s="31" t="n">
        <v>0.85</v>
      </c>
      <c r="U268" s="31" t="n">
        <v>1.56</v>
      </c>
      <c r="V268" s="31" t="n">
        <v>0.71</v>
      </c>
      <c r="W268" s="31" t="n">
        <v>3.83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Headwind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No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3</t>
        </is>
      </c>
      <c r="BC268" s="30">
        <f>IF(BB268="Stage 2",20,IF(BB268="Stage 1",0,IF(BB268="Stage 3",5,IF(BB268="Stage 4",-5,0))))</f>
        <v/>
      </c>
      <c r="BD268" s="30" t="inlineStr">
        <is>
          <t>Negative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IF(B269=0,"",RANK(B269,$B$2:$B$400,0))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BORANA</t>
        </is>
      </c>
      <c r="D269" s="30" t="inlineStr">
        <is>
          <t>Borana Weaves Ltd</t>
        </is>
      </c>
      <c r="E269" s="30" t="inlineStr">
        <is>
          <t>textiles</t>
        </is>
      </c>
      <c r="F269" s="30" t="inlineStr">
        <is>
          <t>textiles - processing</t>
        </is>
      </c>
      <c r="G269" s="30" t="inlineStr">
        <is>
          <t>smallcap</t>
        </is>
      </c>
      <c r="H269" s="31" t="n">
        <v>904.87</v>
      </c>
      <c r="I269" s="31" t="n">
        <v>345</v>
      </c>
      <c r="J269" s="31" t="n">
        <v>1.59</v>
      </c>
      <c r="K269" s="31" t="n">
        <v>39480</v>
      </c>
      <c r="L269" s="30" t="n">
        <v>61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56.18</v>
      </c>
      <c r="P269" s="31" t="n">
        <v>13.79</v>
      </c>
      <c r="Q269" s="31" t="inlineStr"/>
      <c r="R269" s="30" t="inlineStr">
        <is>
          <t>Earnings / Momentum Support</t>
        </is>
      </c>
      <c r="S269" s="30" t="inlineStr">
        <is>
          <t>Nifty 50</t>
        </is>
      </c>
      <c r="T269" s="31" t="n">
        <v>0.85</v>
      </c>
      <c r="U269" s="31" t="n">
        <v>54.24</v>
      </c>
      <c r="V269" s="31" t="n">
        <v>52.94</v>
      </c>
      <c r="W269" s="31" t="n">
        <v>11.26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Headwind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No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3</t>
        </is>
      </c>
      <c r="BC269" s="30">
        <f>IF(BB269="Stage 2",20,IF(BB269="Stage 1",0,IF(BB269="Stage 3",5,IF(BB269="Stage 4",-5,0))))</f>
        <v/>
      </c>
      <c r="BD269" s="30" t="inlineStr">
        <is>
          <t>Negative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Between 12 to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No</t>
        </is>
      </c>
      <c r="BS269" s="30">
        <f>IF(BR269="NO",5,0)</f>
        <v/>
      </c>
      <c r="BT269" s="30" t="inlineStr">
        <is>
          <t>Less than 1.5</t>
        </is>
      </c>
      <c r="BU269" s="30">
        <f>IF(BT269="Above 2",0,IF(BT269="Between 1.5 to 2",5,IF(BT269="Less than 1.5",10,0)))</f>
        <v/>
      </c>
      <c r="BV269" s="30" t="inlineStr">
        <is>
          <t>Less than 50%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IF(B270=0,"",RANK(B270,$B$2:$B$400,0))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2" t="inlineStr">
        <is>
          <t>BOSCHLTD</t>
        </is>
      </c>
      <c r="D270" s="32" t="inlineStr">
        <is>
          <t>Bosch Limited</t>
        </is>
      </c>
      <c r="E270" s="30" t="inlineStr">
        <is>
          <t>auto</t>
        </is>
      </c>
      <c r="F270" s="30" t="inlineStr">
        <is>
          <t>auto ancillaries</t>
        </is>
      </c>
      <c r="G270" s="30" t="inlineStr">
        <is>
          <t>largecap</t>
        </is>
      </c>
      <c r="H270" s="31" t="n">
        <v>126685.75</v>
      </c>
      <c r="I270" s="31" t="n">
        <v>43505</v>
      </c>
      <c r="J270" s="31" t="n">
        <v>1.29</v>
      </c>
      <c r="K270" s="31" t="n">
        <v>78613</v>
      </c>
      <c r="L270" s="30" t="n">
        <v>30</v>
      </c>
      <c r="M270" s="30" t="inlineStr">
        <is>
          <t>Underperforming</t>
        </is>
      </c>
      <c r="N270" s="31">
        <f>IF(M270="Underperforming",-5,IF(L270&gt;=95,15,IF(L270&gt;=90,10,IF(L270&gt;=80,5,0))))</f>
        <v/>
      </c>
      <c r="O270" s="31" t="n">
        <v>66.73</v>
      </c>
      <c r="P270" s="31" t="n">
        <v>30.22</v>
      </c>
      <c r="Q270" s="31" t="inlineStr"/>
      <c r="R270" s="30" t="inlineStr">
        <is>
          <t>Earnings / Momentum Support</t>
        </is>
      </c>
      <c r="S270" s="30" t="inlineStr">
        <is>
          <t>Nifty Auto</t>
        </is>
      </c>
      <c r="T270" s="31" t="n">
        <v>13.41</v>
      </c>
      <c r="U270" s="31" t="n">
        <v>8.26</v>
      </c>
      <c r="V270" s="31" t="n">
        <v>-4.55</v>
      </c>
      <c r="W270" s="31" t="n">
        <v>3.48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Headwind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20 to 40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3</t>
        </is>
      </c>
      <c r="BC270" s="30">
        <f>IF(BB270="Stage 2",20,IF(BB270="Stage 1",0,IF(BB270="Stage 3",5,IF(BB270="Stage 4",-5,0))))</f>
        <v/>
      </c>
      <c r="BD270" s="30" t="inlineStr">
        <is>
          <t>Negative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Less than 12%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Above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IF(B271=0,"",RANK(B271,$B$2:$B$400,0))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TIMETECHNO</t>
        </is>
      </c>
      <c r="D271" s="32" t="inlineStr">
        <is>
          <t>Time Technoplast Limited</t>
        </is>
      </c>
      <c r="E271" s="30" t="inlineStr">
        <is>
          <t>plastic products</t>
        </is>
      </c>
      <c r="F271" s="30" t="inlineStr">
        <is>
          <t>plastics products</t>
        </is>
      </c>
      <c r="G271" s="30" t="inlineStr">
        <is>
          <t>midcap</t>
        </is>
      </c>
      <c r="H271" s="31" t="n">
        <v>10113.6</v>
      </c>
      <c r="I271" s="31" t="n">
        <v>207.51</v>
      </c>
      <c r="J271" s="31" t="n">
        <v>1.28</v>
      </c>
      <c r="K271" s="31" t="n">
        <v>3367756</v>
      </c>
      <c r="L271" s="30" t="n">
        <v>14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59.56</v>
      </c>
      <c r="P271" s="31" t="n">
        <v>14.04</v>
      </c>
      <c r="Q271" s="31" t="inlineStr"/>
      <c r="R271" s="30" t="inlineStr">
        <is>
          <t>Earnings / Momentum Support</t>
        </is>
      </c>
      <c r="S271" s="30" t="inlineStr">
        <is>
          <t>Nifty 50</t>
        </is>
      </c>
      <c r="T271" s="31" t="n">
        <v>0.85</v>
      </c>
      <c r="U271" s="31" t="n">
        <v>-10.08</v>
      </c>
      <c r="V271" s="31" t="n">
        <v>-10.84</v>
      </c>
      <c r="W271" s="31" t="n">
        <v>0.03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Headwind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No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0 to 20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3</t>
        </is>
      </c>
      <c r="BC271" s="30">
        <f>IF(BB271="Stage 2",20,IF(BB271="Stage 1",0,IF(BB271="Stage 3",5,IF(BB271="Stage 4",-5,0))))</f>
        <v/>
      </c>
      <c r="BD271" s="30" t="inlineStr">
        <is>
          <t>Negative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Between 12 to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Between 1.5 to 2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IF(B272=0,"",RANK(B272,$B$2:$B$400,0))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LUMAXTECH</t>
        </is>
      </c>
      <c r="D272" s="30" t="inlineStr">
        <is>
          <t>Lumax Auto Technologies Limited</t>
        </is>
      </c>
      <c r="E272" s="30" t="inlineStr">
        <is>
          <t>auto</t>
        </is>
      </c>
      <c r="F272" s="30" t="inlineStr">
        <is>
          <t>auto ancillaries</t>
        </is>
      </c>
      <c r="G272" s="30" t="inlineStr">
        <is>
          <t>midcap</t>
        </is>
      </c>
      <c r="H272" s="31" t="n">
        <v>11739.48</v>
      </c>
      <c r="I272" s="31" t="n">
        <v>1738.2</v>
      </c>
      <c r="J272" s="31" t="n">
        <v>0.92</v>
      </c>
      <c r="K272" s="31" t="n">
        <v>181394</v>
      </c>
      <c r="L272" s="30" t="n">
        <v>20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58.07</v>
      </c>
      <c r="P272" s="31" t="n">
        <v>12.83</v>
      </c>
      <c r="Q272" s="31" t="inlineStr"/>
      <c r="R272" s="30" t="inlineStr">
        <is>
          <t>Earnings / Momentum Support</t>
        </is>
      </c>
      <c r="S272" s="30" t="inlineStr">
        <is>
          <t>Nifty Auto</t>
        </is>
      </c>
      <c r="T272" s="31" t="n">
        <v>13.41</v>
      </c>
      <c r="U272" s="31" t="n">
        <v>24.53</v>
      </c>
      <c r="V272" s="31" t="n">
        <v>9.800000000000001</v>
      </c>
      <c r="W272" s="31" t="n">
        <v>1.74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Headwind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0 to 20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3</t>
        </is>
      </c>
      <c r="BC272" s="30">
        <f>IF(BB272="Stage 2",20,IF(BB272="Stage 1",0,IF(BB272="Stage 3",5,IF(BB272="Stage 4",-5,0))))</f>
        <v/>
      </c>
      <c r="BD272" s="30" t="inlineStr">
        <is>
          <t>Negative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Less than 1.5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Between 0.7 to 1.2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IF(B273=0,"",RANK(B273,$B$2:$B$400,0))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2" t="inlineStr">
        <is>
          <t>BOSCH-HCIL</t>
        </is>
      </c>
      <c r="D273" s="32" t="inlineStr">
        <is>
          <t>Bosch Home Comfort India Ltd</t>
        </is>
      </c>
      <c r="E273" s="30" t="inlineStr">
        <is>
          <t>consumer discretionary</t>
        </is>
      </c>
      <c r="F273" s="30" t="inlineStr">
        <is>
          <t>air-conditioners</t>
        </is>
      </c>
      <c r="G273" s="30" t="inlineStr">
        <is>
          <t>smallcap</t>
        </is>
      </c>
      <c r="H273" s="31" t="n">
        <v>4574.59</v>
      </c>
      <c r="I273" s="31" t="n">
        <v>1696.8</v>
      </c>
      <c r="J273" s="31" t="n">
        <v>0.86</v>
      </c>
      <c r="K273" s="31" t="n">
        <v>75096</v>
      </c>
      <c r="L273" s="30" t="n">
        <v>31</v>
      </c>
      <c r="M273" s="30" t="inlineStr">
        <is>
          <t>Underperforming</t>
        </is>
      </c>
      <c r="N273" s="31">
        <f>IF(M273="Underperforming",-5,IF(L273&gt;=95,15,IF(L273&gt;=90,10,IF(L273&gt;=80,5,0))))</f>
        <v/>
      </c>
      <c r="O273" s="31" t="n">
        <v>68.94</v>
      </c>
      <c r="P273" s="31" t="n">
        <v>16.42</v>
      </c>
      <c r="Q273" s="31" t="inlineStr"/>
      <c r="R273" s="30" t="inlineStr">
        <is>
          <t>Earnings / Momentum Support</t>
        </is>
      </c>
      <c r="S273" s="30" t="inlineStr">
        <is>
          <t>Nifty 50</t>
        </is>
      </c>
      <c r="T273" s="31" t="n">
        <v>0.85</v>
      </c>
      <c r="U273" s="31" t="n">
        <v>-3.15</v>
      </c>
      <c r="V273" s="31" t="n">
        <v>-3.97</v>
      </c>
      <c r="W273" s="31" t="n">
        <v>3.65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Headwind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3</t>
        </is>
      </c>
      <c r="BC273" s="30">
        <f>IF(BB273="Stage 2",20,IF(BB273="Stage 1",0,IF(BB273="Stage 3",5,IF(BB273="Stage 4",-5,0))))</f>
        <v/>
      </c>
      <c r="BD273" s="30" t="inlineStr">
        <is>
          <t>Negative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Less than 12%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Less than 1.5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IF(B274=0,"",RANK(B274,$B$2:$B$400,0))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ABB</t>
        </is>
      </c>
      <c r="D274" s="30" t="inlineStr">
        <is>
          <t>Abb India Limited</t>
        </is>
      </c>
      <c r="E274" s="30" t="inlineStr">
        <is>
          <t>industrials</t>
        </is>
      </c>
      <c r="F274" s="30" t="inlineStr">
        <is>
          <t>electric equipment</t>
        </is>
      </c>
      <c r="G274" s="30" t="inlineStr">
        <is>
          <t>largecap</t>
        </is>
      </c>
      <c r="H274" s="31" t="n">
        <v>161050.37</v>
      </c>
      <c r="I274" s="31" t="n">
        <v>7649.5</v>
      </c>
      <c r="J274" s="31" t="n">
        <v>0.65</v>
      </c>
      <c r="K274" s="31" t="n">
        <v>399696</v>
      </c>
      <c r="L274" s="30" t="n">
        <v>61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63.95</v>
      </c>
      <c r="P274" s="31" t="n">
        <v>29.22</v>
      </c>
      <c r="Q274" s="31" t="inlineStr"/>
      <c r="R274" s="30" t="inlineStr">
        <is>
          <t>Earnings / Momentum Support</t>
        </is>
      </c>
      <c r="S274" s="30" t="inlineStr">
        <is>
          <t>Nifty 50</t>
        </is>
      </c>
      <c r="T274" s="31" t="n">
        <v>0.85</v>
      </c>
      <c r="U274" s="31" t="n">
        <v>53.74</v>
      </c>
      <c r="V274" s="31" t="n">
        <v>52.44</v>
      </c>
      <c r="W274" s="31" t="n">
        <v>11.24</v>
      </c>
      <c r="X274" s="30" t="inlineStr">
        <is>
          <t>Cyclical in an Upturn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Headwind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3</t>
        </is>
      </c>
      <c r="BC274" s="30">
        <f>IF(BB274="Stage 2",20,IF(BB274="Stage 1",0,IF(BB274="Stage 3",5,IF(BB274="Stage 4",-5,0))))</f>
        <v/>
      </c>
      <c r="BD274" s="30" t="inlineStr">
        <is>
          <t>Negative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Yes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IF(B275=0,"",RANK(B275,$B$2:$B$400,0))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NAZARA</t>
        </is>
      </c>
      <c r="D275" s="30" t="inlineStr">
        <is>
          <t>Nazara Technologies Ltd</t>
        </is>
      </c>
      <c r="E275" s="30" t="inlineStr">
        <is>
          <t>i.t</t>
        </is>
      </c>
      <c r="F275" s="30" t="inlineStr">
        <is>
          <t>telecommunications - service provider</t>
        </is>
      </c>
      <c r="G275" s="30" t="inlineStr">
        <is>
          <t>midcap</t>
        </is>
      </c>
      <c r="H275" s="31" t="n">
        <v>13053.34</v>
      </c>
      <c r="I275" s="31" t="n">
        <v>354.5</v>
      </c>
      <c r="J275" s="31" t="n">
        <v>0.61</v>
      </c>
      <c r="K275" s="31" t="n">
        <v>3596579</v>
      </c>
      <c r="L275" s="30" t="n">
        <v>50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72.47</v>
      </c>
      <c r="P275" s="31" t="n">
        <v>19.43</v>
      </c>
      <c r="Q275" s="31" t="inlineStr"/>
      <c r="R275" s="30" t="inlineStr">
        <is>
          <t>Earnings / Momentum Support</t>
        </is>
      </c>
      <c r="S275" s="30" t="inlineStr">
        <is>
          <t>Nifty IT</t>
        </is>
      </c>
      <c r="T275" s="31" t="n">
        <v>-8.289999999999999</v>
      </c>
      <c r="U275" s="31" t="n">
        <v>1.25</v>
      </c>
      <c r="V275" s="31" t="n">
        <v>10.4</v>
      </c>
      <c r="W275" s="31" t="n">
        <v>7.99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Oligopoly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Yes</t>
        </is>
      </c>
      <c r="AC275" s="30">
        <f>IF(AB275="No",5,0)</f>
        <v/>
      </c>
      <c r="AD275" s="30" t="inlineStr">
        <is>
          <t>Headwind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3</t>
        </is>
      </c>
      <c r="BC275" s="30">
        <f>IF(BB275="Stage 2",20,IF(BB275="Stage 1",0,IF(BB275="Stage 3",5,IF(BB275="Stage 4",-5,0))))</f>
        <v/>
      </c>
      <c r="BD275" s="30" t="inlineStr">
        <is>
          <t>Negative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IF(B276=0,"",RANK(B276,$B$2:$B$400,0))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UNIVPHOTO</t>
        </is>
      </c>
      <c r="D276" s="30" t="inlineStr">
        <is>
          <t>Universus Photo Imagings Ltd</t>
        </is>
      </c>
      <c r="E276" s="30" t="inlineStr">
        <is>
          <t>consumer discretionary</t>
        </is>
      </c>
      <c r="F276" s="30" t="inlineStr">
        <is>
          <t>photographic and allied products</t>
        </is>
      </c>
      <c r="G276" s="30" t="inlineStr">
        <is>
          <t>smallcap</t>
        </is>
      </c>
      <c r="H276" s="31" t="n">
        <v>516.35</v>
      </c>
      <c r="I276" s="31" t="n">
        <v>470.05</v>
      </c>
      <c r="J276" s="31" t="n">
        <v>-0.35</v>
      </c>
      <c r="K276" s="31" t="n">
        <v>187</v>
      </c>
      <c r="L276" s="30" t="n">
        <v>85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62.51</v>
      </c>
      <c r="P276" s="31" t="n">
        <v>15.34</v>
      </c>
      <c r="Q276" s="31" t="inlineStr"/>
      <c r="R276" s="30" t="inlineStr">
        <is>
          <t>Earnings / Momentum Support</t>
        </is>
      </c>
      <c r="S276" s="30" t="inlineStr">
        <is>
          <t>Nifty 50</t>
        </is>
      </c>
      <c r="T276" s="31" t="n">
        <v>0.85</v>
      </c>
      <c r="U276" s="31" t="n">
        <v>78.47</v>
      </c>
      <c r="V276" s="31" t="n">
        <v>76.97</v>
      </c>
      <c r="W276" s="31" t="n">
        <v>22.17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Headwind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No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0 to 20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3</t>
        </is>
      </c>
      <c r="BC276" s="30">
        <f>IF(BB276="Stage 2",20,IF(BB276="Stage 1",0,IF(BB276="Stage 3",5,IF(BB276="Stage 4",-5,0))))</f>
        <v/>
      </c>
      <c r="BD276" s="30" t="inlineStr">
        <is>
          <t>Negative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Less than 1.5</t>
        </is>
      </c>
      <c r="BU276" s="30">
        <f>IF(BT276="Above 2",0,IF(BT276="Between 1.5 to 2",5,IF(BT276="Less than 1.5",10,0)))</f>
        <v/>
      </c>
      <c r="BV276" s="30" t="inlineStr">
        <is>
          <t>Negative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IF(B277=0,"",RANK(B277,$B$2:$B$400,0))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2" t="inlineStr">
        <is>
          <t>DEEPAKNTR</t>
        </is>
      </c>
      <c r="D277" s="32" t="inlineStr">
        <is>
          <t>Deepak Nitrite Limited</t>
        </is>
      </c>
      <c r="E277" s="30" t="inlineStr">
        <is>
          <t>chemicals</t>
        </is>
      </c>
      <c r="F277" s="30" t="inlineStr">
        <is>
          <t>chemicals</t>
        </is>
      </c>
      <c r="G277" s="30" t="inlineStr">
        <is>
          <t>largecap</t>
        </is>
      </c>
      <c r="H277" s="31" t="n">
        <v>24503.01</v>
      </c>
      <c r="I277" s="31" t="n">
        <v>1779.2</v>
      </c>
      <c r="J277" s="31" t="n">
        <v>-0.96</v>
      </c>
      <c r="K277" s="31" t="n">
        <v>924478</v>
      </c>
      <c r="L277" s="30" t="n">
        <v>12</v>
      </c>
      <c r="M277" s="30" t="inlineStr">
        <is>
          <t>Underperforming</t>
        </is>
      </c>
      <c r="N277" s="31">
        <f>IF(M277="Underperforming",-5,IF(L277&gt;=95,15,IF(L277&gt;=90,10,IF(L277&gt;=80,5,0))))</f>
        <v/>
      </c>
      <c r="O277" s="31" t="n">
        <v>59.23</v>
      </c>
      <c r="P277" s="31" t="n">
        <v>13.91</v>
      </c>
      <c r="Q277" s="31" t="inlineStr"/>
      <c r="R277" s="30" t="inlineStr">
        <is>
          <t>Earnings / Momentum Support</t>
        </is>
      </c>
      <c r="S277" s="30" t="inlineStr">
        <is>
          <t>Nifty 50</t>
        </is>
      </c>
      <c r="T277" s="31" t="n">
        <v>0.85</v>
      </c>
      <c r="U277" s="31" t="n">
        <v>-0.06</v>
      </c>
      <c r="V277" s="31" t="n">
        <v>-0.9</v>
      </c>
      <c r="W277" s="31" t="n">
        <v>-0.46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Headwind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0 to 20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3</t>
        </is>
      </c>
      <c r="BC277" s="30">
        <f>IF(BB277="Stage 2",20,IF(BB277="Stage 1",0,IF(BB277="Stage 3",5,IF(BB277="Stage 4",-5,0))))</f>
        <v/>
      </c>
      <c r="BD277" s="30" t="inlineStr">
        <is>
          <t>Negative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No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IF(B278=0,"",RANK(B278,$B$2:$B$400,0))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2" t="inlineStr">
        <is>
          <t>BASF</t>
        </is>
      </c>
      <c r="D278" s="32" t="inlineStr">
        <is>
          <t>Basf India Limited</t>
        </is>
      </c>
      <c r="E278" s="30" t="inlineStr">
        <is>
          <t>chemicals</t>
        </is>
      </c>
      <c r="F278" s="30" t="inlineStr">
        <is>
          <t>chemicals</t>
        </is>
      </c>
      <c r="G278" s="30" t="inlineStr">
        <is>
          <t>midcap</t>
        </is>
      </c>
      <c r="H278" s="31" t="n">
        <v>17708.16</v>
      </c>
      <c r="I278" s="31" t="n">
        <v>4031.6</v>
      </c>
      <c r="J278" s="31" t="n">
        <v>-1.45</v>
      </c>
      <c r="K278" s="31" t="n">
        <v>43471</v>
      </c>
      <c r="L278" s="30" t="n">
        <v>11</v>
      </c>
      <c r="M278" s="30" t="inlineStr">
        <is>
          <t>Underperforming</t>
        </is>
      </c>
      <c r="N278" s="31">
        <f>IF(M278="Underperforming",-5,IF(L278&gt;=95,15,IF(L278&gt;=90,10,IF(L278&gt;=80,5,0))))</f>
        <v/>
      </c>
      <c r="O278" s="31" t="n">
        <v>62.24</v>
      </c>
      <c r="P278" s="31" t="n">
        <v>15.47</v>
      </c>
      <c r="Q278" s="31" t="inlineStr"/>
      <c r="R278" s="30" t="inlineStr">
        <is>
          <t>Earnings / Momentum Support</t>
        </is>
      </c>
      <c r="S278" s="30" t="inlineStr">
        <is>
          <t>Nifty 50</t>
        </is>
      </c>
      <c r="T278" s="31" t="n">
        <v>0.85</v>
      </c>
      <c r="U278" s="31" t="n">
        <v>-8.619999999999999</v>
      </c>
      <c r="V278" s="31" t="n">
        <v>-9.390000000000001</v>
      </c>
      <c r="W278" s="31" t="n">
        <v>-0.88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Headwind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3</t>
        </is>
      </c>
      <c r="BC278" s="30">
        <f>IF(BB278="Stage 2",20,IF(BB278="Stage 1",0,IF(BB278="Stage 3",5,IF(BB278="Stage 4",-5,0))))</f>
        <v/>
      </c>
      <c r="BD278" s="30" t="inlineStr">
        <is>
          <t>Negative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No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IF(B279=0,"",RANK(B279,$B$2:$B$400,0))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ETERNAL</t>
        </is>
      </c>
      <c r="D279" s="30" t="inlineStr">
        <is>
          <t>Eternal Ltd</t>
        </is>
      </c>
      <c r="E279" s="30" t="inlineStr">
        <is>
          <t>i.t</t>
        </is>
      </c>
      <c r="F279" s="30" t="inlineStr">
        <is>
          <t>miscellaneous</t>
        </is>
      </c>
      <c r="G279" s="30" t="inlineStr">
        <is>
          <t>largecap</t>
        </is>
      </c>
      <c r="H279" s="31" t="n">
        <v>303986.05</v>
      </c>
      <c r="I279" s="31" t="n">
        <v>310.25</v>
      </c>
      <c r="J279" s="31" t="n">
        <v>-1.51</v>
      </c>
      <c r="K279" s="31" t="n">
        <v>32586416</v>
      </c>
      <c r="L279" s="30" t="n">
        <v>42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65.16</v>
      </c>
      <c r="P279" s="31" t="n">
        <v>18.13</v>
      </c>
      <c r="Q279" s="31" t="inlineStr"/>
      <c r="R279" s="30" t="inlineStr">
        <is>
          <t>Earnings / Momentum Support</t>
        </is>
      </c>
      <c r="S279" s="30" t="inlineStr">
        <is>
          <t>Nifty IT</t>
        </is>
      </c>
      <c r="T279" s="31" t="n">
        <v>-8.289999999999999</v>
      </c>
      <c r="U279" s="31" t="n">
        <v>4.69</v>
      </c>
      <c r="V279" s="31" t="n">
        <v>14.15</v>
      </c>
      <c r="W279" s="31" t="n">
        <v>6.1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Headwind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No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3</t>
        </is>
      </c>
      <c r="BC279" s="30">
        <f>IF(BB279="Stage 2",20,IF(BB279="Stage 1",0,IF(BB279="Stage 3",5,IF(BB279="Stage 4",-5,0))))</f>
        <v/>
      </c>
      <c r="BD279" s="30" t="inlineStr">
        <is>
          <t>Negative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IF(B280=0,"",RANK(B280,$B$2:$B$400,0))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VSSL</t>
        </is>
      </c>
      <c r="D280" s="32" t="inlineStr">
        <is>
          <t>Vardhman Special Steels Limited</t>
        </is>
      </c>
      <c r="E280" s="30" t="inlineStr">
        <is>
          <t>metals &amp; mining</t>
        </is>
      </c>
      <c r="F280" s="30" t="inlineStr">
        <is>
          <t>steel - medium / small</t>
        </is>
      </c>
      <c r="G280" s="30" t="inlineStr">
        <is>
          <t>smallcap</t>
        </is>
      </c>
      <c r="H280" s="31" t="n">
        <v>3305.2</v>
      </c>
      <c r="I280" s="31" t="n">
        <v>335.1</v>
      </c>
      <c r="J280" s="31" t="n">
        <v>-1.97</v>
      </c>
      <c r="K280" s="31" t="n">
        <v>232422</v>
      </c>
      <c r="L280" s="30" t="n">
        <v>45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74.68000000000001</v>
      </c>
      <c r="P280" s="31" t="n">
        <v>25.39</v>
      </c>
      <c r="Q280" s="31" t="inlineStr"/>
      <c r="R280" s="30" t="inlineStr">
        <is>
          <t>Earnings / Momentum Support</t>
        </is>
      </c>
      <c r="S280" s="30" t="inlineStr">
        <is>
          <t>Nifty Metal</t>
        </is>
      </c>
      <c r="T280" s="31" t="n">
        <v>31.49</v>
      </c>
      <c r="U280" s="31" t="n">
        <v>17.35</v>
      </c>
      <c r="V280" s="31" t="n">
        <v>-10.76</v>
      </c>
      <c r="W280" s="31" t="n">
        <v>6.81</v>
      </c>
      <c r="X280" s="30" t="inlineStr">
        <is>
          <t>Cyclical in an Upturn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Headwind</t>
        </is>
      </c>
      <c r="AE280" s="30">
        <f>IF(AD280="Tailwind",10,0)</f>
        <v/>
      </c>
      <c r="AF280" s="30" t="inlineStr">
        <is>
          <t>Cyclical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Volatile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3</t>
        </is>
      </c>
      <c r="BC280" s="30">
        <f>IF(BB280="Stage 2",20,IF(BB280="Stage 1",0,IF(BB280="Stage 3",5,IF(BB280="Stage 4",-5,0))))</f>
        <v/>
      </c>
      <c r="BD280" s="30" t="inlineStr">
        <is>
          <t>Negative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No</t>
        </is>
      </c>
      <c r="BS280" s="30">
        <f>IF(BR280="NO",5,0)</f>
        <v/>
      </c>
      <c r="BT280" s="30" t="inlineStr">
        <is>
          <t>Less than 1.5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IF(B281=0,"",RANK(B281,$B$2:$B$400,0))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RBA</t>
        </is>
      </c>
      <c r="D281" s="30" t="inlineStr">
        <is>
          <t>Restaurant Brands Asia Ltd</t>
        </is>
      </c>
      <c r="E281" s="30" t="inlineStr">
        <is>
          <t>consumer discretionary</t>
        </is>
      </c>
      <c r="F281" s="30" t="inlineStr">
        <is>
          <t>hotels</t>
        </is>
      </c>
      <c r="G281" s="30" t="inlineStr">
        <is>
          <t>midcap</t>
        </is>
      </c>
      <c r="H281" s="31" t="n">
        <v>6755.64</v>
      </c>
      <c r="I281" s="31" t="n">
        <v>90.23</v>
      </c>
      <c r="J281" s="31" t="n">
        <v>-4.94</v>
      </c>
      <c r="K281" s="31" t="n">
        <v>13979908</v>
      </c>
      <c r="L281" s="30" t="n">
        <v>66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73.41</v>
      </c>
      <c r="P281" s="31" t="n">
        <v>27.97</v>
      </c>
      <c r="Q281" s="31" t="inlineStr"/>
      <c r="R281" s="30" t="inlineStr">
        <is>
          <t>Earnings / Momentum Support</t>
        </is>
      </c>
      <c r="S281" s="30" t="inlineStr">
        <is>
          <t>Nifty 50</t>
        </is>
      </c>
      <c r="T281" s="31" t="n">
        <v>0.85</v>
      </c>
      <c r="U281" s="31" t="n">
        <v>18.93</v>
      </c>
      <c r="V281" s="31" t="n">
        <v>17.93</v>
      </c>
      <c r="W281" s="31" t="n">
        <v>12.97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Headwind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No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3</t>
        </is>
      </c>
      <c r="BC281" s="30">
        <f>IF(BB281="Stage 2",20,IF(BB281="Stage 1",0,IF(BB281="Stage 3",5,IF(BB281="Stage 4",-5,0))))</f>
        <v/>
      </c>
      <c r="BD281" s="30" t="inlineStr">
        <is>
          <t>Negative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Above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More than 1.2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IF(B282=0,"",RANK(B282,$B$2:$B$400,0))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POLYMED</t>
        </is>
      </c>
      <c r="D282" s="32" t="inlineStr">
        <is>
          <t>Poly Medicure Limited</t>
        </is>
      </c>
      <c r="E282" s="30" t="inlineStr">
        <is>
          <t>healthcare</t>
        </is>
      </c>
      <c r="F282" s="30" t="inlineStr">
        <is>
          <t>healthcare</t>
        </is>
      </c>
      <c r="G282" s="30" t="inlineStr">
        <is>
          <t>midcap</t>
        </is>
      </c>
      <c r="H282" s="31" t="n">
        <v>17168.27</v>
      </c>
      <c r="I282" s="31" t="n">
        <v>1772.4</v>
      </c>
      <c r="J282" s="31" t="n">
        <v>4.64</v>
      </c>
      <c r="K282" s="31" t="n">
        <v>831186</v>
      </c>
      <c r="L282" s="30" t="n">
        <v>11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56.47</v>
      </c>
      <c r="P282" s="31" t="n">
        <v>20.37</v>
      </c>
      <c r="Q282" s="31" t="inlineStr"/>
      <c r="R282" s="30" t="inlineStr">
        <is>
          <t>Earnings / Momentum Support</t>
        </is>
      </c>
      <c r="S282" s="30" t="inlineStr">
        <is>
          <t>Nifty Pharma</t>
        </is>
      </c>
      <c r="T282" s="31" t="n">
        <v>24.01</v>
      </c>
      <c r="U282" s="31" t="n">
        <v>-11.97</v>
      </c>
      <c r="V282" s="31" t="n">
        <v>-29.01</v>
      </c>
      <c r="W282" s="31" t="n">
        <v>-0.85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Yes</t>
        </is>
      </c>
      <c r="AC282" s="30">
        <f>IF(AB282="No",5,0)</f>
        <v/>
      </c>
      <c r="AD282" s="30" t="inlineStr">
        <is>
          <t>Headwind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Annuity, Lower One Time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3</t>
        </is>
      </c>
      <c r="BC282" s="30">
        <f>IF(BB282="Stage 2",20,IF(BB282="Stage 1",0,IF(BB282="Stage 3",5,IF(BB282="Stage 4",-5,0))))</f>
        <v/>
      </c>
      <c r="BD282" s="30" t="inlineStr">
        <is>
          <t>Negative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Less than 12%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Above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IF(B283=0,"",RANK(B283,$B$2:$B$400,0))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SAILIFE</t>
        </is>
      </c>
      <c r="D283" s="30" t="inlineStr">
        <is>
          <t>Sai Life Sciences Ltd</t>
        </is>
      </c>
      <c r="E283" s="30" t="inlineStr">
        <is>
          <t>healthcare</t>
        </is>
      </c>
      <c r="F283" s="30" t="inlineStr">
        <is>
          <t>pharmaceuticals - indian - bulk drugs &amp; formln</t>
        </is>
      </c>
      <c r="G283" s="30" t="inlineStr">
        <is>
          <t>largecap</t>
        </is>
      </c>
      <c r="H283" s="31" t="n">
        <v>28981.29</v>
      </c>
      <c r="I283" s="31" t="n">
        <v>1426.2</v>
      </c>
      <c r="J283" s="31" t="n">
        <v>4.47</v>
      </c>
      <c r="K283" s="31" t="n">
        <v>2551039</v>
      </c>
      <c r="L283" s="30" t="n">
        <v>74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76.51000000000001</v>
      </c>
      <c r="P283" s="31" t="n">
        <v>31.06</v>
      </c>
      <c r="Q283" s="31" t="inlineStr"/>
      <c r="R283" s="30" t="inlineStr">
        <is>
          <t>Earnings / Momentum Support</t>
        </is>
      </c>
      <c r="S283" s="30" t="inlineStr">
        <is>
          <t>Nifty Pharma</t>
        </is>
      </c>
      <c r="T283" s="31" t="n">
        <v>24.01</v>
      </c>
      <c r="U283" s="31" t="n">
        <v>64.90000000000001</v>
      </c>
      <c r="V283" s="31" t="n">
        <v>32.97</v>
      </c>
      <c r="W283" s="31" t="n">
        <v>15.77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Yes</t>
        </is>
      </c>
      <c r="AC283" s="30">
        <f>IF(AB283="No",5,0)</f>
        <v/>
      </c>
      <c r="AD283" s="30" t="inlineStr">
        <is>
          <t>Headwind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No</t>
        </is>
      </c>
      <c r="AQ283" s="30">
        <f>IF(AP283="Yes",10,0)</f>
        <v/>
      </c>
      <c r="AR283" s="30" t="inlineStr">
        <is>
          <t>Higher Annuity, Lower One Time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20 to 40</t>
        </is>
      </c>
      <c r="AY283" s="30">
        <f>IF(AX283="Above 40",20,IF(AX283="20 to 40",10,IF(AX283="0 to 20",-5,0)))</f>
        <v/>
      </c>
      <c r="AZ283" s="30" t="inlineStr">
        <is>
          <t>Above 75</t>
        </is>
      </c>
      <c r="BA283" s="30">
        <f>IF(AZ283="Between 50 to 75",10,IF(AZ283="Above 75",0,0))</f>
        <v/>
      </c>
      <c r="BB283" s="30" t="inlineStr">
        <is>
          <t>Stage 3</t>
        </is>
      </c>
      <c r="BC283" s="30">
        <f>IF(BB283="Stage 2",20,IF(BB283="Stage 1",0,IF(BB283="Stage 3",5,IF(BB283="Stage 4",-5,0))))</f>
        <v/>
      </c>
      <c r="BD283" s="30" t="inlineStr">
        <is>
          <t>Negative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Between 12 to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IF(B284=0,"",RANK(B284,$B$2:$B$400,0))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2" t="inlineStr">
        <is>
          <t>MAGADSUGAR</t>
        </is>
      </c>
      <c r="D284" s="32" t="inlineStr">
        <is>
          <t>Magadh Sugar &amp; Energy Ltd</t>
        </is>
      </c>
      <c r="E284" s="30" t="inlineStr">
        <is>
          <t>fmcg</t>
        </is>
      </c>
      <c r="F284" s="30" t="inlineStr">
        <is>
          <t>sugar</t>
        </is>
      </c>
      <c r="G284" s="30" t="inlineStr">
        <is>
          <t>smallcap</t>
        </is>
      </c>
      <c r="H284" s="31" t="n">
        <v>722.6900000000001</v>
      </c>
      <c r="I284" s="31" t="n">
        <v>531.55</v>
      </c>
      <c r="J284" s="31" t="n">
        <v>3.65</v>
      </c>
      <c r="K284" s="31" t="n">
        <v>31126</v>
      </c>
      <c r="L284" s="30" t="n">
        <v>4</v>
      </c>
      <c r="M284" s="30" t="inlineStr">
        <is>
          <t>Underperforming</t>
        </is>
      </c>
      <c r="N284" s="31">
        <f>IF(M284="Underperforming",-5,IF(L284&gt;=95,15,IF(L284&gt;=90,10,IF(L284&gt;=80,5,0))))</f>
        <v/>
      </c>
      <c r="O284" s="31" t="n">
        <v>59.83</v>
      </c>
      <c r="P284" s="31" t="n">
        <v>14.73</v>
      </c>
      <c r="Q284" s="31" t="inlineStr"/>
      <c r="R284" s="30" t="inlineStr">
        <is>
          <t>Earnings / Momentum Support</t>
        </is>
      </c>
      <c r="S284" s="30" t="inlineStr">
        <is>
          <t>Nifty FMCG</t>
        </is>
      </c>
      <c r="T284" s="31" t="n">
        <v>-13.73</v>
      </c>
      <c r="U284" s="31" t="n">
        <v>-19.58</v>
      </c>
      <c r="V284" s="31" t="n">
        <v>-6.78</v>
      </c>
      <c r="W284" s="31" t="n">
        <v>-3.74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Headwind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B2C</t>
        </is>
      </c>
      <c r="AO284" s="30">
        <f>IF(AN284="B2C",10,IF(AN284="B2B",5,0))</f>
        <v/>
      </c>
      <c r="AP284" s="30" t="inlineStr">
        <is>
          <t>No</t>
        </is>
      </c>
      <c r="AQ284" s="30">
        <f>IF(AP284="Yes",10,0)</f>
        <v/>
      </c>
      <c r="AR284" s="30" t="inlineStr">
        <is>
          <t>Higher Annuity, Lower One Time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0 to 20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3</t>
        </is>
      </c>
      <c r="BC284" s="30">
        <f>IF(BB284="Stage 2",20,IF(BB284="Stage 1",0,IF(BB284="Stage 3",5,IF(BB284="Stage 4",-5,0))))</f>
        <v/>
      </c>
      <c r="BD284" s="30" t="inlineStr">
        <is>
          <t>Negative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Between 0.7 to 1.2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IF(B285=0,"",RANK(B285,$B$2:$B$400,0))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2" t="inlineStr">
        <is>
          <t>UGARSUGAR</t>
        </is>
      </c>
      <c r="D285" s="32" t="inlineStr">
        <is>
          <t>The Ugar Sugar Works Limited</t>
        </is>
      </c>
      <c r="E285" s="30" t="inlineStr">
        <is>
          <t>fmcg</t>
        </is>
      </c>
      <c r="F285" s="30" t="inlineStr">
        <is>
          <t>sugar</t>
        </is>
      </c>
      <c r="G285" s="30" t="inlineStr">
        <is>
          <t>smallcap</t>
        </is>
      </c>
      <c r="H285" s="31" t="n">
        <v>506.25</v>
      </c>
      <c r="I285" s="31" t="n">
        <v>46.49</v>
      </c>
      <c r="J285" s="31" t="n">
        <v>3.31</v>
      </c>
      <c r="K285" s="31" t="n">
        <v>897551</v>
      </c>
      <c r="L285" s="30" t="n">
        <v>4</v>
      </c>
      <c r="M285" s="30" t="inlineStr">
        <is>
          <t>Underperforming</t>
        </is>
      </c>
      <c r="N285" s="31">
        <f>IF(M285="Underperforming",-5,IF(L285&gt;=95,15,IF(L285&gt;=90,10,IF(L285&gt;=80,5,0))))</f>
        <v/>
      </c>
      <c r="O285" s="31" t="n">
        <v>64.29000000000001</v>
      </c>
      <c r="P285" s="31" t="n">
        <v>13.43</v>
      </c>
      <c r="Q285" s="31" t="inlineStr"/>
      <c r="R285" s="30" t="inlineStr">
        <is>
          <t>Earnings / Momentum Support</t>
        </is>
      </c>
      <c r="S285" s="30" t="inlineStr">
        <is>
          <t>Nifty FMCG</t>
        </is>
      </c>
      <c r="T285" s="31" t="n">
        <v>-13.73</v>
      </c>
      <c r="U285" s="31" t="n">
        <v>-17.32</v>
      </c>
      <c r="V285" s="31" t="n">
        <v>-4.17</v>
      </c>
      <c r="W285" s="31" t="n">
        <v>-3.8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Headwind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B2C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Annuity, Lower One Time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3</t>
        </is>
      </c>
      <c r="BC285" s="30">
        <f>IF(BB285="Stage 2",20,IF(BB285="Stage 1",0,IF(BB285="Stage 3",5,IF(BB285="Stage 4",-5,0))))</f>
        <v/>
      </c>
      <c r="BD285" s="30" t="inlineStr">
        <is>
          <t>Negative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Less than 1.5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More than 1.2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IF(B286=0,"",RANK(B286,$B$2:$B$400,0))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2" t="inlineStr">
        <is>
          <t>YATHARTH</t>
        </is>
      </c>
      <c r="D286" s="32" t="inlineStr">
        <is>
          <t>Yatharth Hospital &amp; Trauma Care Services Ltd</t>
        </is>
      </c>
      <c r="E286" s="30" t="inlineStr">
        <is>
          <t>healthcare</t>
        </is>
      </c>
      <c r="F286" s="30" t="inlineStr">
        <is>
          <t>healthcare</t>
        </is>
      </c>
      <c r="G286" s="30" t="inlineStr">
        <is>
          <t>midcap</t>
        </is>
      </c>
      <c r="H286" s="31" t="n">
        <v>8387.65</v>
      </c>
      <c r="I286" s="31" t="n">
        <v>898.75</v>
      </c>
      <c r="J286" s="31" t="n">
        <v>3.25</v>
      </c>
      <c r="K286" s="31" t="n">
        <v>1064212</v>
      </c>
      <c r="L286" s="30" t="n">
        <v>40</v>
      </c>
      <c r="M286" s="30" t="inlineStr">
        <is>
          <t>Underperforming</t>
        </is>
      </c>
      <c r="N286" s="31">
        <f>IF(M286="Underperforming",-5,IF(L286&gt;=95,15,IF(L286&gt;=90,10,IF(L286&gt;=80,5,0))))</f>
        <v/>
      </c>
      <c r="O286" s="31" t="n">
        <v>60.65</v>
      </c>
      <c r="P286" s="31" t="n">
        <v>33.77</v>
      </c>
      <c r="Q286" s="31" t="inlineStr"/>
      <c r="R286" s="30" t="inlineStr">
        <is>
          <t>Earnings / Momentum Support</t>
        </is>
      </c>
      <c r="S286" s="30" t="inlineStr">
        <is>
          <t>Nifty Pharma</t>
        </is>
      </c>
      <c r="T286" s="31" t="n">
        <v>24.01</v>
      </c>
      <c r="U286" s="31" t="n">
        <v>23.28</v>
      </c>
      <c r="V286" s="31" t="n">
        <v>-0.59</v>
      </c>
      <c r="W286" s="31" t="n">
        <v>5.82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Yes</t>
        </is>
      </c>
      <c r="AC286" s="30">
        <f>IF(AB286="No",5,0)</f>
        <v/>
      </c>
      <c r="AD286" s="30" t="inlineStr">
        <is>
          <t>Headwind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No</t>
        </is>
      </c>
      <c r="AQ286" s="30">
        <f>IF(AP286="Yes",10,0)</f>
        <v/>
      </c>
      <c r="AR286" s="30" t="inlineStr">
        <is>
          <t>Higher Annuity, Lower One Time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3</t>
        </is>
      </c>
      <c r="BC286" s="30">
        <f>IF(BB286="Stage 2",20,IF(BB286="Stage 1",0,IF(BB286="Stage 3",5,IF(BB286="Stage 4",-5,0))))</f>
        <v/>
      </c>
      <c r="BD286" s="30" t="inlineStr">
        <is>
          <t>Negative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Between 12 to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Between 50% to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IF(B287=0,"",RANK(B287,$B$2:$B$400,0))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ANTHEM</t>
        </is>
      </c>
      <c r="D287" s="32" t="inlineStr">
        <is>
          <t>Anthem Biosciences Ltd</t>
        </is>
      </c>
      <c r="E287" s="30" t="inlineStr">
        <is>
          <t>healthcare</t>
        </is>
      </c>
      <c r="F287" s="30" t="inlineStr">
        <is>
          <t>pharmaceuticals - indian - bulk drugs &amp; formln</t>
        </is>
      </c>
      <c r="G287" s="30" t="inlineStr">
        <is>
          <t>largecap</t>
        </is>
      </c>
      <c r="H287" s="31" t="n">
        <v>47380.66</v>
      </c>
      <c r="I287" s="31" t="n">
        <v>853</v>
      </c>
      <c r="J287" s="31" t="n">
        <v>1.43</v>
      </c>
      <c r="K287" s="31" t="n">
        <v>1250850</v>
      </c>
      <c r="L287" s="30" t="n">
        <v>35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65.40000000000001</v>
      </c>
      <c r="P287" s="31" t="n">
        <v>36.69</v>
      </c>
      <c r="Q287" s="31" t="inlineStr"/>
      <c r="R287" s="30" t="inlineStr">
        <is>
          <t>Earnings / Momentum Support</t>
        </is>
      </c>
      <c r="S287" s="30" t="inlineStr">
        <is>
          <t>Nifty Pharma</t>
        </is>
      </c>
      <c r="T287" s="31" t="n">
        <v>24.01</v>
      </c>
      <c r="U287" s="31" t="n">
        <v>15.57</v>
      </c>
      <c r="V287" s="31" t="n">
        <v>-6.81</v>
      </c>
      <c r="W287" s="31" t="n">
        <v>4.86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Yes</t>
        </is>
      </c>
      <c r="AC287" s="30">
        <f>IF(AB287="No",5,0)</f>
        <v/>
      </c>
      <c r="AD287" s="30" t="inlineStr">
        <is>
          <t>Headwind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Annuity, Lower One Time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3</t>
        </is>
      </c>
      <c r="BC287" s="30">
        <f>IF(BB287="Stage 2",20,IF(BB287="Stage 1",0,IF(BB287="Stage 3",5,IF(BB287="Stage 4",-5,0))))</f>
        <v/>
      </c>
      <c r="BD287" s="30" t="inlineStr">
        <is>
          <t>Negative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IF(B288=0,"",RANK(B288,$B$2:$B$400,0))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2" t="inlineStr">
        <is>
          <t>MEDANTA</t>
        </is>
      </c>
      <c r="D288" s="32" t="inlineStr">
        <is>
          <t>Global Health Ltd</t>
        </is>
      </c>
      <c r="E288" s="30" t="inlineStr">
        <is>
          <t>healthcare</t>
        </is>
      </c>
      <c r="F288" s="30" t="inlineStr">
        <is>
          <t>healthcare</t>
        </is>
      </c>
      <c r="G288" s="30" t="inlineStr">
        <is>
          <t>largecap</t>
        </is>
      </c>
      <c r="H288" s="31" t="n">
        <v>39136.98</v>
      </c>
      <c r="I288" s="31" t="n">
        <v>1476.2</v>
      </c>
      <c r="J288" s="31" t="n">
        <v>1.42</v>
      </c>
      <c r="K288" s="31" t="n">
        <v>306259</v>
      </c>
      <c r="L288" s="30" t="n">
        <v>38</v>
      </c>
      <c r="M288" s="30" t="inlineStr">
        <is>
          <t>Underperforming</t>
        </is>
      </c>
      <c r="N288" s="31">
        <f>IF(M288="Underperforming",-5,IF(L288&gt;=95,15,IF(L288&gt;=90,10,IF(L288&gt;=80,5,0))))</f>
        <v/>
      </c>
      <c r="O288" s="31" t="n">
        <v>71.84999999999999</v>
      </c>
      <c r="P288" s="31" t="n">
        <v>22.46</v>
      </c>
      <c r="Q288" s="31" t="inlineStr"/>
      <c r="R288" s="30" t="inlineStr">
        <is>
          <t>Earnings / Momentum Support</t>
        </is>
      </c>
      <c r="S288" s="30" t="inlineStr">
        <is>
          <t>Nifty Pharma</t>
        </is>
      </c>
      <c r="T288" s="31" t="n">
        <v>24.01</v>
      </c>
      <c r="U288" s="31" t="n">
        <v>2.31</v>
      </c>
      <c r="V288" s="31" t="n">
        <v>-17.5</v>
      </c>
      <c r="W288" s="31" t="n">
        <v>5.36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Yes</t>
        </is>
      </c>
      <c r="AC288" s="30">
        <f>IF(AB288="No",5,0)</f>
        <v/>
      </c>
      <c r="AD288" s="30" t="inlineStr">
        <is>
          <t>Headwind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No</t>
        </is>
      </c>
      <c r="AQ288" s="30">
        <f>IF(AP288="Yes",10,0)</f>
        <v/>
      </c>
      <c r="AR288" s="30" t="inlineStr">
        <is>
          <t>Higher Annuity, Lower One Time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20 to 40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3</t>
        </is>
      </c>
      <c r="BC288" s="30">
        <f>IF(BB288="Stage 2",20,IF(BB288="Stage 1",0,IF(BB288="Stage 3",5,IF(BB288="Stage 4",-5,0))))</f>
        <v/>
      </c>
      <c r="BD288" s="30" t="inlineStr">
        <is>
          <t>Negative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Above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IF(B289=0,"",RANK(B289,$B$2:$B$400,0))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BCLIND</t>
        </is>
      </c>
      <c r="D289" s="32" t="inlineStr">
        <is>
          <t>BCL Industries Ltd</t>
        </is>
      </c>
      <c r="E289" s="30" t="inlineStr">
        <is>
          <t>fmcg</t>
        </is>
      </c>
      <c r="F289" s="30" t="inlineStr">
        <is>
          <t>breweries &amp; distilleries</t>
        </is>
      </c>
      <c r="G289" s="30" t="inlineStr">
        <is>
          <t>smallcap</t>
        </is>
      </c>
      <c r="H289" s="31" t="n">
        <v>1090.92</v>
      </c>
      <c r="I289" s="31" t="n">
        <v>37.34</v>
      </c>
      <c r="J289" s="31" t="n">
        <v>1.03</v>
      </c>
      <c r="K289" s="31" t="n">
        <v>965806</v>
      </c>
      <c r="L289" s="30" t="n">
        <v>10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56.45</v>
      </c>
      <c r="P289" s="31" t="n">
        <v>13.52</v>
      </c>
      <c r="Q289" s="31" t="inlineStr"/>
      <c r="R289" s="30" t="inlineStr">
        <is>
          <t>Earnings / Momentum Support</t>
        </is>
      </c>
      <c r="S289" s="30" t="inlineStr">
        <is>
          <t>Nifty FMCG</t>
        </is>
      </c>
      <c r="T289" s="31" t="n">
        <v>-13.73</v>
      </c>
      <c r="U289" s="31" t="n">
        <v>-17.06</v>
      </c>
      <c r="V289" s="31" t="n">
        <v>-3.86</v>
      </c>
      <c r="W289" s="31" t="n">
        <v>-0.91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Headwind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B2C</t>
        </is>
      </c>
      <c r="AO289" s="30">
        <f>IF(AN289="B2C",10,IF(AN289="B2B",5,0))</f>
        <v/>
      </c>
      <c r="AP289" s="30" t="inlineStr">
        <is>
          <t>No</t>
        </is>
      </c>
      <c r="AQ289" s="30">
        <f>IF(AP289="Yes",10,0)</f>
        <v/>
      </c>
      <c r="AR289" s="30" t="inlineStr">
        <is>
          <t>Higher Annuity, Lower One Time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0 to 20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3</t>
        </is>
      </c>
      <c r="BC289" s="30">
        <f>IF(BB289="Stage 2",20,IF(BB289="Stage 1",0,IF(BB289="Stage 3",5,IF(BB289="Stage 4",-5,0))))</f>
        <v/>
      </c>
      <c r="BD289" s="30" t="inlineStr">
        <is>
          <t>Negative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Less than 12%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IF(B290=0,"",RANK(B290,$B$2:$B$400,0))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2" t="inlineStr">
        <is>
          <t>APLLTD</t>
        </is>
      </c>
      <c r="D290" s="32" t="inlineStr">
        <is>
          <t>Alembic Pharmaceuticals Limited</t>
        </is>
      </c>
      <c r="E290" s="30" t="inlineStr">
        <is>
          <t>healthcare</t>
        </is>
      </c>
      <c r="F290" s="30" t="inlineStr">
        <is>
          <t>pharmaceuticals - indian - bulk drugs &amp; formln</t>
        </is>
      </c>
      <c r="G290" s="30" t="inlineStr">
        <is>
          <t>midcap</t>
        </is>
      </c>
      <c r="H290" s="31" t="n">
        <v>16316.7</v>
      </c>
      <c r="I290" s="31" t="n">
        <v>834</v>
      </c>
      <c r="J290" s="31" t="n">
        <v>0.47</v>
      </c>
      <c r="K290" s="31" t="n">
        <v>83817</v>
      </c>
      <c r="L290" s="30" t="n">
        <v>12</v>
      </c>
      <c r="M290" s="30" t="inlineStr">
        <is>
          <t>Underperforming</t>
        </is>
      </c>
      <c r="N290" s="31">
        <f>IF(M290="Underperforming",-5,IF(L290&gt;=95,15,IF(L290&gt;=90,10,IF(L290&gt;=80,5,0))))</f>
        <v/>
      </c>
      <c r="O290" s="31" t="n">
        <v>59.35</v>
      </c>
      <c r="P290" s="31" t="n">
        <v>14.21</v>
      </c>
      <c r="Q290" s="31" t="inlineStr"/>
      <c r="R290" s="30" t="inlineStr">
        <is>
          <t>Earnings / Momentum Support</t>
        </is>
      </c>
      <c r="S290" s="30" t="inlineStr">
        <is>
          <t>Nifty Pharma</t>
        </is>
      </c>
      <c r="T290" s="31" t="n">
        <v>24.01</v>
      </c>
      <c r="U290" s="31" t="n">
        <v>-10.01</v>
      </c>
      <c r="V290" s="31" t="n">
        <v>-27.44</v>
      </c>
      <c r="W290" s="31" t="n">
        <v>-0.45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Yes</t>
        </is>
      </c>
      <c r="AC290" s="30">
        <f>IF(AB290="No",5,0)</f>
        <v/>
      </c>
      <c r="AD290" s="30" t="inlineStr">
        <is>
          <t>Headwind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Annuity, Lower One Time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3</t>
        </is>
      </c>
      <c r="BC290" s="30">
        <f>IF(BB290="Stage 2",20,IF(BB290="Stage 1",0,IF(BB290="Stage 3",5,IF(BB290="Stage 4",-5,0))))</f>
        <v/>
      </c>
      <c r="BD290" s="30" t="inlineStr">
        <is>
          <t>Negative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Between 12 to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Between 1.5 to 2</t>
        </is>
      </c>
      <c r="BU290" s="30">
        <f>IF(BT290="Above 2",0,IF(BT290="Between 1.5 to 2",5,IF(BT290="Less than 1.5",10,0)))</f>
        <v/>
      </c>
      <c r="BV290" s="30" t="inlineStr">
        <is>
          <t>Above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IF(B291=0,"",RANK(B291,$B$2:$B$400,0))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2" t="inlineStr">
        <is>
          <t>TARSONS</t>
        </is>
      </c>
      <c r="D291" s="32" t="inlineStr">
        <is>
          <t>Tarsons Products Ltd</t>
        </is>
      </c>
      <c r="E291" s="30" t="inlineStr">
        <is>
          <t>healthcare</t>
        </is>
      </c>
      <c r="F291" s="30" t="inlineStr">
        <is>
          <t>miscellaneous</t>
        </is>
      </c>
      <c r="G291" s="30" t="inlineStr">
        <is>
          <t>smallcap</t>
        </is>
      </c>
      <c r="H291" s="31" t="n">
        <v>1661.63</v>
      </c>
      <c r="I291" s="31" t="n">
        <v>313.5</v>
      </c>
      <c r="J291" s="31" t="n">
        <v>0.38</v>
      </c>
      <c r="K291" s="31" t="n">
        <v>242083</v>
      </c>
      <c r="L291" s="30" t="n">
        <v>46</v>
      </c>
      <c r="M291" s="30" t="inlineStr">
        <is>
          <t>Underperforming</t>
        </is>
      </c>
      <c r="N291" s="31">
        <f>IF(M291="Underperforming",-5,IF(L291&gt;=95,15,IF(L291&gt;=90,10,IF(L291&gt;=80,5,0))))</f>
        <v/>
      </c>
      <c r="O291" s="31" t="n">
        <v>67.88</v>
      </c>
      <c r="P291" s="31" t="n">
        <v>35.54</v>
      </c>
      <c r="Q291" s="31" t="inlineStr"/>
      <c r="R291" s="30" t="inlineStr">
        <is>
          <t>Earnings / Momentum Support</t>
        </is>
      </c>
      <c r="S291" s="30" t="inlineStr">
        <is>
          <t>Nifty Pharma</t>
        </is>
      </c>
      <c r="T291" s="31" t="n">
        <v>24.01</v>
      </c>
      <c r="U291" s="31" t="n">
        <v>-12.42</v>
      </c>
      <c r="V291" s="31" t="n">
        <v>-29.38</v>
      </c>
      <c r="W291" s="31" t="n">
        <v>7.01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Yes</t>
        </is>
      </c>
      <c r="AC291" s="30">
        <f>IF(AB291="No",5,0)</f>
        <v/>
      </c>
      <c r="AD291" s="30" t="inlineStr">
        <is>
          <t>Headwind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No</t>
        </is>
      </c>
      <c r="AQ291" s="30">
        <f>IF(AP291="Yes",10,0)</f>
        <v/>
      </c>
      <c r="AR291" s="30" t="inlineStr">
        <is>
          <t>Higher Annuity, Lower One Time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20 to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3</t>
        </is>
      </c>
      <c r="BC291" s="30">
        <f>IF(BB291="Stage 2",20,IF(BB291="Stage 1",0,IF(BB291="Stage 3",5,IF(BB291="Stage 4",-5,0))))</f>
        <v/>
      </c>
      <c r="BD291" s="30" t="inlineStr">
        <is>
          <t>Negative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Less than 12%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Yes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IF(B292=0,"",RANK(B292,$B$2:$B$400,0))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PERSISTENT</t>
        </is>
      </c>
      <c r="D292" s="30" t="inlineStr">
        <is>
          <t>Persistent Systems Limited</t>
        </is>
      </c>
      <c r="E292" s="30" t="inlineStr">
        <is>
          <t>i.t</t>
        </is>
      </c>
      <c r="F292" s="30" t="inlineStr">
        <is>
          <t>computers - software - large</t>
        </is>
      </c>
      <c r="G292" s="30" t="inlineStr">
        <is>
          <t>largecap</t>
        </is>
      </c>
      <c r="H292" s="31" t="n">
        <v>86368.13</v>
      </c>
      <c r="I292" s="31" t="n">
        <v>5474</v>
      </c>
      <c r="J292" s="31" t="n">
        <v>-0.02</v>
      </c>
      <c r="K292" s="31" t="n">
        <v>830642</v>
      </c>
      <c r="L292" s="30" t="n">
        <v>29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56.01</v>
      </c>
      <c r="P292" s="31" t="n">
        <v>9.58</v>
      </c>
      <c r="Q292" s="31" t="inlineStr"/>
      <c r="R292" s="30" t="inlineStr">
        <is>
          <t>Earnings / Momentum Support</t>
        </is>
      </c>
      <c r="S292" s="30" t="inlineStr">
        <is>
          <t>Nifty IT</t>
        </is>
      </c>
      <c r="T292" s="31" t="n">
        <v>-8.289999999999999</v>
      </c>
      <c r="U292" s="31" t="n">
        <v>8</v>
      </c>
      <c r="V292" s="31" t="n">
        <v>17.75</v>
      </c>
      <c r="W292" s="31" t="n">
        <v>3.42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Headwind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Annuity, Lower One Time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3</t>
        </is>
      </c>
      <c r="BC292" s="30">
        <f>IF(BB292="Stage 2",20,IF(BB292="Stage 1",0,IF(BB292="Stage 3",5,IF(BB292="Stage 4",-5,0))))</f>
        <v/>
      </c>
      <c r="BD292" s="30" t="inlineStr">
        <is>
          <t>Negative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Between 12 to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Yes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IF(B293=0,"",RANK(B293,$B$2:$B$400,0))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ONEPOINT</t>
        </is>
      </c>
      <c r="D293" s="30" t="inlineStr">
        <is>
          <t>One Point One Solutions Ltd</t>
        </is>
      </c>
      <c r="E293" s="30" t="inlineStr">
        <is>
          <t>i.t</t>
        </is>
      </c>
      <c r="F293" s="30" t="inlineStr">
        <is>
          <t>computers - software - medium / small</t>
        </is>
      </c>
      <c r="G293" s="30" t="inlineStr">
        <is>
          <t>smallcap</t>
        </is>
      </c>
      <c r="H293" s="31" t="n">
        <v>1586.3</v>
      </c>
      <c r="I293" s="31" t="n">
        <v>58.81</v>
      </c>
      <c r="J293" s="31" t="n">
        <v>-2.52</v>
      </c>
      <c r="K293" s="31" t="n">
        <v>1796065</v>
      </c>
      <c r="L293" s="30" t="n">
        <v>38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59.31</v>
      </c>
      <c r="P293" s="31" t="n">
        <v>18.63</v>
      </c>
      <c r="Q293" s="31" t="inlineStr"/>
      <c r="R293" s="30" t="inlineStr">
        <is>
          <t>Earnings / Momentum Support</t>
        </is>
      </c>
      <c r="S293" s="30" t="inlineStr">
        <is>
          <t>Nifty IT</t>
        </is>
      </c>
      <c r="T293" s="31" t="n">
        <v>-8.289999999999999</v>
      </c>
      <c r="U293" s="31" t="n">
        <v>29.41</v>
      </c>
      <c r="V293" s="31" t="n">
        <v>41.1</v>
      </c>
      <c r="W293" s="31" t="n">
        <v>5.52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Headwind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No</t>
        </is>
      </c>
      <c r="AQ293" s="30">
        <f>IF(AP293="Yes",10,0)</f>
        <v/>
      </c>
      <c r="AR293" s="30" t="inlineStr">
        <is>
          <t>Higher Annuity, Lower One Time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3</t>
        </is>
      </c>
      <c r="BC293" s="30">
        <f>IF(BB293="Stage 2",20,IF(BB293="Stage 1",0,IF(BB293="Stage 3",5,IF(BB293="Stage 4",-5,0))))</f>
        <v/>
      </c>
      <c r="BD293" s="30" t="inlineStr">
        <is>
          <t>Negative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Between 12 to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Yes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IF(B294=0,"",RANK(B294,$B$2:$B$400,0))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DMCC</t>
        </is>
      </c>
      <c r="D294" s="32" t="inlineStr">
        <is>
          <t>DMCC Speciality Chemicals Ltd</t>
        </is>
      </c>
      <c r="E294" s="30" t="inlineStr">
        <is>
          <t>chemicals</t>
        </is>
      </c>
      <c r="F294" s="30" t="inlineStr">
        <is>
          <t>chemicals</t>
        </is>
      </c>
      <c r="G294" s="30" t="inlineStr">
        <is>
          <t>smallcap</t>
        </is>
      </c>
      <c r="H294" s="31" t="n">
        <v>692.46</v>
      </c>
      <c r="I294" s="31" t="n">
        <v>313.1</v>
      </c>
      <c r="J294" s="31" t="n">
        <v>12.77</v>
      </c>
      <c r="K294" s="31" t="n">
        <v>1241573</v>
      </c>
      <c r="L294" s="30" t="n">
        <v>3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54.76</v>
      </c>
      <c r="P294" s="31" t="n">
        <v>24.15</v>
      </c>
      <c r="Q294" s="31" t="inlineStr"/>
      <c r="R294" s="30" t="inlineStr">
        <is>
          <t>Volume Spike / Accumulation</t>
        </is>
      </c>
      <c r="S294" s="30" t="inlineStr">
        <is>
          <t>Nifty 50</t>
        </is>
      </c>
      <c r="T294" s="31" t="n">
        <v>0.85</v>
      </c>
      <c r="U294" s="31" t="n">
        <v>-16.83</v>
      </c>
      <c r="V294" s="31" t="n">
        <v>-17.54</v>
      </c>
      <c r="W294" s="31" t="n">
        <v>-3.99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Headwind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20 to 40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3</t>
        </is>
      </c>
      <c r="BC294" s="30">
        <f>IF(BB294="Stage 2",20,IF(BB294="Stage 1",0,IF(BB294="Stage 3",5,IF(BB294="Stage 4",-5,0))))</f>
        <v/>
      </c>
      <c r="BD294" s="30" t="inlineStr">
        <is>
          <t>Negative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No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Negative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IF(B295=0,"",RANK(B295,$B$2:$B$400,0))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SKYGOLD</t>
        </is>
      </c>
      <c r="D295" s="30" t="inlineStr">
        <is>
          <t>Sky Gold Ltd</t>
        </is>
      </c>
      <c r="E295" s="30" t="inlineStr">
        <is>
          <t>consumer discretionary</t>
        </is>
      </c>
      <c r="F295" s="30" t="inlineStr">
        <is>
          <t>diamond cutting / jewellery</t>
        </is>
      </c>
      <c r="G295" s="30" t="inlineStr">
        <is>
          <t>midcap</t>
        </is>
      </c>
      <c r="H295" s="31" t="n">
        <v>11141.63</v>
      </c>
      <c r="I295" s="31" t="n">
        <v>779.6</v>
      </c>
      <c r="J295" s="31" t="n">
        <v>8.369999999999999</v>
      </c>
      <c r="K295" s="31" t="n">
        <v>8041846</v>
      </c>
      <c r="L295" s="30" t="n">
        <v>93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77.44</v>
      </c>
      <c r="P295" s="31" t="n">
        <v>60.63</v>
      </c>
      <c r="Q295" s="31" t="inlineStr"/>
      <c r="R295" s="30" t="inlineStr">
        <is>
          <t>Earnings / Momentum Support</t>
        </is>
      </c>
      <c r="S295" s="30" t="inlineStr">
        <is>
          <t>Nifty 50</t>
        </is>
      </c>
      <c r="T295" s="31" t="n">
        <v>0.85</v>
      </c>
      <c r="U295" s="31" t="n">
        <v>160.94</v>
      </c>
      <c r="V295" s="31" t="n">
        <v>158.73</v>
      </c>
      <c r="W295" s="31" t="n">
        <v>30.7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Headwind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Above 40</t>
        </is>
      </c>
      <c r="AY295" s="30">
        <f>IF(AX295="Above 40",20,IF(AX295="20 to 40",10,IF(AX295="0 to 20",-5,0)))</f>
        <v/>
      </c>
      <c r="AZ295" s="30" t="inlineStr">
        <is>
          <t>Above 75</t>
        </is>
      </c>
      <c r="BA295" s="30">
        <f>IF(AZ295="Between 50 to 75",10,IF(AZ295="Above 75",0,0))</f>
        <v/>
      </c>
      <c r="BB295" s="30" t="inlineStr">
        <is>
          <t>Stage 3</t>
        </is>
      </c>
      <c r="BC295" s="30">
        <f>IF(BB295="Stage 2",20,IF(BB295="Stage 1",0,IF(BB295="Stage 3",5,IF(BB295="Stage 4",-5,0))))</f>
        <v/>
      </c>
      <c r="BD295" s="30" t="inlineStr">
        <is>
          <t>Negative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Yes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Negative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Between 0.7 to 1.2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IF(B296=0,"",RANK(B296,$B$2:$B$400,0))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MARINE</t>
        </is>
      </c>
      <c r="D296" s="30" t="inlineStr">
        <is>
          <t>Marine Electricals (India) Ltd</t>
        </is>
      </c>
      <c r="E296" s="30" t="inlineStr">
        <is>
          <t>industrials</t>
        </is>
      </c>
      <c r="F296" s="30" t="inlineStr">
        <is>
          <t>electric equipment</t>
        </is>
      </c>
      <c r="G296" s="30" t="inlineStr">
        <is>
          <t>smallcap</t>
        </is>
      </c>
      <c r="H296" s="31" t="n">
        <v>4714.73</v>
      </c>
      <c r="I296" s="31" t="n">
        <v>355.15</v>
      </c>
      <c r="J296" s="31" t="n">
        <v>5.42</v>
      </c>
      <c r="K296" s="31" t="n">
        <v>1868563</v>
      </c>
      <c r="L296" s="30" t="n">
        <v>88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71.8</v>
      </c>
      <c r="P296" s="31" t="n">
        <v>33.32</v>
      </c>
      <c r="Q296" s="31" t="inlineStr"/>
      <c r="R296" s="30" t="inlineStr">
        <is>
          <t>Earnings / Momentum Support</t>
        </is>
      </c>
      <c r="S296" s="30" t="inlineStr">
        <is>
          <t>Nifty 50</t>
        </is>
      </c>
      <c r="T296" s="31" t="n">
        <v>0.85</v>
      </c>
      <c r="U296" s="31" t="n">
        <v>95.8</v>
      </c>
      <c r="V296" s="31" t="n">
        <v>94.15000000000001</v>
      </c>
      <c r="W296" s="31" t="n">
        <v>24.51</v>
      </c>
      <c r="X296" s="30" t="inlineStr">
        <is>
          <t>Cyclical in an Upturn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Headwind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3</t>
        </is>
      </c>
      <c r="BC296" s="30">
        <f>IF(BB296="Stage 2",20,IF(BB296="Stage 1",0,IF(BB296="Stage 3",5,IF(BB296="Stage 4",-5,0))))</f>
        <v/>
      </c>
      <c r="BD296" s="30" t="inlineStr">
        <is>
          <t>Negative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Yes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Negative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IF(B297=0,"",RANK(B297,$B$2:$B$400,0))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QPOWER</t>
        </is>
      </c>
      <c r="D297" s="30" t="inlineStr">
        <is>
          <t>Quality Power Electrical Equipments Ltd</t>
        </is>
      </c>
      <c r="E297" s="30" t="inlineStr">
        <is>
          <t>industrials</t>
        </is>
      </c>
      <c r="F297" s="30" t="inlineStr">
        <is>
          <t>electric equipment</t>
        </is>
      </c>
      <c r="G297" s="30" t="inlineStr">
        <is>
          <t>midcap</t>
        </is>
      </c>
      <c r="H297" s="31" t="n">
        <v>8705.49</v>
      </c>
      <c r="I297" s="31" t="n">
        <v>1180.3</v>
      </c>
      <c r="J297" s="31" t="n">
        <v>5</v>
      </c>
      <c r="K297" s="31" t="n">
        <v>156102</v>
      </c>
      <c r="L297" s="30" t="n">
        <v>52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52.83</v>
      </c>
      <c r="P297" s="31" t="n">
        <v>12.77</v>
      </c>
      <c r="Q297" s="31" t="inlineStr"/>
      <c r="R297" s="30" t="inlineStr">
        <is>
          <t>Earnings / Momentum Support</t>
        </is>
      </c>
      <c r="S297" s="30" t="inlineStr">
        <is>
          <t>Nifty 50</t>
        </is>
      </c>
      <c r="T297" s="31" t="n">
        <v>0.85</v>
      </c>
      <c r="U297" s="31" t="n">
        <v>45.99</v>
      </c>
      <c r="V297" s="31" t="n">
        <v>44.76</v>
      </c>
      <c r="W297" s="31" t="n">
        <v>8.51</v>
      </c>
      <c r="X297" s="30" t="inlineStr">
        <is>
          <t>Cyclical in an Upturn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Headwind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No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0 to 20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3</t>
        </is>
      </c>
      <c r="BC297" s="30">
        <f>IF(BB297="Stage 2",20,IF(BB297="Stage 1",0,IF(BB297="Stage 3",5,IF(BB297="Stage 4",-5,0))))</f>
        <v/>
      </c>
      <c r="BD297" s="30" t="inlineStr">
        <is>
          <t>Negative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Yes</t>
        </is>
      </c>
      <c r="BS297" s="30">
        <f>IF(BR297="NO",5,0)</f>
        <v/>
      </c>
      <c r="BT297" s="30" t="inlineStr">
        <is>
          <t>Less than 1.5</t>
        </is>
      </c>
      <c r="BU297" s="30">
        <f>IF(BT297="Above 2",0,IF(BT297="Between 1.5 to 2",5,IF(BT297="Less than 1.5",10,0)))</f>
        <v/>
      </c>
      <c r="BV297" s="30" t="inlineStr">
        <is>
          <t>Less than 50%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IF(B298=0,"",RANK(B298,$B$2:$B$400,0))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LANDMARK</t>
        </is>
      </c>
      <c r="D298" s="30" t="inlineStr">
        <is>
          <t>Landmark Cars Ltd</t>
        </is>
      </c>
      <c r="E298" s="30" t="inlineStr">
        <is>
          <t>consumer discretionary</t>
        </is>
      </c>
      <c r="F298" s="30" t="inlineStr">
        <is>
          <t>trading</t>
        </is>
      </c>
      <c r="G298" s="30" t="inlineStr">
        <is>
          <t>smallcap</t>
        </is>
      </c>
      <c r="H298" s="31" t="n">
        <v>2218.58</v>
      </c>
      <c r="I298" s="31" t="n">
        <v>561.35</v>
      </c>
      <c r="J298" s="31" t="n">
        <v>4.92</v>
      </c>
      <c r="K298" s="31" t="n">
        <v>315817</v>
      </c>
      <c r="L298" s="30" t="n">
        <v>62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64.73999999999999</v>
      </c>
      <c r="P298" s="31" t="n">
        <v>22.78</v>
      </c>
      <c r="Q298" s="31" t="inlineStr"/>
      <c r="R298" s="30" t="inlineStr">
        <is>
          <t>Earnings / Momentum Support</t>
        </is>
      </c>
      <c r="S298" s="30" t="inlineStr">
        <is>
          <t>Nifty 50</t>
        </is>
      </c>
      <c r="T298" s="31" t="n">
        <v>0.85</v>
      </c>
      <c r="U298" s="31" t="n">
        <v>9.199999999999999</v>
      </c>
      <c r="V298" s="31" t="n">
        <v>8.279999999999999</v>
      </c>
      <c r="W298" s="31" t="n">
        <v>11.28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Headwind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3</t>
        </is>
      </c>
      <c r="BC298" s="30">
        <f>IF(BB298="Stage 2",20,IF(BB298="Stage 1",0,IF(BB298="Stage 3",5,IF(BB298="Stage 4",-5,0))))</f>
        <v/>
      </c>
      <c r="BD298" s="30" t="inlineStr">
        <is>
          <t>Negative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More than 1.2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IF(B299=0,"",RANK(B299,$B$2:$B$400,0))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MBAPL</t>
        </is>
      </c>
      <c r="D299" s="30" t="inlineStr">
        <is>
          <t>Madhya Bharat Agro Products Ltd</t>
        </is>
      </c>
      <c r="E299" s="30" t="inlineStr">
        <is>
          <t>chemicals</t>
        </is>
      </c>
      <c r="F299" s="30" t="inlineStr">
        <is>
          <t>fertilizers</t>
        </is>
      </c>
      <c r="G299" s="30" t="inlineStr">
        <is>
          <t>smallcap</t>
        </is>
      </c>
      <c r="H299" s="31" t="n">
        <v>1385.29</v>
      </c>
      <c r="I299" s="31" t="n">
        <v>164.44</v>
      </c>
      <c r="J299" s="31" t="n">
        <v>4.02</v>
      </c>
      <c r="K299" s="31" t="n">
        <v>622911</v>
      </c>
      <c r="L299" s="30" t="n">
        <v>85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84.18000000000001</v>
      </c>
      <c r="P299" s="31" t="n">
        <v>65.65000000000001</v>
      </c>
      <c r="Q299" s="31" t="inlineStr"/>
      <c r="R299" s="30" t="inlineStr">
        <is>
          <t>Earnings / Momentum Support</t>
        </is>
      </c>
      <c r="S299" s="30" t="inlineStr">
        <is>
          <t>Nifty 50</t>
        </is>
      </c>
      <c r="T299" s="31" t="n">
        <v>0.85</v>
      </c>
      <c r="U299" s="31" t="n">
        <v>87.52</v>
      </c>
      <c r="V299" s="31" t="n">
        <v>85.93000000000001</v>
      </c>
      <c r="W299" s="31" t="n">
        <v>22.07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Headwind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Above 40</t>
        </is>
      </c>
      <c r="AY299" s="30">
        <f>IF(AX299="Above 40",20,IF(AX299="20 to 40",10,IF(AX299="0 to 20",-5,0)))</f>
        <v/>
      </c>
      <c r="AZ299" s="30" t="inlineStr">
        <is>
          <t>Above 75</t>
        </is>
      </c>
      <c r="BA299" s="30">
        <f>IF(AZ299="Between 50 to 75",10,IF(AZ299="Above 75",0,0))</f>
        <v/>
      </c>
      <c r="BB299" s="30" t="inlineStr">
        <is>
          <t>Stage 3</t>
        </is>
      </c>
      <c r="BC299" s="30">
        <f>IF(BB299="Stage 2",20,IF(BB299="Stage 1",0,IF(BB299="Stage 3",5,IF(BB299="Stage 4",-5,0))))</f>
        <v/>
      </c>
      <c r="BD299" s="30" t="inlineStr">
        <is>
          <t>Negative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Between 12 to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Yes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More than 1.2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IF(B300=0,"",RANK(B300,$B$2:$B$400,0))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2" t="inlineStr">
        <is>
          <t>ASKAUTOLTD</t>
        </is>
      </c>
      <c r="D300" s="32" t="inlineStr">
        <is>
          <t>ASK Automotive Ltd</t>
        </is>
      </c>
      <c r="E300" s="30" t="inlineStr">
        <is>
          <t>auto</t>
        </is>
      </c>
      <c r="F300" s="30" t="inlineStr">
        <is>
          <t>auto ancillaries</t>
        </is>
      </c>
      <c r="G300" s="30" t="inlineStr">
        <is>
          <t>midcap</t>
        </is>
      </c>
      <c r="H300" s="31" t="n">
        <v>12517.57</v>
      </c>
      <c r="I300" s="31" t="n">
        <v>655.6</v>
      </c>
      <c r="J300" s="31" t="n">
        <v>3.25</v>
      </c>
      <c r="K300" s="31" t="n">
        <v>1159253</v>
      </c>
      <c r="L300" s="30" t="n">
        <v>16</v>
      </c>
      <c r="M300" s="30" t="inlineStr">
        <is>
          <t>Underperforming</t>
        </is>
      </c>
      <c r="N300" s="31">
        <f>IF(M300="Underperforming",-5,IF(L300&gt;=95,15,IF(L300&gt;=90,10,IF(L300&gt;=80,5,0))))</f>
        <v/>
      </c>
      <c r="O300" s="31" t="n">
        <v>79.51000000000001</v>
      </c>
      <c r="P300" s="31" t="n">
        <v>19.56</v>
      </c>
      <c r="Q300" s="31" t="inlineStr"/>
      <c r="R300" s="30" t="inlineStr">
        <is>
          <t>Earnings / Momentum Support</t>
        </is>
      </c>
      <c r="S300" s="30" t="inlineStr">
        <is>
          <t>Nifty Auto</t>
        </is>
      </c>
      <c r="T300" s="31" t="n">
        <v>13.41</v>
      </c>
      <c r="U300" s="31" t="n">
        <v>-8.220000000000001</v>
      </c>
      <c r="V300" s="31" t="n">
        <v>-19.08</v>
      </c>
      <c r="W300" s="31" t="n">
        <v>0.58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Headwind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No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0 to 20</t>
        </is>
      </c>
      <c r="AY300" s="30">
        <f>IF(AX300="Above 40",20,IF(AX300="20 to 40",10,IF(AX300="0 to 20",-5,0)))</f>
        <v/>
      </c>
      <c r="AZ300" s="30" t="inlineStr">
        <is>
          <t>Above 75</t>
        </is>
      </c>
      <c r="BA300" s="30">
        <f>IF(AZ300="Between 50 to 75",10,IF(AZ300="Above 75",0,0))</f>
        <v/>
      </c>
      <c r="BB300" s="30" t="inlineStr">
        <is>
          <t>Stage 3</t>
        </is>
      </c>
      <c r="BC300" s="30">
        <f>IF(BB300="Stage 2",20,IF(BB300="Stage 1",0,IF(BB300="Stage 3",5,IF(BB300="Stage 4",-5,0))))</f>
        <v/>
      </c>
      <c r="BD300" s="30" t="inlineStr">
        <is>
          <t>Negative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Less than 1.5</t>
        </is>
      </c>
      <c r="BU300" s="30">
        <f>IF(BT300="Above 2",0,IF(BT300="Between 1.5 to 2",5,IF(BT300="Less than 1.5",10,0)))</f>
        <v/>
      </c>
      <c r="BV300" s="30" t="inlineStr">
        <is>
          <t>Above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IF(B301=0,"",RANK(B301,$B$2:$B$400,0))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MAZDOCK</t>
        </is>
      </c>
      <c r="D301" s="32" t="inlineStr">
        <is>
          <t>Mazagon Dock Shipbuilders Ltd</t>
        </is>
      </c>
      <c r="E301" s="30" t="inlineStr">
        <is>
          <t>aerospace &amp; defence</t>
        </is>
      </c>
      <c r="F301" s="30" t="inlineStr">
        <is>
          <t>miscellaneous</t>
        </is>
      </c>
      <c r="G301" s="30" t="inlineStr">
        <is>
          <t>largecap</t>
        </is>
      </c>
      <c r="H301" s="31" t="n">
        <v>101446.04</v>
      </c>
      <c r="I301" s="31" t="n">
        <v>2575</v>
      </c>
      <c r="J301" s="31" t="n">
        <v>2.39</v>
      </c>
      <c r="K301" s="31" t="n">
        <v>2917367</v>
      </c>
      <c r="L301" s="30" t="n">
        <v>8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52.07</v>
      </c>
      <c r="P301" s="31" t="n">
        <v>7.25</v>
      </c>
      <c r="Q301" s="31" t="inlineStr"/>
      <c r="R301" s="30" t="inlineStr">
        <is>
          <t>Earnings / Momentum Support</t>
        </is>
      </c>
      <c r="S301" s="30" t="inlineStr">
        <is>
          <t>Nifty 50</t>
        </is>
      </c>
      <c r="T301" s="31" t="n">
        <v>0.85</v>
      </c>
      <c r="U301" s="31" t="n">
        <v>-4.03</v>
      </c>
      <c r="V301" s="31" t="n">
        <v>-4.84</v>
      </c>
      <c r="W301" s="31" t="n">
        <v>-1.64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Headwind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0 to 20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4</t>
        </is>
      </c>
      <c r="BC301" s="30">
        <f>IF(BB301="Stage 2",20,IF(BB301="Stage 1",0,IF(BB301="Stage 3",5,IF(BB301="Stage 4",-5,0))))</f>
        <v/>
      </c>
      <c r="BD301" s="30" t="inlineStr">
        <is>
          <t>Negative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No</t>
        </is>
      </c>
      <c r="BS301" s="30">
        <f>IF(BR301="NO",5,0)</f>
        <v/>
      </c>
      <c r="BT301" s="30" t="inlineStr">
        <is>
          <t>Between 1.5 to 2</t>
        </is>
      </c>
      <c r="BU301" s="30">
        <f>IF(BT301="Above 2",0,IF(BT301="Between 1.5 to 2",5,IF(BT301="Less than 1.5",10,0)))</f>
        <v/>
      </c>
      <c r="BV301" s="30" t="inlineStr">
        <is>
          <t>Above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IF(B302=0,"",RANK(B302,$B$2:$B$400,0))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HEROMOTOCO</t>
        </is>
      </c>
      <c r="D302" s="30" t="inlineStr">
        <is>
          <t>Hero Motocorp Limited</t>
        </is>
      </c>
      <c r="E302" s="30" t="inlineStr">
        <is>
          <t>auto</t>
        </is>
      </c>
      <c r="F302" s="30" t="inlineStr">
        <is>
          <t>automobiles - motorcycles / mopeds</t>
        </is>
      </c>
      <c r="G302" s="30" t="inlineStr">
        <is>
          <t>largecap</t>
        </is>
      </c>
      <c r="H302" s="31" t="n">
        <v>114553.21</v>
      </c>
      <c r="I302" s="31" t="n">
        <v>5860</v>
      </c>
      <c r="J302" s="31" t="n">
        <v>2.36</v>
      </c>
      <c r="K302" s="31" t="n">
        <v>1948405</v>
      </c>
      <c r="L302" s="30" t="n">
        <v>24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64.42</v>
      </c>
      <c r="P302" s="31" t="n">
        <v>11.19</v>
      </c>
      <c r="Q302" s="31" t="inlineStr"/>
      <c r="R302" s="30" t="inlineStr">
        <is>
          <t>Earnings / Momentum Support</t>
        </is>
      </c>
      <c r="S302" s="30" t="inlineStr">
        <is>
          <t>Nifty Auto</t>
        </is>
      </c>
      <c r="T302" s="31" t="n">
        <v>13.41</v>
      </c>
      <c r="U302" s="31" t="n">
        <v>15.57</v>
      </c>
      <c r="V302" s="31" t="n">
        <v>1.9</v>
      </c>
      <c r="W302" s="31" t="n">
        <v>2.45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Headwind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No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0 to 20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3</t>
        </is>
      </c>
      <c r="BC302" s="30">
        <f>IF(BB302="Stage 2",20,IF(BB302="Stage 1",0,IF(BB302="Stage 3",5,IF(BB302="Stage 4",-5,0))))</f>
        <v/>
      </c>
      <c r="BD302" s="30" t="inlineStr">
        <is>
          <t>Negative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Less than 12%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IF(B303=0,"",RANK(B303,$B$2:$B$400,0))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0" t="inlineStr">
        <is>
          <t>GAEL</t>
        </is>
      </c>
      <c r="D303" s="30" t="inlineStr">
        <is>
          <t>Gujarat Ambuja Exports Limited</t>
        </is>
      </c>
      <c r="E303" s="30" t="inlineStr">
        <is>
          <t>fmcg</t>
        </is>
      </c>
      <c r="F303" s="30" t="inlineStr">
        <is>
          <t>miscellaneous</t>
        </is>
      </c>
      <c r="G303" s="30" t="inlineStr">
        <is>
          <t>midcap</t>
        </is>
      </c>
      <c r="H303" s="31" t="n">
        <v>7761.62</v>
      </c>
      <c r="I303" s="31" t="n">
        <v>172.85</v>
      </c>
      <c r="J303" s="31" t="n">
        <v>2.15</v>
      </c>
      <c r="K303" s="31" t="n">
        <v>898252</v>
      </c>
      <c r="L303" s="30" t="n">
        <v>40</v>
      </c>
      <c r="M303" s="30" t="inlineStr">
        <is>
          <t>Outperforming</t>
        </is>
      </c>
      <c r="N303" s="31">
        <f>IF(M303="Underperforming",-5,IF(L303&gt;=95,15,IF(L303&gt;=90,10,IF(L303&gt;=80,5,0))))</f>
        <v/>
      </c>
      <c r="O303" s="31" t="n">
        <v>61.68</v>
      </c>
      <c r="P303" s="31" t="n">
        <v>36.81</v>
      </c>
      <c r="Q303" s="31" t="inlineStr"/>
      <c r="R303" s="30" t="inlineStr">
        <is>
          <t>Earnings / Momentum Support</t>
        </is>
      </c>
      <c r="S303" s="30" t="inlineStr">
        <is>
          <t>Nifty FMCG</t>
        </is>
      </c>
      <c r="T303" s="31" t="n">
        <v>-13.73</v>
      </c>
      <c r="U303" s="31" t="n">
        <v>30.8</v>
      </c>
      <c r="V303" s="31" t="n">
        <v>51.62</v>
      </c>
      <c r="W303" s="31" t="n">
        <v>5.8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Oligopoly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Shallow Cyclical (2 to 3 Years Growth)</t>
        </is>
      </c>
      <c r="AG303" s="30">
        <f>IF(AF303="Structural (10 Years Consistency)",10,IF(AF303="Shallow Cyclical (2 to 3 years growth)",5,0))</f>
        <v/>
      </c>
      <c r="AH303" s="30" t="inlineStr">
        <is>
          <t>Yes due to Product Mix change or Operating Leverage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Volatile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Yes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Allocated capital in Non-core Areas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Above 40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3</t>
        </is>
      </c>
      <c r="BC303" s="30">
        <f>IF(BB303="Stage 2",20,IF(BB303="Stage 1",0,IF(BB303="Stage 3",5,IF(BB303="Stage 4",-5,0))))</f>
        <v/>
      </c>
      <c r="BD303" s="30" t="inlineStr">
        <is>
          <t>Negative Trend</t>
        </is>
      </c>
      <c r="BE303" s="30">
        <f>IF(BD303="Positive Trend",20,IF(BD303="Negative Trend",-10,0))</f>
        <v/>
      </c>
      <c r="BF303" s="30" t="inlineStr">
        <is>
          <t>Sideways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Overhead supply in last 2 years in last 2 years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Less than 1.5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More than 15%</t>
        </is>
      </c>
      <c r="CC303" s="30">
        <f>IF(CB303="More than 15%",-10,IF(CB303="Less than 15%",10,0))</f>
        <v/>
      </c>
      <c r="CD303" s="30" t="inlineStr">
        <is>
          <t>Yes Upto 10%</t>
        </is>
      </c>
      <c r="CE303" s="30">
        <f>IF(CD303="Yes, more than 10%",-10,IF(CD303="No",10,0))</f>
        <v/>
      </c>
    </row>
    <row r="304">
      <c r="A304" s="30">
        <f>IF(B304=0,"",RANK(B304,$B$2:$B$400,0))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0" t="inlineStr">
        <is>
          <t>GRAPHITE</t>
        </is>
      </c>
      <c r="D304" s="30" t="inlineStr">
        <is>
          <t>Graphite India Limited</t>
        </is>
      </c>
      <c r="E304" s="30" t="inlineStr">
        <is>
          <t>industrials</t>
        </is>
      </c>
      <c r="F304" s="30" t="inlineStr">
        <is>
          <t>electrodes - graphites</t>
        </is>
      </c>
      <c r="G304" s="30" t="inlineStr">
        <is>
          <t>midcap</t>
        </is>
      </c>
      <c r="H304" s="31" t="n">
        <v>13870.69</v>
      </c>
      <c r="I304" s="31" t="n">
        <v>722.9</v>
      </c>
      <c r="J304" s="31" t="n">
        <v>1.82</v>
      </c>
      <c r="K304" s="31" t="n">
        <v>966513</v>
      </c>
      <c r="L304" s="30" t="n">
        <v>41</v>
      </c>
      <c r="M304" s="30" t="inlineStr">
        <is>
          <t>Outperforming</t>
        </is>
      </c>
      <c r="N304" s="31">
        <f>IF(M304="Underperforming",-5,IF(L304&gt;=95,15,IF(L304&gt;=90,10,IF(L304&gt;=80,5,0))))</f>
        <v/>
      </c>
      <c r="O304" s="31" t="n">
        <v>58.13</v>
      </c>
      <c r="P304" s="31" t="n">
        <v>17.21</v>
      </c>
      <c r="Q304" s="31" t="inlineStr"/>
      <c r="R304" s="30" t="inlineStr">
        <is>
          <t>Earnings / Momentum Support</t>
        </is>
      </c>
      <c r="S304" s="30" t="inlineStr">
        <is>
          <t>Nifty 50</t>
        </is>
      </c>
      <c r="T304" s="31" t="n">
        <v>0.85</v>
      </c>
      <c r="U304" s="31" t="n">
        <v>37.14</v>
      </c>
      <c r="V304" s="31" t="n">
        <v>35.99</v>
      </c>
      <c r="W304" s="31" t="n">
        <v>5.99</v>
      </c>
      <c r="X304" s="30" t="inlineStr">
        <is>
          <t>Cyclical in an Upturn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Headwind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3</t>
        </is>
      </c>
      <c r="BC304" s="30">
        <f>IF(BB304="Stage 2",20,IF(BB304="Stage 1",0,IF(BB304="Stage 3",5,IF(BB304="Stage 4",-5,0))))</f>
        <v/>
      </c>
      <c r="BD304" s="30" t="inlineStr">
        <is>
          <t>Negative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IF(B305=0,"",RANK(B305,$B$2:$B$400,0))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0" t="inlineStr">
        <is>
          <t>VARROC</t>
        </is>
      </c>
      <c r="D305" s="30" t="inlineStr">
        <is>
          <t>Varroc Engineering Ltd</t>
        </is>
      </c>
      <c r="E305" s="30" t="inlineStr">
        <is>
          <t>auto</t>
        </is>
      </c>
      <c r="F305" s="30" t="inlineStr">
        <is>
          <t>auto ancillaries</t>
        </is>
      </c>
      <c r="G305" s="30" t="inlineStr">
        <is>
          <t>midcap</t>
        </is>
      </c>
      <c r="H305" s="31" t="n">
        <v>12394.03</v>
      </c>
      <c r="I305" s="31" t="n">
        <v>825.95</v>
      </c>
      <c r="J305" s="31" t="n">
        <v>1.82</v>
      </c>
      <c r="K305" s="31" t="n">
        <v>1417670</v>
      </c>
      <c r="L305" s="30" t="n">
        <v>48</v>
      </c>
      <c r="M305" s="30" t="inlineStr">
        <is>
          <t>Outperforming</t>
        </is>
      </c>
      <c r="N305" s="31">
        <f>IF(M305="Underperforming",-5,IF(L305&gt;=95,15,IF(L305&gt;=90,10,IF(L305&gt;=80,5,0))))</f>
        <v/>
      </c>
      <c r="O305" s="31" t="n">
        <v>79.34999999999999</v>
      </c>
      <c r="P305" s="31" t="n">
        <v>39.15</v>
      </c>
      <c r="Q305" s="31" t="inlineStr"/>
      <c r="R305" s="30" t="inlineStr">
        <is>
          <t>Earnings / Momentum Support</t>
        </is>
      </c>
      <c r="S305" s="30" t="inlineStr">
        <is>
          <t>Nifty Auto</t>
        </is>
      </c>
      <c r="T305" s="31" t="n">
        <v>13.41</v>
      </c>
      <c r="U305" s="31" t="n">
        <v>16.11</v>
      </c>
      <c r="V305" s="31" t="n">
        <v>2.38</v>
      </c>
      <c r="W305" s="31" t="n">
        <v>7.58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Headwind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Above 75</t>
        </is>
      </c>
      <c r="BA305" s="30">
        <f>IF(AZ305="Between 50 to 75",10,IF(AZ305="Above 75",0,0))</f>
        <v/>
      </c>
      <c r="BB305" s="30" t="inlineStr">
        <is>
          <t>Stage 3</t>
        </is>
      </c>
      <c r="BC305" s="30">
        <f>IF(BB305="Stage 2",20,IF(BB305="Stage 1",0,IF(BB305="Stage 3",5,IF(BB305="Stage 4",-5,0))))</f>
        <v/>
      </c>
      <c r="BD305" s="30" t="inlineStr">
        <is>
          <t>Negative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Less than 12%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Yes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IF(B306=0,"",RANK(B306,$B$2:$B$400,0))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SHANTIGOLD</t>
        </is>
      </c>
      <c r="D306" s="32" t="inlineStr">
        <is>
          <t>Shanti Gold International Ltd</t>
        </is>
      </c>
      <c r="E306" s="30" t="inlineStr">
        <is>
          <t>consumer discretionary</t>
        </is>
      </c>
      <c r="F306" s="30" t="inlineStr">
        <is>
          <t>diamond cutting / jewellery</t>
        </is>
      </c>
      <c r="G306" s="30" t="inlineStr">
        <is>
          <t>smallcap</t>
        </is>
      </c>
      <c r="H306" s="31" t="n">
        <v>1615.02</v>
      </c>
      <c r="I306" s="31" t="n">
        <v>227.91</v>
      </c>
      <c r="J306" s="31" t="n">
        <v>1.74</v>
      </c>
      <c r="K306" s="31" t="n">
        <v>704322</v>
      </c>
      <c r="L306" s="30" t="n">
        <v>9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57.4</v>
      </c>
      <c r="P306" s="31" t="n">
        <v>31.11</v>
      </c>
      <c r="Q306" s="31" t="inlineStr"/>
      <c r="R306" s="30" t="inlineStr">
        <is>
          <t>Earnings / Momentum Support</t>
        </is>
      </c>
      <c r="S306" s="30" t="inlineStr">
        <is>
          <t>Nifty 50</t>
        </is>
      </c>
      <c r="T306" s="31" t="n">
        <v>0.85</v>
      </c>
      <c r="U306" s="31" t="n">
        <v>-6.62</v>
      </c>
      <c r="V306" s="31" t="n">
        <v>-7.41</v>
      </c>
      <c r="W306" s="31" t="n">
        <v>-1.36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Headwind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20 to 40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3</t>
        </is>
      </c>
      <c r="BC306" s="30">
        <f>IF(BB306="Stage 2",20,IF(BB306="Stage 1",0,IF(BB306="Stage 3",5,IF(BB306="Stage 4",-5,0))))</f>
        <v/>
      </c>
      <c r="BD306" s="30" t="inlineStr">
        <is>
          <t>Negative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More than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Negative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IF(B307=0,"",RANK(B307,$B$2:$B$400,0))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0" t="inlineStr">
        <is>
          <t>GNFC</t>
        </is>
      </c>
      <c r="D307" s="30" t="inlineStr">
        <is>
          <t>Gujarat Narmada Valley Fertilizers And Chemicals Limited</t>
        </is>
      </c>
      <c r="E307" s="30" t="inlineStr">
        <is>
          <t>chemicals</t>
        </is>
      </c>
      <c r="F307" s="30" t="inlineStr">
        <is>
          <t>chemicals</t>
        </is>
      </c>
      <c r="G307" s="30" t="inlineStr">
        <is>
          <t>midcap</t>
        </is>
      </c>
      <c r="H307" s="31" t="n">
        <v>7868.67</v>
      </c>
      <c r="I307" s="31" t="n">
        <v>544.1</v>
      </c>
      <c r="J307" s="31" t="n">
        <v>1.61</v>
      </c>
      <c r="K307" s="31" t="n">
        <v>272440</v>
      </c>
      <c r="L307" s="30" t="n">
        <v>31</v>
      </c>
      <c r="M307" s="30" t="inlineStr">
        <is>
          <t>Outperforming</t>
        </is>
      </c>
      <c r="N307" s="31">
        <f>IF(M307="Underperforming",-5,IF(L307&gt;=95,15,IF(L307&gt;=90,10,IF(L307&gt;=80,5,0))))</f>
        <v/>
      </c>
      <c r="O307" s="31" t="n">
        <v>59.48</v>
      </c>
      <c r="P307" s="31" t="n">
        <v>32.51</v>
      </c>
      <c r="Q307" s="31" t="inlineStr"/>
      <c r="R307" s="30" t="inlineStr">
        <is>
          <t>Earnings / Momentum Support</t>
        </is>
      </c>
      <c r="S307" s="30" t="inlineStr">
        <is>
          <t>Nifty 50</t>
        </is>
      </c>
      <c r="T307" s="31" t="n">
        <v>0.85</v>
      </c>
      <c r="U307" s="31" t="n">
        <v>11.2</v>
      </c>
      <c r="V307" s="31" t="n">
        <v>10.26</v>
      </c>
      <c r="W307" s="31" t="n">
        <v>3.85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Oligopoly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Shallow Cyclical (2 to 3 Years Growth)</t>
        </is>
      </c>
      <c r="AG307" s="30">
        <f>IF(AF307="Structural (10 Years Consistency)",10,IF(AF307="Shallow Cyclical (2 to 3 years growth)",5,0))</f>
        <v/>
      </c>
      <c r="AH307" s="30" t="inlineStr">
        <is>
          <t>Yes due to Product Mix change or Operating Leverage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Volatile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Yes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Allocated capital in Non-core Areas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Above 40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3</t>
        </is>
      </c>
      <c r="BC307" s="30">
        <f>IF(BB307="Stage 2",20,IF(BB307="Stage 1",0,IF(BB307="Stage 3",5,IF(BB307="Stage 4",-5,0))))</f>
        <v/>
      </c>
      <c r="BD307" s="30" t="inlineStr">
        <is>
          <t>Negative Trend</t>
        </is>
      </c>
      <c r="BE307" s="30">
        <f>IF(BD307="Positive Trend",20,IF(BD307="Negative Trend",-10,0))</f>
        <v/>
      </c>
      <c r="BF307" s="30" t="inlineStr">
        <is>
          <t>Sideways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Overhead supply in last 2 years in last 2 years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More than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Less than 1.5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More than 15%</t>
        </is>
      </c>
      <c r="CC307" s="30">
        <f>IF(CB307="More than 15%",-10,IF(CB307="Less than 15%",10,0))</f>
        <v/>
      </c>
      <c r="CD307" s="30" t="inlineStr">
        <is>
          <t>Yes Upto 10%</t>
        </is>
      </c>
      <c r="CE307" s="30">
        <f>IF(CD307="Yes, more than 10%",-10,IF(CD307="No",10,0))</f>
        <v/>
      </c>
    </row>
    <row r="308">
      <c r="A308" s="30">
        <f>IF(B308=0,"",RANK(B308,$B$2:$B$400,0))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2" t="inlineStr">
        <is>
          <t>DOLPHIN</t>
        </is>
      </c>
      <c r="D308" s="32" t="inlineStr">
        <is>
          <t>Dolphin Offshore Enterprises (India) Ltd</t>
        </is>
      </c>
      <c r="E308" s="30" t="inlineStr">
        <is>
          <t>energy</t>
        </is>
      </c>
      <c r="F308" s="30" t="inlineStr">
        <is>
          <t>oil drilling / allied services</t>
        </is>
      </c>
      <c r="G308" s="30" t="inlineStr">
        <is>
          <t>smallcap</t>
        </is>
      </c>
      <c r="H308" s="31" t="n">
        <v>1644.39</v>
      </c>
      <c r="I308" s="31" t="n">
        <v>417.05</v>
      </c>
      <c r="J308" s="31" t="n">
        <v>1.46</v>
      </c>
      <c r="K308" s="31" t="n">
        <v>30109</v>
      </c>
      <c r="L308" s="30" t="n">
        <v>3</v>
      </c>
      <c r="M308" s="30" t="inlineStr">
        <is>
          <t>Underperforming</t>
        </is>
      </c>
      <c r="N308" s="31">
        <f>IF(M308="Underperforming",-5,IF(L308&gt;=95,15,IF(L308&gt;=90,10,IF(L308&gt;=80,5,0))))</f>
        <v/>
      </c>
      <c r="O308" s="31" t="n">
        <v>54.34</v>
      </c>
      <c r="P308" s="31" t="n">
        <v>25.2</v>
      </c>
      <c r="Q308" s="31" t="inlineStr"/>
      <c r="R308" s="30" t="inlineStr">
        <is>
          <t>Earnings / Momentum Support</t>
        </is>
      </c>
      <c r="S308" s="30" t="inlineStr">
        <is>
          <t>Nifty Energy</t>
        </is>
      </c>
      <c r="T308" s="31" t="n">
        <v>8.41</v>
      </c>
      <c r="U308" s="31" t="n">
        <v>-16.64</v>
      </c>
      <c r="V308" s="31" t="n">
        <v>-23.1</v>
      </c>
      <c r="W308" s="31" t="n">
        <v>-3.81</v>
      </c>
      <c r="X308" s="30" t="inlineStr">
        <is>
          <t>Cyclical in an Upturn</t>
        </is>
      </c>
      <c r="Y308" s="30">
        <f>IF(X308="Growing Industry",10,IF(X308="Cyclical in an Upturn",5,0))</f>
        <v/>
      </c>
      <c r="Z308" s="30" t="inlineStr">
        <is>
          <t>Oligopoly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Yes</t>
        </is>
      </c>
      <c r="AC308" s="30">
        <f>IF(AB308="No",5,0)</f>
        <v/>
      </c>
      <c r="AD308" s="30" t="inlineStr">
        <is>
          <t>Headwind</t>
        </is>
      </c>
      <c r="AE308" s="30">
        <f>IF(AD308="Tailwind",10,0)</f>
        <v/>
      </c>
      <c r="AF308" s="30" t="inlineStr">
        <is>
          <t>Cyclical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Volatile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20 to 40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3</t>
        </is>
      </c>
      <c r="BC308" s="30">
        <f>IF(BB308="Stage 2",20,IF(BB308="Stage 1",0,IF(BB308="Stage 3",5,IF(BB308="Stage 4",-5,0))))</f>
        <v/>
      </c>
      <c r="BD308" s="30" t="inlineStr">
        <is>
          <t>Negative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Less than 1.5</t>
        </is>
      </c>
      <c r="BU308" s="30">
        <f>IF(BT308="Above 2",0,IF(BT308="Between 1.5 to 2",5,IF(BT308="Less than 1.5",10,0)))</f>
        <v/>
      </c>
      <c r="BV308" s="30" t="inlineStr">
        <is>
          <t>Above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IF(B309=0,"",RANK(B309,$B$2:$B$400,0))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GUJALKALI</t>
        </is>
      </c>
      <c r="D309" s="30" t="inlineStr">
        <is>
          <t>Gujarat Alkalies And Chemicals Limited</t>
        </is>
      </c>
      <c r="E309" s="30" t="inlineStr">
        <is>
          <t>chemicals</t>
        </is>
      </c>
      <c r="F309" s="30" t="inlineStr">
        <is>
          <t>chemicals</t>
        </is>
      </c>
      <c r="G309" s="30" t="inlineStr">
        <is>
          <t>smallcap</t>
        </is>
      </c>
      <c r="H309" s="31" t="n">
        <v>4949.65</v>
      </c>
      <c r="I309" s="31" t="n">
        <v>681.5</v>
      </c>
      <c r="J309" s="31" t="n">
        <v>1.11</v>
      </c>
      <c r="K309" s="31" t="n">
        <v>43051</v>
      </c>
      <c r="L309" s="30" t="n">
        <v>33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58.15</v>
      </c>
      <c r="P309" s="31" t="n">
        <v>29.35</v>
      </c>
      <c r="Q309" s="31" t="inlineStr"/>
      <c r="R309" s="30" t="inlineStr">
        <is>
          <t>Earnings / Momentum Support</t>
        </is>
      </c>
      <c r="S309" s="30" t="inlineStr">
        <is>
          <t>Nifty 50</t>
        </is>
      </c>
      <c r="T309" s="31" t="n">
        <v>0.85</v>
      </c>
      <c r="U309" s="31" t="n">
        <v>19.55</v>
      </c>
      <c r="V309" s="31" t="n">
        <v>18.54</v>
      </c>
      <c r="W309" s="31" t="n">
        <v>4.44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Oligopoly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Shallow Cyclical (2 to 3 Years Growth)</t>
        </is>
      </c>
      <c r="AG309" s="30">
        <f>IF(AF309="Structural (10 Years Consistency)",10,IF(AF309="Shallow Cyclical (2 to 3 years growth)",5,0))</f>
        <v/>
      </c>
      <c r="AH309" s="30" t="inlineStr">
        <is>
          <t>Yes due to Product Mix change or Operating Leverage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Volatile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Allocated capital in Non-core Areas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Above 40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3</t>
        </is>
      </c>
      <c r="BC309" s="30">
        <f>IF(BB309="Stage 2",20,IF(BB309="Stage 1",0,IF(BB309="Stage 3",5,IF(BB309="Stage 4",-5,0))))</f>
        <v/>
      </c>
      <c r="BD309" s="30" t="inlineStr">
        <is>
          <t>Negative Trend</t>
        </is>
      </c>
      <c r="BE309" s="30">
        <f>IF(BD309="Positive Trend",20,IF(BD309="Negative Trend",-10,0))</f>
        <v/>
      </c>
      <c r="BF309" s="30" t="inlineStr">
        <is>
          <t>Sideways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Overhead supply in last 2 years in last 2 years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Less than 1.5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More than 15%</t>
        </is>
      </c>
      <c r="CC309" s="30">
        <f>IF(CB309="More than 15%",-10,IF(CB309="Less than 15%",10,0))</f>
        <v/>
      </c>
      <c r="CD309" s="30" t="inlineStr">
        <is>
          <t>Yes Upto 10%</t>
        </is>
      </c>
      <c r="CE309" s="30">
        <f>IF(CD309="Yes, more than 10%",-10,IF(CD309="No",10,0))</f>
        <v/>
      </c>
    </row>
    <row r="310">
      <c r="A310" s="30">
        <f>IF(B310=0,"",RANK(B310,$B$2:$B$400,0))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0" t="inlineStr">
        <is>
          <t>ROSSTECH</t>
        </is>
      </c>
      <c r="D310" s="30" t="inlineStr">
        <is>
          <t>Rossell Techsys Ltd</t>
        </is>
      </c>
      <c r="E310" s="30" t="inlineStr">
        <is>
          <t>aerospace &amp; defence</t>
        </is>
      </c>
      <c r="F310" s="30" t="inlineStr">
        <is>
          <t>engineering</t>
        </is>
      </c>
      <c r="G310" s="30" t="inlineStr">
        <is>
          <t>smallcap</t>
        </is>
      </c>
      <c r="H310" s="31" t="n">
        <v>4118.91</v>
      </c>
      <c r="I310" s="31" t="n">
        <v>1094.5</v>
      </c>
      <c r="J310" s="31" t="n">
        <v>0.17</v>
      </c>
      <c r="K310" s="31" t="n">
        <v>212662</v>
      </c>
      <c r="L310" s="30" t="n">
        <v>77</v>
      </c>
      <c r="M310" s="30" t="inlineStr">
        <is>
          <t>Outperforming</t>
        </is>
      </c>
      <c r="N310" s="31">
        <f>IF(M310="Underperforming",-5,IF(L310&gt;=95,15,IF(L310&gt;=90,10,IF(L310&gt;=80,5,0))))</f>
        <v/>
      </c>
      <c r="O310" s="31" t="n">
        <v>64.09</v>
      </c>
      <c r="P310" s="31" t="n">
        <v>28.63</v>
      </c>
      <c r="Q310" s="31" t="inlineStr"/>
      <c r="R310" s="30" t="inlineStr">
        <is>
          <t>Earnings / Momentum Support</t>
        </is>
      </c>
      <c r="S310" s="30" t="inlineStr">
        <is>
          <t>Nifty 50</t>
        </is>
      </c>
      <c r="T310" s="31" t="n">
        <v>0.85</v>
      </c>
      <c r="U310" s="31" t="n">
        <v>80.48999999999999</v>
      </c>
      <c r="V310" s="31" t="n">
        <v>78.97</v>
      </c>
      <c r="W310" s="31" t="n">
        <v>16.84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Headwind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20 to 40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3</t>
        </is>
      </c>
      <c r="BC310" s="30">
        <f>IF(BB310="Stage 2",20,IF(BB310="Stage 1",0,IF(BB310="Stage 3",5,IF(BB310="Stage 4",-5,0))))</f>
        <v/>
      </c>
      <c r="BD310" s="30" t="inlineStr">
        <is>
          <t>Negative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Yes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More than 1.2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IF(B311=0,"",RANK(B311,$B$2:$B$400,0))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PVP</t>
        </is>
      </c>
      <c r="D311" s="30" t="inlineStr">
        <is>
          <t>Pvp Ventures Limited</t>
        </is>
      </c>
      <c r="E311" s="30" t="inlineStr">
        <is>
          <t>realty</t>
        </is>
      </c>
      <c r="F311" s="30" t="inlineStr">
        <is>
          <t>construction</t>
        </is>
      </c>
      <c r="G311" s="30" t="inlineStr">
        <is>
          <t>smallcap</t>
        </is>
      </c>
      <c r="H311" s="31" t="n">
        <v>904.64</v>
      </c>
      <c r="I311" s="31" t="n">
        <v>34.67</v>
      </c>
      <c r="J311" s="31" t="n">
        <v>-0.2</v>
      </c>
      <c r="K311" s="31" t="n">
        <v>4972921</v>
      </c>
      <c r="L311" s="30" t="n">
        <v>41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59.93</v>
      </c>
      <c r="P311" s="31" t="n">
        <v>11.18</v>
      </c>
      <c r="Q311" s="31" t="inlineStr"/>
      <c r="R311" s="30" t="inlineStr">
        <is>
          <t>Earnings / Momentum Support</t>
        </is>
      </c>
      <c r="S311" s="30" t="inlineStr">
        <is>
          <t>Nifty Realty</t>
        </is>
      </c>
      <c r="T311" s="31" t="n">
        <v>-8.119999999999999</v>
      </c>
      <c r="U311" s="31" t="n">
        <v>40.19</v>
      </c>
      <c r="V311" s="31" t="n">
        <v>52.58</v>
      </c>
      <c r="W311" s="31" t="n">
        <v>5.95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Headwind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3</t>
        </is>
      </c>
      <c r="BC311" s="30">
        <f>IF(BB311="Stage 2",20,IF(BB311="Stage 1",0,IF(BB311="Stage 3",5,IF(BB311="Stage 4",-5,0))))</f>
        <v/>
      </c>
      <c r="BD311" s="30" t="inlineStr">
        <is>
          <t>Negative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Less than 1.5</t>
        </is>
      </c>
      <c r="BU311" s="30">
        <f>IF(BT311="Above 2",0,IF(BT311="Between 1.5 to 2",5,IF(BT311="Less than 1.5",10,0)))</f>
        <v/>
      </c>
      <c r="BV311" s="30" t="inlineStr">
        <is>
          <t>Negative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IF(B312=0,"",RANK(B312,$B$2:$B$400,0))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3MINDIA</t>
        </is>
      </c>
      <c r="D312" s="30" t="inlineStr">
        <is>
          <t>3m India Limited</t>
        </is>
      </c>
      <c r="E312" s="30" t="inlineStr">
        <is>
          <t>miscellaneous</t>
        </is>
      </c>
      <c r="F312" s="30" t="inlineStr">
        <is>
          <t>diversified - large</t>
        </is>
      </c>
      <c r="G312" s="30" t="inlineStr">
        <is>
          <t>largecap</t>
        </is>
      </c>
      <c r="H312" s="31" t="n">
        <v>40593.68</v>
      </c>
      <c r="I312" s="31" t="n">
        <v>35860</v>
      </c>
      <c r="J312" s="31" t="n">
        <v>-0.49</v>
      </c>
      <c r="K312" s="31" t="n">
        <v>2058</v>
      </c>
      <c r="L312" s="30" t="n">
        <v>42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61.28</v>
      </c>
      <c r="P312" s="31" t="n">
        <v>16.53</v>
      </c>
      <c r="Q312" s="31" t="inlineStr"/>
      <c r="R312" s="30" t="inlineStr">
        <is>
          <t>Earnings / Momentum Support</t>
        </is>
      </c>
      <c r="S312" s="30" t="inlineStr">
        <is>
          <t>Nifty 50</t>
        </is>
      </c>
      <c r="T312" s="31" t="n">
        <v>0.85</v>
      </c>
      <c r="U312" s="31" t="n">
        <v>15.63</v>
      </c>
      <c r="V312" s="31" t="n">
        <v>14.66</v>
      </c>
      <c r="W312" s="31" t="n">
        <v>6.13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Headwind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3</t>
        </is>
      </c>
      <c r="BC312" s="30">
        <f>IF(BB312="Stage 2",20,IF(BB312="Stage 1",0,IF(BB312="Stage 3",5,IF(BB312="Stage 4",-5,0))))</f>
        <v/>
      </c>
      <c r="BD312" s="30" t="inlineStr">
        <is>
          <t>Negative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Between 50% to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IF(B313=0,"",RANK(B313,$B$2:$B$400,0))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HINDALCO</t>
        </is>
      </c>
      <c r="D313" s="30" t="inlineStr">
        <is>
          <t>Hindalco Industries Limited</t>
        </is>
      </c>
      <c r="E313" s="30" t="inlineStr">
        <is>
          <t>metals &amp; mining</t>
        </is>
      </c>
      <c r="F313" s="30" t="inlineStr">
        <is>
          <t>aluminium and aluminium products</t>
        </is>
      </c>
      <c r="G313" s="30" t="inlineStr">
        <is>
          <t>largecap</t>
        </is>
      </c>
      <c r="H313" s="31" t="n">
        <v>238116.12</v>
      </c>
      <c r="I313" s="31" t="n">
        <v>1054.05</v>
      </c>
      <c r="J313" s="31" t="n">
        <v>-0.52</v>
      </c>
      <c r="K313" s="31" t="n">
        <v>13974490</v>
      </c>
      <c r="L313" s="30" t="n">
        <v>41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61.41</v>
      </c>
      <c r="P313" s="31" t="n">
        <v>34.51</v>
      </c>
      <c r="Q313" s="31" t="inlineStr"/>
      <c r="R313" s="30" t="inlineStr">
        <is>
          <t>Earnings / Momentum Support</t>
        </is>
      </c>
      <c r="S313" s="30" t="inlineStr">
        <is>
          <t>Nifty Metal</t>
        </is>
      </c>
      <c r="T313" s="31" t="n">
        <v>31.49</v>
      </c>
      <c r="U313" s="31" t="n">
        <v>41.45</v>
      </c>
      <c r="V313" s="31" t="n">
        <v>7.57</v>
      </c>
      <c r="W313" s="31" t="n">
        <v>5.99</v>
      </c>
      <c r="X313" s="30" t="inlineStr">
        <is>
          <t>Cyclical in an Upturn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Headwind</t>
        </is>
      </c>
      <c r="AE313" s="30">
        <f>IF(AD313="Tailwind",10,0)</f>
        <v/>
      </c>
      <c r="AF313" s="30" t="inlineStr">
        <is>
          <t>Cyclical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Volatile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20 to 40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3</t>
        </is>
      </c>
      <c r="BC313" s="30">
        <f>IF(BB313="Stage 2",20,IF(BB313="Stage 1",0,IF(BB313="Stage 3",5,IF(BB313="Stage 4",-5,0))))</f>
        <v/>
      </c>
      <c r="BD313" s="30" t="inlineStr">
        <is>
          <t>Negative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No</t>
        </is>
      </c>
      <c r="BS313" s="30">
        <f>IF(BR313="NO",5,0)</f>
        <v/>
      </c>
      <c r="BT313" s="30" t="inlineStr">
        <is>
          <t>Less than 1.5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Between 0.7 to 1.2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IF(B314=0,"",RANK(B314,$B$2:$B$400,0))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FLUOROCHEM</t>
        </is>
      </c>
      <c r="D314" s="30" t="inlineStr">
        <is>
          <t>Gujarat Fluorochemicals Ltd</t>
        </is>
      </c>
      <c r="E314" s="30" t="inlineStr">
        <is>
          <t>chemicals</t>
        </is>
      </c>
      <c r="F314" s="30" t="inlineStr">
        <is>
          <t>chemicals</t>
        </is>
      </c>
      <c r="G314" s="30" t="inlineStr">
        <is>
          <t>largecap</t>
        </is>
      </c>
      <c r="H314" s="31" t="n">
        <v>49631.33</v>
      </c>
      <c r="I314" s="31" t="n">
        <v>4484</v>
      </c>
      <c r="J314" s="31" t="n">
        <v>-0.75</v>
      </c>
      <c r="K314" s="31" t="n">
        <v>61603</v>
      </c>
      <c r="L314" s="30" t="n">
        <v>57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69.01000000000001</v>
      </c>
      <c r="P314" s="31" t="n">
        <v>29.39</v>
      </c>
      <c r="Q314" s="31" t="inlineStr"/>
      <c r="R314" s="30" t="inlineStr">
        <is>
          <t>Earnings / Momentum Support</t>
        </is>
      </c>
      <c r="S314" s="30" t="inlineStr">
        <is>
          <t>Nifty 50</t>
        </is>
      </c>
      <c r="T314" s="31" t="n">
        <v>0.85</v>
      </c>
      <c r="U314" s="31" t="n">
        <v>29.69</v>
      </c>
      <c r="V314" s="31" t="n">
        <v>28.6</v>
      </c>
      <c r="W314" s="31" t="n">
        <v>9.66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Oligopoly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Shallow Cyclical (2 to 3 Years Growth)</t>
        </is>
      </c>
      <c r="AG314" s="30">
        <f>IF(AF314="Structural (10 Years Consistency)",10,IF(AF314="Shallow Cyclical (2 to 3 years growth)",5,0))</f>
        <v/>
      </c>
      <c r="AH314" s="30" t="inlineStr">
        <is>
          <t>Yes due to Product Mix change or Operating Leverage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Volatile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Yes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Allocated capital in Non-core Areas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Above 40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3</t>
        </is>
      </c>
      <c r="BC314" s="30">
        <f>IF(BB314="Stage 2",20,IF(BB314="Stage 1",0,IF(BB314="Stage 3",5,IF(BB314="Stage 4",-5,0))))</f>
        <v/>
      </c>
      <c r="BD314" s="30" t="inlineStr">
        <is>
          <t>Negative Trend</t>
        </is>
      </c>
      <c r="BE314" s="30">
        <f>IF(BD314="Positive Trend",20,IF(BD314="Negative Trend",-10,0))</f>
        <v/>
      </c>
      <c r="BF314" s="30" t="inlineStr">
        <is>
          <t>Sideways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Overhead supply in last 2 years in last 2 years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More than 20%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No</t>
        </is>
      </c>
      <c r="BS314" s="30">
        <f>IF(BR314="NO",5,0)</f>
        <v/>
      </c>
      <c r="BT314" s="30" t="inlineStr">
        <is>
          <t>Less than 1.5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More than 15%</t>
        </is>
      </c>
      <c r="CC314" s="30">
        <f>IF(CB314="More than 15%",-10,IF(CB314="Less than 15%",10,0))</f>
        <v/>
      </c>
      <c r="CD314" s="30" t="inlineStr">
        <is>
          <t>Yes Upto 10%</t>
        </is>
      </c>
      <c r="CE314" s="30">
        <f>IF(CD314="Yes, more than 10%",-10,IF(CD314="No",10,0))</f>
        <v/>
      </c>
    </row>
    <row r="315">
      <c r="A315" s="30">
        <f>IF(B315=0,"",RANK(B315,$B$2:$B$400,0))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0" t="inlineStr">
        <is>
          <t>HIRECT</t>
        </is>
      </c>
      <c r="D315" s="30" t="inlineStr">
        <is>
          <t>Hind Rectifiers Limited</t>
        </is>
      </c>
      <c r="E315" s="30" t="inlineStr">
        <is>
          <t>consumer discretionary</t>
        </is>
      </c>
      <c r="F315" s="30" t="inlineStr">
        <is>
          <t>electronics - components</t>
        </is>
      </c>
      <c r="G315" s="30" t="inlineStr">
        <is>
          <t>smallcap</t>
        </is>
      </c>
      <c r="H315" s="31" t="n">
        <v>4645.79</v>
      </c>
      <c r="I315" s="31" t="n">
        <v>1293</v>
      </c>
      <c r="J315" s="31" t="n">
        <v>-1.31</v>
      </c>
      <c r="K315" s="31" t="n">
        <v>64040</v>
      </c>
      <c r="L315" s="30" t="n">
        <v>79</v>
      </c>
      <c r="M315" s="30" t="inlineStr">
        <is>
          <t>Outperforming</t>
        </is>
      </c>
      <c r="N315" s="31">
        <f>IF(M315="Underperforming",-5,IF(L315&gt;=95,15,IF(L315&gt;=90,10,IF(L315&gt;=80,5,0))))</f>
        <v/>
      </c>
      <c r="O315" s="31" t="n">
        <v>74.45999999999999</v>
      </c>
      <c r="P315" s="31" t="n">
        <v>33.17</v>
      </c>
      <c r="Q315" s="31" t="inlineStr"/>
      <c r="R315" s="30" t="inlineStr">
        <is>
          <t>Earnings / Momentum Support</t>
        </is>
      </c>
      <c r="S315" s="30" t="inlineStr">
        <is>
          <t>Nifty 50</t>
        </is>
      </c>
      <c r="T315" s="31" t="n">
        <v>0.85</v>
      </c>
      <c r="U315" s="31" t="n">
        <v>43</v>
      </c>
      <c r="V315" s="31" t="n">
        <v>41.79</v>
      </c>
      <c r="W315" s="31" t="n">
        <v>18.39</v>
      </c>
      <c r="X315" s="30" t="inlineStr">
        <is>
          <t>Growing Industry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Headwind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No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20 to 40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3</t>
        </is>
      </c>
      <c r="BC315" s="30">
        <f>IF(BB315="Stage 2",20,IF(BB315="Stage 1",0,IF(BB315="Stage 3",5,IF(BB315="Stage 4",-5,0))))</f>
        <v/>
      </c>
      <c r="BD315" s="30" t="inlineStr">
        <is>
          <t>Negative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Less than 12%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Yes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Between 0.7 to 1.2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IF(B316=0,"",RANK(B316,$B$2:$B$400,0))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LLOYDSENGG</t>
        </is>
      </c>
      <c r="D316" s="30" t="inlineStr">
        <is>
          <t>Lloyds Engineering Works Ltd</t>
        </is>
      </c>
      <c r="E316" s="30" t="inlineStr">
        <is>
          <t>industrials</t>
        </is>
      </c>
      <c r="F316" s="30" t="inlineStr">
        <is>
          <t>engineering</t>
        </is>
      </c>
      <c r="G316" s="30" t="inlineStr">
        <is>
          <t>midcap</t>
        </is>
      </c>
      <c r="H316" s="31" t="n">
        <v>14341.11</v>
      </c>
      <c r="I316" s="31" t="n">
        <v>95.33</v>
      </c>
      <c r="J316" s="31" t="n">
        <v>-1.6</v>
      </c>
      <c r="K316" s="31" t="n">
        <v>20290842</v>
      </c>
      <c r="L316" s="30" t="n">
        <v>83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76.69</v>
      </c>
      <c r="P316" s="31" t="n">
        <v>49.48</v>
      </c>
      <c r="Q316" s="31" t="inlineStr"/>
      <c r="R316" s="30" t="inlineStr">
        <is>
          <t>Earnings / Momentum Support</t>
        </is>
      </c>
      <c r="S316" s="30" t="inlineStr">
        <is>
          <t>Nifty 50</t>
        </is>
      </c>
      <c r="T316" s="31" t="n">
        <v>0.85</v>
      </c>
      <c r="U316" s="31" t="n">
        <v>45.28</v>
      </c>
      <c r="V316" s="31" t="n">
        <v>44.06</v>
      </c>
      <c r="W316" s="31" t="n">
        <v>21.24</v>
      </c>
      <c r="X316" s="30" t="inlineStr">
        <is>
          <t>Cyclical in an Upturn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Headwind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Above 40</t>
        </is>
      </c>
      <c r="AY316" s="30">
        <f>IF(AX316="Above 40",20,IF(AX316="20 to 40",10,IF(AX316="0 to 20",-5,0)))</f>
        <v/>
      </c>
      <c r="AZ316" s="30" t="inlineStr">
        <is>
          <t>Above 75</t>
        </is>
      </c>
      <c r="BA316" s="30">
        <f>IF(AZ316="Between 50 to 75",10,IF(AZ316="Above 75",0,0))</f>
        <v/>
      </c>
      <c r="BB316" s="30" t="inlineStr">
        <is>
          <t>Stage 3</t>
        </is>
      </c>
      <c r="BC316" s="30">
        <f>IF(BB316="Stage 2",20,IF(BB316="Stage 1",0,IF(BB316="Stage 3",5,IF(BB316="Stage 4",-5,0))))</f>
        <v/>
      </c>
      <c r="BD316" s="30" t="inlineStr">
        <is>
          <t>Negative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Yes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Negative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IF(B317=0,"",RANK(B317,$B$2:$B$400,0))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AARTIPHARM</t>
        </is>
      </c>
      <c r="D317" s="32" t="inlineStr">
        <is>
          <t>Aarti Pharmalabs Ltd</t>
        </is>
      </c>
      <c r="E317" s="30" t="inlineStr">
        <is>
          <t>healthcare</t>
        </is>
      </c>
      <c r="F317" s="30" t="inlineStr">
        <is>
          <t>pharmaceuticals - indian - bulk drugs &amp; formln</t>
        </is>
      </c>
      <c r="G317" s="30" t="inlineStr">
        <is>
          <t>midcap</t>
        </is>
      </c>
      <c r="H317" s="31" t="n">
        <v>6219.28</v>
      </c>
      <c r="I317" s="31" t="n">
        <v>823</v>
      </c>
      <c r="J317" s="31" t="n">
        <v>20</v>
      </c>
      <c r="K317" s="31" t="n">
        <v>3125635</v>
      </c>
      <c r="L317" s="30" t="n">
        <v>2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47.83</v>
      </c>
      <c r="P317" s="31" t="n">
        <v>7.37</v>
      </c>
      <c r="Q317" s="31" t="inlineStr"/>
      <c r="R317" s="30" t="inlineStr">
        <is>
          <t>Volume Spike / Accumulation</t>
        </is>
      </c>
      <c r="S317" s="30" t="inlineStr">
        <is>
          <t>Nifty Pharma</t>
        </is>
      </c>
      <c r="T317" s="31" t="n">
        <v>24.01</v>
      </c>
      <c r="U317" s="31" t="n">
        <v>-18.56</v>
      </c>
      <c r="V317" s="31" t="n">
        <v>-34.33</v>
      </c>
      <c r="W317" s="31" t="n">
        <v>-5.97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Yes</t>
        </is>
      </c>
      <c r="AC317" s="30">
        <f>IF(AB317="No",5,0)</f>
        <v/>
      </c>
      <c r="AD317" s="30" t="inlineStr">
        <is>
          <t>Headwind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Yes</t>
        </is>
      </c>
      <c r="AQ317" s="30">
        <f>IF(AP317="Yes",10,0)</f>
        <v/>
      </c>
      <c r="AR317" s="30" t="inlineStr">
        <is>
          <t>Higher Annuity, Lower One Time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0 to 20</t>
        </is>
      </c>
      <c r="AY317" s="30">
        <f>IF(AX317="Above 40",20,IF(AX317="20 to 40",10,IF(AX317="0 to 20",-5,0)))</f>
        <v/>
      </c>
      <c r="AZ317" s="30" t="inlineStr">
        <is>
          <t>Below 45</t>
        </is>
      </c>
      <c r="BA317" s="30">
        <f>IF(AZ317="Between 50 to 75",10,IF(AZ317="Above 75",0,0))</f>
        <v/>
      </c>
      <c r="BB317" s="30" t="inlineStr">
        <is>
          <t>Stage 4</t>
        </is>
      </c>
      <c r="BC317" s="30">
        <f>IF(BB317="Stage 2",20,IF(BB317="Stage 1",0,IF(BB317="Stage 3",5,IF(BB317="Stage 4",-5,0))))</f>
        <v/>
      </c>
      <c r="BD317" s="30" t="inlineStr">
        <is>
          <t>Negative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Yes</t>
        </is>
      </c>
      <c r="BS317" s="30">
        <f>IF(BR317="NO",5,0)</f>
        <v/>
      </c>
      <c r="BT317" s="30" t="inlineStr">
        <is>
          <t>Less than 1.5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IF(B318=0,"",RANK(B318,$B$2:$B$400,0))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DHAMPURSUG</t>
        </is>
      </c>
      <c r="D318" s="30" t="inlineStr">
        <is>
          <t>Dhampur Sugar Mills Limited</t>
        </is>
      </c>
      <c r="E318" s="30" t="inlineStr">
        <is>
          <t>fmcg</t>
        </is>
      </c>
      <c r="F318" s="30" t="inlineStr">
        <is>
          <t>sugar</t>
        </is>
      </c>
      <c r="G318" s="30" t="inlineStr">
        <is>
          <t>smallcap</t>
        </is>
      </c>
      <c r="H318" s="31" t="n">
        <v>970.3200000000001</v>
      </c>
      <c r="I318" s="31" t="n">
        <v>159.43</v>
      </c>
      <c r="J318" s="31" t="n">
        <v>5.66</v>
      </c>
      <c r="K318" s="31" t="n">
        <v>1387689</v>
      </c>
      <c r="L318" s="30" t="n">
        <v>15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61.03</v>
      </c>
      <c r="P318" s="31" t="n">
        <v>14.42</v>
      </c>
      <c r="Q318" s="31" t="inlineStr"/>
      <c r="R318" s="30" t="inlineStr">
        <is>
          <t>Earnings / Momentum Support</t>
        </is>
      </c>
      <c r="S318" s="30" t="inlineStr">
        <is>
          <t>Nifty FMCG</t>
        </is>
      </c>
      <c r="T318" s="31" t="n">
        <v>-13.73</v>
      </c>
      <c r="U318" s="31" t="n">
        <v>-5</v>
      </c>
      <c r="V318" s="31" t="n">
        <v>10.12</v>
      </c>
      <c r="W318" s="31" t="n">
        <v>0.05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Headwind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B2C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Annuity, Lower One Time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3</t>
        </is>
      </c>
      <c r="BC318" s="30">
        <f>IF(BB318="Stage 2",20,IF(BB318="Stage 1",0,IF(BB318="Stage 3",5,IF(BB318="Stage 4",-5,0))))</f>
        <v/>
      </c>
      <c r="BD318" s="30" t="inlineStr">
        <is>
          <t>Negative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Less than 12%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Above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Between 0.7 to 1.2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IF(B319=0,"",RANK(B319,$B$2:$B$400,0))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TI</t>
        </is>
      </c>
      <c r="D319" s="30" t="inlineStr">
        <is>
          <t>Tilaknagar Industries Limited</t>
        </is>
      </c>
      <c r="E319" s="30" t="inlineStr">
        <is>
          <t>fmcg</t>
        </is>
      </c>
      <c r="F319" s="30" t="inlineStr">
        <is>
          <t>breweries &amp; distilleries</t>
        </is>
      </c>
      <c r="G319" s="30" t="inlineStr">
        <is>
          <t>midcap</t>
        </is>
      </c>
      <c r="H319" s="31" t="n">
        <v>12144.78</v>
      </c>
      <c r="I319" s="31" t="n">
        <v>503.2</v>
      </c>
      <c r="J319" s="31" t="n">
        <v>2.54</v>
      </c>
      <c r="K319" s="31" t="n">
        <v>1382701</v>
      </c>
      <c r="L319" s="30" t="n">
        <v>20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61.54</v>
      </c>
      <c r="P319" s="31" t="n">
        <v>8.91</v>
      </c>
      <c r="Q319" s="31" t="inlineStr"/>
      <c r="R319" s="30" t="inlineStr">
        <is>
          <t>Earnings / Momentum Support</t>
        </is>
      </c>
      <c r="S319" s="30" t="inlineStr">
        <is>
          <t>Nifty FMCG</t>
        </is>
      </c>
      <c r="T319" s="31" t="n">
        <v>-13.73</v>
      </c>
      <c r="U319" s="31" t="n">
        <v>11.7</v>
      </c>
      <c r="V319" s="31" t="n">
        <v>29.47</v>
      </c>
      <c r="W319" s="31" t="n">
        <v>1.63</v>
      </c>
      <c r="X319" s="30" t="inlineStr">
        <is>
          <t>Growing Industry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Headwind</t>
        </is>
      </c>
      <c r="AE319" s="30">
        <f>IF(AD319="Tailwind",10,0)</f>
        <v/>
      </c>
      <c r="AF319" s="30" t="inlineStr">
        <is>
          <t>Structural (10 Years Consistency)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B2C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Annuity, Lower One Time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0 to 20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3</t>
        </is>
      </c>
      <c r="BC319" s="30">
        <f>IF(BB319="Stage 2",20,IF(BB319="Stage 1",0,IF(BB319="Stage 3",5,IF(BB319="Stage 4",-5,0))))</f>
        <v/>
      </c>
      <c r="BD319" s="30" t="inlineStr">
        <is>
          <t>Negative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Less than 12%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Between 0.7 to 1.2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IF(B320=0,"",RANK(B320,$B$2:$B$400,0))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0" t="inlineStr">
        <is>
          <t>MPHASIS</t>
        </is>
      </c>
      <c r="D320" s="30" t="inlineStr">
        <is>
          <t>Mphasis Limited</t>
        </is>
      </c>
      <c r="E320" s="30" t="inlineStr">
        <is>
          <t>i.t</t>
        </is>
      </c>
      <c r="F320" s="30" t="inlineStr">
        <is>
          <t>computers - software - large</t>
        </is>
      </c>
      <c r="G320" s="30" t="inlineStr">
        <is>
          <t>largecap</t>
        </is>
      </c>
      <c r="H320" s="31" t="n">
        <v>47241.1</v>
      </c>
      <c r="I320" s="31" t="n">
        <v>2508</v>
      </c>
      <c r="J320" s="31" t="n">
        <v>1.33</v>
      </c>
      <c r="K320" s="31" t="n">
        <v>1183801</v>
      </c>
      <c r="L320" s="30" t="n">
        <v>23</v>
      </c>
      <c r="M320" s="30" t="inlineStr">
        <is>
          <t>Outperforming</t>
        </is>
      </c>
      <c r="N320" s="31">
        <f>IF(M320="Underperforming",-5,IF(L320&gt;=95,15,IF(L320&gt;=90,10,IF(L320&gt;=80,5,0))))</f>
        <v/>
      </c>
      <c r="O320" s="31" t="n">
        <v>57.35</v>
      </c>
      <c r="P320" s="31" t="n">
        <v>10.23</v>
      </c>
      <c r="Q320" s="31" t="inlineStr"/>
      <c r="R320" s="30" t="inlineStr">
        <is>
          <t>Earnings / Momentum Support</t>
        </is>
      </c>
      <c r="S320" s="30" t="inlineStr">
        <is>
          <t>Nifty IT</t>
        </is>
      </c>
      <c r="T320" s="31" t="n">
        <v>-8.289999999999999</v>
      </c>
      <c r="U320" s="31" t="n">
        <v>-5.73</v>
      </c>
      <c r="V320" s="31" t="n">
        <v>2.79</v>
      </c>
      <c r="W320" s="31" t="n">
        <v>2.25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Headwind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Annuity, Lower One Time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0 to 20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3</t>
        </is>
      </c>
      <c r="BC320" s="30">
        <f>IF(BB320="Stage 2",20,IF(BB320="Stage 1",0,IF(BB320="Stage 3",5,IF(BB320="Stage 4",-5,0))))</f>
        <v/>
      </c>
      <c r="BD320" s="30" t="inlineStr">
        <is>
          <t>Negative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Less than 12%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Above 2</t>
        </is>
      </c>
      <c r="BU320" s="30">
        <f>IF(BT320="Above 2",0,IF(BT320="Between 1.5 to 2",5,IF(BT320="Less than 1.5",10,0)))</f>
        <v/>
      </c>
      <c r="BV320" s="30" t="inlineStr">
        <is>
          <t>Between 50% to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IF(B321=0,"",RANK(B321,$B$2:$B$400,0))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PVRINOX</t>
        </is>
      </c>
      <c r="D321" s="30" t="inlineStr">
        <is>
          <t>PVR Inox Ltd</t>
        </is>
      </c>
      <c r="E321" s="30" t="inlineStr">
        <is>
          <t>media</t>
        </is>
      </c>
      <c r="F321" s="30" t="inlineStr">
        <is>
          <t>entertainment / electronic media software</t>
        </is>
      </c>
      <c r="G321" s="30" t="inlineStr">
        <is>
          <t>midcap</t>
        </is>
      </c>
      <c r="H321" s="31" t="n">
        <v>11351.92</v>
      </c>
      <c r="I321" s="31" t="n">
        <v>1144</v>
      </c>
      <c r="J321" s="31" t="n">
        <v>-1.04</v>
      </c>
      <c r="K321" s="31" t="n">
        <v>325441</v>
      </c>
      <c r="L321" s="30" t="n">
        <v>29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66.98</v>
      </c>
      <c r="P321" s="31" t="n">
        <v>14.72</v>
      </c>
      <c r="Q321" s="31" t="inlineStr"/>
      <c r="R321" s="30" t="inlineStr">
        <is>
          <t>Earnings / Momentum Support</t>
        </is>
      </c>
      <c r="S321" s="30" t="inlineStr">
        <is>
          <t>Nifty IT</t>
        </is>
      </c>
      <c r="T321" s="31" t="n">
        <v>-8.289999999999999</v>
      </c>
      <c r="U321" s="31" t="n">
        <v>7.91</v>
      </c>
      <c r="V321" s="31" t="n">
        <v>17.66</v>
      </c>
      <c r="W321" s="31" t="n">
        <v>3.39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Headwind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No</t>
        </is>
      </c>
      <c r="AQ321" s="30">
        <f>IF(AP321="Yes",10,0)</f>
        <v/>
      </c>
      <c r="AR321" s="30" t="inlineStr">
        <is>
          <t>Higher Annuity, Lower One Time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0 to 20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3</t>
        </is>
      </c>
      <c r="BC321" s="30">
        <f>IF(BB321="Stage 2",20,IF(BB321="Stage 1",0,IF(BB321="Stage 3",5,IF(BB321="Stage 4",-5,0))))</f>
        <v/>
      </c>
      <c r="BD321" s="30" t="inlineStr">
        <is>
          <t>Negative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More than 20%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Yes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Above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Between 0.7 to 1.2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IF(B322=0,"",RANK(B322,$B$2:$B$400,0))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2" t="inlineStr">
        <is>
          <t>SADHNANIQ</t>
        </is>
      </c>
      <c r="D322" s="32" t="inlineStr">
        <is>
          <t>Sadhana Nitro Chem Ltd</t>
        </is>
      </c>
      <c r="E322" s="30" t="inlineStr">
        <is>
          <t>chemicals</t>
        </is>
      </c>
      <c r="F322" s="30" t="inlineStr">
        <is>
          <t>chemicals</t>
        </is>
      </c>
      <c r="G322" s="30" t="inlineStr">
        <is>
          <t>smallcap</t>
        </is>
      </c>
      <c r="H322" s="31" t="n">
        <v>895.34</v>
      </c>
      <c r="I322" s="31" t="n">
        <v>3.17</v>
      </c>
      <c r="J322" s="31" t="n">
        <v>4.97</v>
      </c>
      <c r="K322" s="31" t="n">
        <v>5099342</v>
      </c>
      <c r="L322" s="30" t="n">
        <v>1</v>
      </c>
      <c r="M322" s="30" t="inlineStr">
        <is>
          <t>Underperforming</t>
        </is>
      </c>
      <c r="N322" s="31">
        <f>IF(M322="Underperforming",-5,IF(L322&gt;=95,15,IF(L322&gt;=90,10,IF(L322&gt;=80,5,0))))</f>
        <v/>
      </c>
      <c r="O322" s="31" t="n">
        <v>45.21</v>
      </c>
      <c r="P322" s="31" t="n">
        <v>12.76</v>
      </c>
      <c r="Q322" s="31" t="inlineStr"/>
      <c r="R322" s="30" t="inlineStr">
        <is>
          <t>Earnings / Momentum Support</t>
        </is>
      </c>
      <c r="S322" s="30" t="inlineStr">
        <is>
          <t>Nifty 50</t>
        </is>
      </c>
      <c r="T322" s="31" t="n">
        <v>0.85</v>
      </c>
      <c r="U322" s="31" t="n">
        <v>-52.44</v>
      </c>
      <c r="V322" s="31" t="n">
        <v>-52.84</v>
      </c>
      <c r="W322" s="31" t="n">
        <v>-6.7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Headwind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Below 45</t>
        </is>
      </c>
      <c r="BA322" s="30">
        <f>IF(AZ322="Between 50 to 75",10,IF(AZ322="Above 75",0,0))</f>
        <v/>
      </c>
      <c r="BB322" s="30" t="inlineStr">
        <is>
          <t>Stage 4</t>
        </is>
      </c>
      <c r="BC322" s="30">
        <f>IF(BB322="Stage 2",20,IF(BB322="Stage 1",0,IF(BB322="Stage 3",5,IF(BB322="Stage 4",-5,0))))</f>
        <v/>
      </c>
      <c r="BD322" s="30" t="inlineStr">
        <is>
          <t>Negative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More than 20%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Less than 1.5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IF(B323=0,"",RANK(B323,$B$2:$B$400,0))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2" t="inlineStr">
        <is>
          <t>TCPLPACK</t>
        </is>
      </c>
      <c r="D323" s="32" t="inlineStr">
        <is>
          <t>TCPL Packaging Ltd</t>
        </is>
      </c>
      <c r="E323" s="30" t="inlineStr">
        <is>
          <t>industrials</t>
        </is>
      </c>
      <c r="F323" s="30" t="inlineStr">
        <is>
          <t>packaging</t>
        </is>
      </c>
      <c r="G323" s="30" t="inlineStr">
        <is>
          <t>smallcap</t>
        </is>
      </c>
      <c r="H323" s="31" t="n">
        <v>2865.5</v>
      </c>
      <c r="I323" s="31" t="n">
        <v>3300.1</v>
      </c>
      <c r="J323" s="31" t="n">
        <v>4.8</v>
      </c>
      <c r="K323" s="31" t="n">
        <v>11422</v>
      </c>
      <c r="L323" s="30" t="n">
        <v>23</v>
      </c>
      <c r="M323" s="30" t="inlineStr">
        <is>
          <t>Underperforming</t>
        </is>
      </c>
      <c r="N323" s="31">
        <f>IF(M323="Underperforming",-5,IF(L323&gt;=95,15,IF(L323&gt;=90,10,IF(L323&gt;=80,5,0))))</f>
        <v/>
      </c>
      <c r="O323" s="31" t="n">
        <v>60.47</v>
      </c>
      <c r="P323" s="31" t="n">
        <v>23.61</v>
      </c>
      <c r="Q323" s="31" t="inlineStr"/>
      <c r="R323" s="30" t="inlineStr">
        <is>
          <t>Earnings / Momentum Support</t>
        </is>
      </c>
      <c r="S323" s="30" t="inlineStr">
        <is>
          <t>Nifty Infra</t>
        </is>
      </c>
      <c r="T323" s="31" t="n">
        <v>1.74</v>
      </c>
      <c r="U323" s="31" t="n">
        <v>-14.32</v>
      </c>
      <c r="V323" s="31" t="n">
        <v>-15.79</v>
      </c>
      <c r="W323" s="31" t="n">
        <v>2.11</v>
      </c>
      <c r="X323" s="30" t="inlineStr">
        <is>
          <t>Cyclical in an Upturn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Headwind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20 to 40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3</t>
        </is>
      </c>
      <c r="BC323" s="30">
        <f>IF(BB323="Stage 2",20,IF(BB323="Stage 1",0,IF(BB323="Stage 3",5,IF(BB323="Stage 4",-5,0))))</f>
        <v/>
      </c>
      <c r="BD323" s="30" t="inlineStr">
        <is>
          <t>Negative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Above 70%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Between 0.7 to 1.2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IF(B324=0,"",RANK(B324,$B$2:$B$400,0))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PANAMAPET</t>
        </is>
      </c>
      <c r="D324" s="30" t="inlineStr">
        <is>
          <t>Panama Petrochem Limited</t>
        </is>
      </c>
      <c r="E324" s="30" t="inlineStr">
        <is>
          <t>energy</t>
        </is>
      </c>
      <c r="F324" s="30" t="inlineStr">
        <is>
          <t>petrochemicals</t>
        </is>
      </c>
      <c r="G324" s="30" t="inlineStr">
        <is>
          <t>smallcap</t>
        </is>
      </c>
      <c r="H324" s="31" t="n">
        <v>3053.72</v>
      </c>
      <c r="I324" s="31" t="n">
        <v>528.85</v>
      </c>
      <c r="J324" s="31" t="n">
        <v>4.76</v>
      </c>
      <c r="K324" s="31" t="n">
        <v>443883</v>
      </c>
      <c r="L324" s="30" t="n">
        <v>76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67.70999999999999</v>
      </c>
      <c r="P324" s="31" t="n">
        <v>52.58</v>
      </c>
      <c r="Q324" s="31" t="inlineStr"/>
      <c r="R324" s="30" t="inlineStr">
        <is>
          <t>Earnings / Momentum Support</t>
        </is>
      </c>
      <c r="S324" s="30" t="inlineStr">
        <is>
          <t>Nifty Energy</t>
        </is>
      </c>
      <c r="T324" s="31" t="n">
        <v>8.41</v>
      </c>
      <c r="U324" s="31" t="n">
        <v>17.3</v>
      </c>
      <c r="V324" s="31" t="n">
        <v>8.199999999999999</v>
      </c>
      <c r="W324" s="31" t="n">
        <v>16.41</v>
      </c>
      <c r="X324" s="30" t="inlineStr">
        <is>
          <t>Cyclical in an Upturn</t>
        </is>
      </c>
      <c r="Y324" s="30">
        <f>IF(X324="Growing Industry",10,IF(X324="Cyclical in an Upturn",5,0))</f>
        <v/>
      </c>
      <c r="Z324" s="30" t="inlineStr">
        <is>
          <t>Oligopoly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Yes</t>
        </is>
      </c>
      <c r="AC324" s="30">
        <f>IF(AB324="No",5,0)</f>
        <v/>
      </c>
      <c r="AD324" s="30" t="inlineStr">
        <is>
          <t>Headwind</t>
        </is>
      </c>
      <c r="AE324" s="30">
        <f>IF(AD324="Tailwind",10,0)</f>
        <v/>
      </c>
      <c r="AF324" s="30" t="inlineStr">
        <is>
          <t>Cyclical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Volatile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Above 40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3</t>
        </is>
      </c>
      <c r="BC324" s="30">
        <f>IF(BB324="Stage 2",20,IF(BB324="Stage 1",0,IF(BB324="Stage 3",5,IF(BB324="Stage 4",-5,0))))</f>
        <v/>
      </c>
      <c r="BD324" s="30" t="inlineStr">
        <is>
          <t>Negative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More than 20%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Less than 1.5</t>
        </is>
      </c>
      <c r="BU324" s="30">
        <f>IF(BT324="Above 2",0,IF(BT324="Between 1.5 to 2",5,IF(BT324="Less than 1.5",10,0)))</f>
        <v/>
      </c>
      <c r="BV324" s="30" t="inlineStr">
        <is>
          <t>Negative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IF(B325=0,"",RANK(B325,$B$2:$B$400,0))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KECL</t>
        </is>
      </c>
      <c r="D325" s="32" t="inlineStr">
        <is>
          <t>Kirloskar Electric Company Limited</t>
        </is>
      </c>
      <c r="E325" s="30" t="inlineStr">
        <is>
          <t>industrials</t>
        </is>
      </c>
      <c r="F325" s="30" t="inlineStr">
        <is>
          <t>electric equipment</t>
        </is>
      </c>
      <c r="G325" s="30" t="inlineStr">
        <is>
          <t>smallcap</t>
        </is>
      </c>
      <c r="H325" s="31" t="n">
        <v>953.11</v>
      </c>
      <c r="I325" s="31" t="n">
        <v>150.17</v>
      </c>
      <c r="J325" s="31" t="n">
        <v>4.64</v>
      </c>
      <c r="K325" s="31" t="n">
        <v>564197</v>
      </c>
      <c r="L325" s="30" t="n">
        <v>5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65.95999999999999</v>
      </c>
      <c r="P325" s="31" t="n">
        <v>26.8</v>
      </c>
      <c r="Q325" s="31" t="inlineStr"/>
      <c r="R325" s="30" t="inlineStr">
        <is>
          <t>Earnings / Momentum Support</t>
        </is>
      </c>
      <c r="S325" s="30" t="inlineStr">
        <is>
          <t>Nifty Infra</t>
        </is>
      </c>
      <c r="T325" s="31" t="n">
        <v>1.74</v>
      </c>
      <c r="U325" s="31" t="n">
        <v>-13.35</v>
      </c>
      <c r="V325" s="31" t="n">
        <v>-14.83</v>
      </c>
      <c r="W325" s="31" t="n">
        <v>-2.6</v>
      </c>
      <c r="X325" s="30" t="inlineStr">
        <is>
          <t>Cyclical in an Upturn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Headwind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20 to 40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3</t>
        </is>
      </c>
      <c r="BC325" s="30">
        <f>IF(BB325="Stage 2",20,IF(BB325="Stage 1",0,IF(BB325="Stage 3",5,IF(BB325="Stage 4",-5,0))))</f>
        <v/>
      </c>
      <c r="BD325" s="30" t="inlineStr">
        <is>
          <t>Negative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More than 20%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Yes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Between 50% to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Between 0.7 to 1.2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IF(B326=0,"",RANK(B326,$B$2:$B$400,0))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2" t="inlineStr">
        <is>
          <t>GIPCL</t>
        </is>
      </c>
      <c r="D326" s="32" t="inlineStr">
        <is>
          <t>Gujarat Industries Power Company Limited</t>
        </is>
      </c>
      <c r="E326" s="30" t="inlineStr">
        <is>
          <t>power &amp; utilities</t>
        </is>
      </c>
      <c r="F326" s="30" t="inlineStr">
        <is>
          <t>power generation and supply</t>
        </is>
      </c>
      <c r="G326" s="30" t="inlineStr">
        <is>
          <t>smallcap</t>
        </is>
      </c>
      <c r="H326" s="31" t="n">
        <v>2451.33</v>
      </c>
      <c r="I326" s="31" t="n">
        <v>164.73</v>
      </c>
      <c r="J326" s="31" t="n">
        <v>4.31</v>
      </c>
      <c r="K326" s="31" t="n">
        <v>700374</v>
      </c>
      <c r="L326" s="30" t="n">
        <v>5</v>
      </c>
      <c r="M326" s="30" t="inlineStr">
        <is>
          <t>Underperforming</t>
        </is>
      </c>
      <c r="N326" s="31">
        <f>IF(M326="Underperforming",-5,IF(L326&gt;=95,15,IF(L326&gt;=90,10,IF(L326&gt;=80,5,0))))</f>
        <v/>
      </c>
      <c r="O326" s="31" t="n">
        <v>50.98</v>
      </c>
      <c r="P326" s="31" t="n">
        <v>10.22</v>
      </c>
      <c r="Q326" s="31" t="inlineStr"/>
      <c r="R326" s="30" t="inlineStr">
        <is>
          <t>Earnings / Momentum Support</t>
        </is>
      </c>
      <c r="S326" s="30" t="inlineStr">
        <is>
          <t>Nifty IT</t>
        </is>
      </c>
      <c r="T326" s="31" t="n">
        <v>-8.289999999999999</v>
      </c>
      <c r="U326" s="31" t="n">
        <v>-16.45</v>
      </c>
      <c r="V326" s="31" t="n">
        <v>-8.9</v>
      </c>
      <c r="W326" s="31" t="n">
        <v>-3.05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Oligopoly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Shallow Cyclical (2 to 3 Years Growth)</t>
        </is>
      </c>
      <c r="AG326" s="30">
        <f>IF(AF326="Structural (10 Years Consistency)",10,IF(AF326="Shallow Cyclical (2 to 3 years growth)",5,0))</f>
        <v/>
      </c>
      <c r="AH326" s="30" t="inlineStr">
        <is>
          <t>Yes due to Product Mix change or Operating Leverage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Volatile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Yes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Allocated capital in Non-core Areas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Above 40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3</t>
        </is>
      </c>
      <c r="BC326" s="30">
        <f>IF(BB326="Stage 2",20,IF(BB326="Stage 1",0,IF(BB326="Stage 3",5,IF(BB326="Stage 4",-5,0))))</f>
        <v/>
      </c>
      <c r="BD326" s="30" t="inlineStr">
        <is>
          <t>Negative Trend</t>
        </is>
      </c>
      <c r="BE326" s="30">
        <f>IF(BD326="Positive Trend",20,IF(BD326="Negative Trend",-10,0))</f>
        <v/>
      </c>
      <c r="BF326" s="30" t="inlineStr">
        <is>
          <t>Sideways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Overhead supply in last 2 years in last 2 years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Less than 1.5</t>
        </is>
      </c>
      <c r="BU326" s="30">
        <f>IF(BT326="Above 2",0,IF(BT326="Between 1.5 to 2",5,IF(BT326="Less than 1.5",10,0)))</f>
        <v/>
      </c>
      <c r="BV326" s="30" t="inlineStr">
        <is>
          <t>Above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More than 15%</t>
        </is>
      </c>
      <c r="CC326" s="30">
        <f>IF(CB326="More than 15%",-10,IF(CB326="Less than 15%",10,0))</f>
        <v/>
      </c>
      <c r="CD326" s="30" t="inlineStr">
        <is>
          <t>Yes Upto 10%</t>
        </is>
      </c>
      <c r="CE326" s="30">
        <f>IF(CD326="Yes, more than 10%",-10,IF(CD326="No",10,0))</f>
        <v/>
      </c>
    </row>
    <row r="327">
      <c r="A327" s="30">
        <f>IF(B327=0,"",RANK(B327,$B$2:$B$400,0))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SENCO</t>
        </is>
      </c>
      <c r="D327" s="30" t="inlineStr">
        <is>
          <t>Senco Gold Ltd</t>
        </is>
      </c>
      <c r="E327" s="30" t="inlineStr">
        <is>
          <t>consumer discretionary</t>
        </is>
      </c>
      <c r="F327" s="30" t="inlineStr">
        <is>
          <t>diamond cutting / jewellery</t>
        </is>
      </c>
      <c r="G327" s="30" t="inlineStr">
        <is>
          <t>midcap</t>
        </is>
      </c>
      <c r="H327" s="31" t="n">
        <v>6370.05</v>
      </c>
      <c r="I327" s="31" t="n">
        <v>398.85</v>
      </c>
      <c r="J327" s="31" t="n">
        <v>2.58</v>
      </c>
      <c r="K327" s="31" t="n">
        <v>1660794</v>
      </c>
      <c r="L327" s="30" t="n">
        <v>34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61.42</v>
      </c>
      <c r="P327" s="31" t="n">
        <v>29.17</v>
      </c>
      <c r="Q327" s="31" t="inlineStr"/>
      <c r="R327" s="30" t="inlineStr">
        <is>
          <t>Earnings / Momentum Support</t>
        </is>
      </c>
      <c r="S327" s="30" t="inlineStr">
        <is>
          <t>Nifty 50</t>
        </is>
      </c>
      <c r="T327" s="31" t="n">
        <v>0.85</v>
      </c>
      <c r="U327" s="31" t="n">
        <v>17.56</v>
      </c>
      <c r="V327" s="31" t="n">
        <v>16.57</v>
      </c>
      <c r="W327" s="31" t="n">
        <v>4.65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Headwind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20 to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3</t>
        </is>
      </c>
      <c r="BC327" s="30">
        <f>IF(BB327="Stage 2",20,IF(BB327="Stage 1",0,IF(BB327="Stage 3",5,IF(BB327="Stage 4",-5,0))))</f>
        <v/>
      </c>
      <c r="BD327" s="30" t="inlineStr">
        <is>
          <t>Negative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Negative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Between 0.7 to 1.2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IF(B328=0,"",RANK(B328,$B$2:$B$400,0))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2" t="inlineStr">
        <is>
          <t>BALKRISIND</t>
        </is>
      </c>
      <c r="D328" s="32" t="inlineStr">
        <is>
          <t>Balkrishna Industries Limited</t>
        </is>
      </c>
      <c r="E328" s="30" t="inlineStr">
        <is>
          <t>auto</t>
        </is>
      </c>
      <c r="F328" s="30" t="inlineStr">
        <is>
          <t>tyres</t>
        </is>
      </c>
      <c r="G328" s="30" t="inlineStr">
        <is>
          <t>largecap</t>
        </is>
      </c>
      <c r="H328" s="31" t="n">
        <v>47677.82</v>
      </c>
      <c r="I328" s="31" t="n">
        <v>2524.6</v>
      </c>
      <c r="J328" s="31" t="n">
        <v>2.36</v>
      </c>
      <c r="K328" s="31" t="n">
        <v>441369</v>
      </c>
      <c r="L328" s="30" t="n">
        <v>1</v>
      </c>
      <c r="M328" s="30" t="inlineStr">
        <is>
          <t>Underperforming</t>
        </is>
      </c>
      <c r="N328" s="31">
        <f>IF(M328="Underperforming",-5,IF(L328&gt;=95,15,IF(L328&gt;=90,10,IF(L328&gt;=80,5,0))))</f>
        <v/>
      </c>
      <c r="O328" s="31" t="n">
        <v>57.97</v>
      </c>
      <c r="P328" s="31" t="n">
        <v>14.78</v>
      </c>
      <c r="Q328" s="31" t="inlineStr"/>
      <c r="R328" s="30" t="inlineStr">
        <is>
          <t>Earnings / Momentum Support</t>
        </is>
      </c>
      <c r="S328" s="30" t="inlineStr">
        <is>
          <t>Nifty Auto</t>
        </is>
      </c>
      <c r="T328" s="31" t="n">
        <v>13.41</v>
      </c>
      <c r="U328" s="31" t="n">
        <v>-24.26</v>
      </c>
      <c r="V328" s="31" t="n">
        <v>-33.22</v>
      </c>
      <c r="W328" s="31" t="n">
        <v>-7.24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Headwind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0 to 20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3</t>
        </is>
      </c>
      <c r="BC328" s="30">
        <f>IF(BB328="Stage 2",20,IF(BB328="Stage 1",0,IF(BB328="Stage 3",5,IF(BB328="Stage 4",-5,0))))</f>
        <v/>
      </c>
      <c r="BD328" s="30" t="inlineStr">
        <is>
          <t>Negative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Less than 12%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No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Above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IF(B329=0,"",RANK(B329,$B$2:$B$400,0))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2" t="inlineStr">
        <is>
          <t>ENDURANCE</t>
        </is>
      </c>
      <c r="D329" s="32" t="inlineStr">
        <is>
          <t>Endurance Technologies Limited</t>
        </is>
      </c>
      <c r="E329" s="30" t="inlineStr">
        <is>
          <t>auto</t>
        </is>
      </c>
      <c r="F329" s="30" t="inlineStr">
        <is>
          <t>auto ancillaries</t>
        </is>
      </c>
      <c r="G329" s="30" t="inlineStr">
        <is>
          <t>largecap</t>
        </is>
      </c>
      <c r="H329" s="31" t="n">
        <v>40855.52</v>
      </c>
      <c r="I329" s="31" t="n">
        <v>2969</v>
      </c>
      <c r="J329" s="31" t="n">
        <v>2.22</v>
      </c>
      <c r="K329" s="31" t="n">
        <v>203417</v>
      </c>
      <c r="L329" s="30" t="n">
        <v>32</v>
      </c>
      <c r="M329" s="30" t="inlineStr">
        <is>
          <t>Underperforming</t>
        </is>
      </c>
      <c r="N329" s="31">
        <f>IF(M329="Underperforming",-5,IF(L329&gt;=95,15,IF(L329&gt;=90,10,IF(L329&gt;=80,5,0))))</f>
        <v/>
      </c>
      <c r="O329" s="31" t="n">
        <v>63.46</v>
      </c>
      <c r="P329" s="31" t="n">
        <v>16.91</v>
      </c>
      <c r="Q329" s="31" t="inlineStr"/>
      <c r="R329" s="30" t="inlineStr">
        <is>
          <t>Earnings / Momentum Support</t>
        </is>
      </c>
      <c r="S329" s="30" t="inlineStr">
        <is>
          <t>Nifty Auto</t>
        </is>
      </c>
      <c r="T329" s="31" t="n">
        <v>13.41</v>
      </c>
      <c r="U329" s="31" t="n">
        <v>3.04</v>
      </c>
      <c r="V329" s="31" t="n">
        <v>-9.140000000000001</v>
      </c>
      <c r="W329" s="31" t="n">
        <v>4.03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Headwind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No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3</t>
        </is>
      </c>
      <c r="BC329" s="30">
        <f>IF(BB329="Stage 2",20,IF(BB329="Stage 1",0,IF(BB329="Stage 3",5,IF(BB329="Stage 4",-5,0))))</f>
        <v/>
      </c>
      <c r="BD329" s="30" t="inlineStr">
        <is>
          <t>Negative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Between 12 to 20%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Yes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Above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IF(B330=0,"",RANK(B330,$B$2:$B$400,0))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2" t="inlineStr">
        <is>
          <t>CEATLTD</t>
        </is>
      </c>
      <c r="D330" s="32" t="inlineStr">
        <is>
          <t>Ceat Limited</t>
        </is>
      </c>
      <c r="E330" s="30" t="inlineStr">
        <is>
          <t>auto</t>
        </is>
      </c>
      <c r="F330" s="30" t="inlineStr">
        <is>
          <t>tyres</t>
        </is>
      </c>
      <c r="G330" s="30" t="inlineStr">
        <is>
          <t>midcap</t>
        </is>
      </c>
      <c r="H330" s="31" t="n">
        <v>15059.97</v>
      </c>
      <c r="I330" s="31" t="n">
        <v>3793.6</v>
      </c>
      <c r="J330" s="31" t="n">
        <v>1.89</v>
      </c>
      <c r="K330" s="31" t="n">
        <v>92750</v>
      </c>
      <c r="L330" s="30" t="n">
        <v>6</v>
      </c>
      <c r="M330" s="30" t="inlineStr">
        <is>
          <t>Underperforming</t>
        </is>
      </c>
      <c r="N330" s="31">
        <f>IF(M330="Underperforming",-5,IF(L330&gt;=95,15,IF(L330&gt;=90,10,IF(L330&gt;=80,5,0))))</f>
        <v/>
      </c>
      <c r="O330" s="31" t="n">
        <v>56.12</v>
      </c>
      <c r="P330" s="31" t="n">
        <v>7.66</v>
      </c>
      <c r="Q330" s="31" t="inlineStr"/>
      <c r="R330" s="30" t="inlineStr">
        <is>
          <t>Earnings / Momentum Support</t>
        </is>
      </c>
      <c r="S330" s="30" t="inlineStr">
        <is>
          <t>Nifty Auto</t>
        </is>
      </c>
      <c r="T330" s="31" t="n">
        <v>13.41</v>
      </c>
      <c r="U330" s="31" t="n">
        <v>-6.37</v>
      </c>
      <c r="V330" s="31" t="n">
        <v>-17.45</v>
      </c>
      <c r="W330" s="31" t="n">
        <v>-2.18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Headwind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No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3</t>
        </is>
      </c>
      <c r="BC330" s="30">
        <f>IF(BB330="Stage 2",20,IF(BB330="Stage 1",0,IF(BB330="Stage 3",5,IF(BB330="Stage 4",-5,0))))</f>
        <v/>
      </c>
      <c r="BD330" s="30" t="inlineStr">
        <is>
          <t>Negative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Less than 12%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Above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IF(B331=0,"",RANK(B331,$B$2:$B$400,0))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2" t="inlineStr">
        <is>
          <t>SHARDAMOTR</t>
        </is>
      </c>
      <c r="D331" s="32" t="inlineStr">
        <is>
          <t>Sharda Motor Industries Limited</t>
        </is>
      </c>
      <c r="E331" s="30" t="inlineStr">
        <is>
          <t>auto</t>
        </is>
      </c>
      <c r="F331" s="30" t="inlineStr">
        <is>
          <t>auto ancillaries</t>
        </is>
      </c>
      <c r="G331" s="30" t="inlineStr">
        <is>
          <t>midcap</t>
        </is>
      </c>
      <c r="H331" s="31" t="n">
        <v>5403.79</v>
      </c>
      <c r="I331" s="31" t="n">
        <v>955.7</v>
      </c>
      <c r="J331" s="31" t="n">
        <v>1.53</v>
      </c>
      <c r="K331" s="31" t="n">
        <v>99362</v>
      </c>
      <c r="L331" s="30" t="n">
        <v>4</v>
      </c>
      <c r="M331" s="30" t="inlineStr">
        <is>
          <t>Underperforming</t>
        </is>
      </c>
      <c r="N331" s="31">
        <f>IF(M331="Underperforming",-5,IF(L331&gt;=95,15,IF(L331&gt;=90,10,IF(L331&gt;=80,5,0))))</f>
        <v/>
      </c>
      <c r="O331" s="31" t="n">
        <v>57.38</v>
      </c>
      <c r="P331" s="31" t="n">
        <v>12.98</v>
      </c>
      <c r="Q331" s="31" t="inlineStr"/>
      <c r="R331" s="30" t="inlineStr">
        <is>
          <t>Earnings / Momentum Support</t>
        </is>
      </c>
      <c r="S331" s="30" t="inlineStr">
        <is>
          <t>Nifty Auto</t>
        </is>
      </c>
      <c r="T331" s="31" t="n">
        <v>13.41</v>
      </c>
      <c r="U331" s="31" t="n">
        <v>-18.33</v>
      </c>
      <c r="V331" s="31" t="n">
        <v>-27.99</v>
      </c>
      <c r="W331" s="31" t="n">
        <v>-3.59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Headwind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0 to 20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3</t>
        </is>
      </c>
      <c r="BC331" s="30">
        <f>IF(BB331="Stage 2",20,IF(BB331="Stage 1",0,IF(BB331="Stage 3",5,IF(BB331="Stage 4",-5,0))))</f>
        <v/>
      </c>
      <c r="BD331" s="30" t="inlineStr">
        <is>
          <t>Negative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Less than 12%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Above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IF(B332=0,"",RANK(B332,$B$2:$B$400,0))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2" t="inlineStr">
        <is>
          <t>RATNAVEER</t>
        </is>
      </c>
      <c r="D332" s="32" t="inlineStr">
        <is>
          <t>Ratnaveer Precision Engineering Ltd</t>
        </is>
      </c>
      <c r="E332" s="30" t="inlineStr">
        <is>
          <t>metals &amp; mining</t>
        </is>
      </c>
      <c r="F332" s="30" t="inlineStr">
        <is>
          <t>steel - medium / small</t>
        </is>
      </c>
      <c r="G332" s="30" t="inlineStr">
        <is>
          <t>smallcap</t>
        </is>
      </c>
      <c r="H332" s="31" t="n">
        <v>1472.1</v>
      </c>
      <c r="I332" s="31" t="n">
        <v>209.25</v>
      </c>
      <c r="J332" s="31" t="n">
        <v>1.53</v>
      </c>
      <c r="K332" s="31" t="n">
        <v>4225309</v>
      </c>
      <c r="L332" s="30" t="n">
        <v>47</v>
      </c>
      <c r="M332" s="30" t="inlineStr">
        <is>
          <t>Underperforming</t>
        </is>
      </c>
      <c r="N332" s="31">
        <f>IF(M332="Underperforming",-5,IF(L332&gt;=95,15,IF(L332&gt;=90,10,IF(L332&gt;=80,5,0))))</f>
        <v/>
      </c>
      <c r="O332" s="31" t="n">
        <v>66.59</v>
      </c>
      <c r="P332" s="31" t="n">
        <v>49.91</v>
      </c>
      <c r="Q332" s="31" t="inlineStr"/>
      <c r="R332" s="30" t="inlineStr">
        <is>
          <t>Earnings / Momentum Support</t>
        </is>
      </c>
      <c r="S332" s="30" t="inlineStr">
        <is>
          <t>Nifty Metal</t>
        </is>
      </c>
      <c r="T332" s="31" t="n">
        <v>31.49</v>
      </c>
      <c r="U332" s="31" t="n">
        <v>20.72</v>
      </c>
      <c r="V332" s="31" t="n">
        <v>-8.19</v>
      </c>
      <c r="W332" s="31" t="n">
        <v>7.17</v>
      </c>
      <c r="X332" s="30" t="inlineStr">
        <is>
          <t>Cyclical in an Upturn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Headwind</t>
        </is>
      </c>
      <c r="AE332" s="30">
        <f>IF(AD332="Tailwind",10,0)</f>
        <v/>
      </c>
      <c r="AF332" s="30" t="inlineStr">
        <is>
          <t>Cyclical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Volatile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Above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3</t>
        </is>
      </c>
      <c r="BC332" s="30">
        <f>IF(BB332="Stage 2",20,IF(BB332="Stage 1",0,IF(BB332="Stage 3",5,IF(BB332="Stage 4",-5,0))))</f>
        <v/>
      </c>
      <c r="BD332" s="30" t="inlineStr">
        <is>
          <t>Negative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Less than 12%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No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Above 70%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IF(B333=0,"",RANK(B333,$B$2:$B$400,0))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2" t="inlineStr">
        <is>
          <t>INDIGOPNTS</t>
        </is>
      </c>
      <c r="D333" s="32" t="inlineStr">
        <is>
          <t>Indigo Paints Ltd</t>
        </is>
      </c>
      <c r="E333" s="30" t="inlineStr">
        <is>
          <t>building materials</t>
        </is>
      </c>
      <c r="F333" s="30" t="inlineStr">
        <is>
          <t>paints / varnishes</t>
        </is>
      </c>
      <c r="G333" s="30" t="inlineStr">
        <is>
          <t>midcap</t>
        </is>
      </c>
      <c r="H333" s="31" t="n">
        <v>5342.06</v>
      </c>
      <c r="I333" s="31" t="n">
        <v>1135</v>
      </c>
      <c r="J333" s="31" t="n">
        <v>1.29</v>
      </c>
      <c r="K333" s="31" t="n">
        <v>73030</v>
      </c>
      <c r="L333" s="30" t="n">
        <v>40</v>
      </c>
      <c r="M333" s="30" t="inlineStr">
        <is>
          <t>Underperforming</t>
        </is>
      </c>
      <c r="N333" s="31">
        <f>IF(M333="Underperforming",-5,IF(L333&gt;=95,15,IF(L333&gt;=90,10,IF(L333&gt;=80,5,0))))</f>
        <v/>
      </c>
      <c r="O333" s="31" t="n">
        <v>62.59</v>
      </c>
      <c r="P333" s="31" t="n">
        <v>12.96</v>
      </c>
      <c r="Q333" s="31" t="inlineStr"/>
      <c r="R333" s="30" t="inlineStr">
        <is>
          <t>Earnings / Momentum Support</t>
        </is>
      </c>
      <c r="S333" s="30" t="inlineStr">
        <is>
          <t>Nifty Infra</t>
        </is>
      </c>
      <c r="T333" s="31" t="n">
        <v>1.74</v>
      </c>
      <c r="U333" s="31" t="n">
        <v>-11.05</v>
      </c>
      <c r="V333" s="31" t="n">
        <v>-12.57</v>
      </c>
      <c r="W333" s="31" t="n">
        <v>5.62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Headwind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0 to 20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3</t>
        </is>
      </c>
      <c r="BC333" s="30">
        <f>IF(BB333="Stage 2",20,IF(BB333="Stage 1",0,IF(BB333="Stage 3",5,IF(BB333="Stage 4",-5,0))))</f>
        <v/>
      </c>
      <c r="BD333" s="30" t="inlineStr">
        <is>
          <t>Negative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Less than 12%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Less than 0.7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IF(B334=0,"",RANK(B334,$B$2:$B$400,0))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FOSECOIND</t>
        </is>
      </c>
      <c r="D334" s="30" t="inlineStr">
        <is>
          <t>Foseco India Limited</t>
        </is>
      </c>
      <c r="E334" s="30" t="inlineStr">
        <is>
          <t>chemicals</t>
        </is>
      </c>
      <c r="F334" s="30" t="inlineStr">
        <is>
          <t>chemicals</t>
        </is>
      </c>
      <c r="G334" s="30" t="inlineStr">
        <is>
          <t>smallcap</t>
        </is>
      </c>
      <c r="H334" s="31" t="n">
        <v>4145.87</v>
      </c>
      <c r="I334" s="31" t="n">
        <v>5562.5</v>
      </c>
      <c r="J334" s="31" t="n">
        <v>1.13</v>
      </c>
      <c r="K334" s="31" t="n">
        <v>6659</v>
      </c>
      <c r="L334" s="30" t="n">
        <v>36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61.84</v>
      </c>
      <c r="P334" s="31" t="n">
        <v>17.97</v>
      </c>
      <c r="Q334" s="31" t="inlineStr"/>
      <c r="R334" s="30" t="inlineStr">
        <is>
          <t>Earnings / Momentum Support</t>
        </is>
      </c>
      <c r="S334" s="30" t="inlineStr">
        <is>
          <t>Nifty 50</t>
        </is>
      </c>
      <c r="T334" s="31" t="n">
        <v>0.85</v>
      </c>
      <c r="U334" s="31" t="n">
        <v>14.51</v>
      </c>
      <c r="V334" s="31" t="n">
        <v>13.54</v>
      </c>
      <c r="W334" s="31" t="n">
        <v>5.09</v>
      </c>
      <c r="X334" s="30" t="inlineStr">
        <is>
          <t>Growing Industry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Headwind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No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3</t>
        </is>
      </c>
      <c r="BC334" s="30">
        <f>IF(BB334="Stage 2",20,IF(BB334="Stage 1",0,IF(BB334="Stage 3",5,IF(BB334="Stage 4",-5,0))))</f>
        <v/>
      </c>
      <c r="BD334" s="30" t="inlineStr">
        <is>
          <t>Negative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Less than 12%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Yes</t>
        </is>
      </c>
      <c r="BS334" s="30">
        <f>IF(BR334="NO",5,0)</f>
        <v/>
      </c>
      <c r="BT334" s="30" t="inlineStr">
        <is>
          <t>Above 2</t>
        </is>
      </c>
      <c r="BU334" s="30">
        <f>IF(BT334="Above 2",0,IF(BT334="Between 1.5 to 2",5,IF(BT334="Less than 1.5",10,0)))</f>
        <v/>
      </c>
      <c r="BV334" s="30" t="inlineStr">
        <is>
          <t>Above 70%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IF(B335=0,"",RANK(B335,$B$2:$B$400,0))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2" t="inlineStr">
        <is>
          <t>SIRCA</t>
        </is>
      </c>
      <c r="D335" s="32" t="inlineStr">
        <is>
          <t>Sirca Paints India Ltd</t>
        </is>
      </c>
      <c r="E335" s="30" t="inlineStr">
        <is>
          <t>building materials</t>
        </is>
      </c>
      <c r="F335" s="30" t="inlineStr">
        <is>
          <t>paints / varnishes</t>
        </is>
      </c>
      <c r="G335" s="30" t="inlineStr">
        <is>
          <t>smallcap</t>
        </is>
      </c>
      <c r="H335" s="31" t="n">
        <v>2555.11</v>
      </c>
      <c r="I335" s="31" t="n">
        <v>453.2</v>
      </c>
      <c r="J335" s="31" t="n">
        <v>0.73</v>
      </c>
      <c r="K335" s="31" t="n">
        <v>395993</v>
      </c>
      <c r="L335" s="30" t="n">
        <v>4</v>
      </c>
      <c r="M335" s="30" t="inlineStr">
        <is>
          <t>Underperforming</t>
        </is>
      </c>
      <c r="N335" s="31">
        <f>IF(M335="Underperforming",-5,IF(L335&gt;=95,15,IF(L335&gt;=90,10,IF(L335&gt;=80,5,0))))</f>
        <v/>
      </c>
      <c r="O335" s="31" t="n">
        <v>58.68</v>
      </c>
      <c r="P335" s="31" t="n">
        <v>17.13</v>
      </c>
      <c r="Q335" s="31" t="inlineStr"/>
      <c r="R335" s="30" t="inlineStr">
        <is>
          <t>Earnings / Momentum Support</t>
        </is>
      </c>
      <c r="S335" s="30" t="inlineStr">
        <is>
          <t>Nifty Infra</t>
        </is>
      </c>
      <c r="T335" s="31" t="n">
        <v>1.74</v>
      </c>
      <c r="U335" s="31" t="n">
        <v>-7.06</v>
      </c>
      <c r="V335" s="31" t="n">
        <v>-8.65</v>
      </c>
      <c r="W335" s="31" t="n">
        <v>-3.79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Headwind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No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3</t>
        </is>
      </c>
      <c r="BC335" s="30">
        <f>IF(BB335="Stage 2",20,IF(BB335="Stage 1",0,IF(BB335="Stage 3",5,IF(BB335="Stage 4",-5,0))))</f>
        <v/>
      </c>
      <c r="BD335" s="30" t="inlineStr">
        <is>
          <t>Negative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Less than 12%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No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IF(B336=0,"",RANK(B336,$B$2:$B$400,0))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2" t="inlineStr">
        <is>
          <t>SHALPAINTS</t>
        </is>
      </c>
      <c r="D336" s="32" t="inlineStr">
        <is>
          <t>Shalimar Paints Limited</t>
        </is>
      </c>
      <c r="E336" s="30" t="inlineStr">
        <is>
          <t>building materials</t>
        </is>
      </c>
      <c r="F336" s="30" t="inlineStr">
        <is>
          <t>paints / varnishes</t>
        </is>
      </c>
      <c r="G336" s="30" t="inlineStr">
        <is>
          <t>smallcap</t>
        </is>
      </c>
      <c r="H336" s="31" t="n">
        <v>707.11</v>
      </c>
      <c r="I336" s="31" t="n">
        <v>85</v>
      </c>
      <c r="J336" s="31" t="n">
        <v>0.63</v>
      </c>
      <c r="K336" s="31" t="n">
        <v>230058</v>
      </c>
      <c r="L336" s="30" t="n">
        <v>1</v>
      </c>
      <c r="M336" s="30" t="inlineStr">
        <is>
          <t>Underperforming</t>
        </is>
      </c>
      <c r="N336" s="31">
        <f>IF(M336="Underperforming",-5,IF(L336&gt;=95,15,IF(L336&gt;=90,10,IF(L336&gt;=80,5,0))))</f>
        <v/>
      </c>
      <c r="O336" s="31" t="n">
        <v>71.25</v>
      </c>
      <c r="P336" s="31" t="n">
        <v>18.17</v>
      </c>
      <c r="Q336" s="31" t="inlineStr"/>
      <c r="R336" s="30" t="inlineStr">
        <is>
          <t>Earnings / Momentum Support</t>
        </is>
      </c>
      <c r="S336" s="30" t="inlineStr">
        <is>
          <t>Nifty Infra</t>
        </is>
      </c>
      <c r="T336" s="31" t="n">
        <v>1.74</v>
      </c>
      <c r="U336" s="31" t="n">
        <v>-49.3</v>
      </c>
      <c r="V336" s="31" t="n">
        <v>-50.16</v>
      </c>
      <c r="W336" s="31" t="n">
        <v>-14.15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Headwind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3</t>
        </is>
      </c>
      <c r="BC336" s="30">
        <f>IF(BB336="Stage 2",20,IF(BB336="Stage 1",0,IF(BB336="Stage 3",5,IF(BB336="Stage 4",-5,0))))</f>
        <v/>
      </c>
      <c r="BD336" s="30" t="inlineStr">
        <is>
          <t>Negative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More than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Less than 1.5</t>
        </is>
      </c>
      <c r="BU336" s="30">
        <f>IF(BT336="Above 2",0,IF(BT336="Between 1.5 to 2",5,IF(BT336="Less than 1.5",10,0)))</f>
        <v/>
      </c>
      <c r="BV336" s="30" t="inlineStr">
        <is>
          <t>Negative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IF(B337=0,"",RANK(B337,$B$2:$B$400,0))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LT</t>
        </is>
      </c>
      <c r="D337" s="30" t="inlineStr">
        <is>
          <t>Larsen &amp; Toubro Limited</t>
        </is>
      </c>
      <c r="E337" s="30" t="inlineStr">
        <is>
          <t>realty</t>
        </is>
      </c>
      <c r="F337" s="30" t="inlineStr">
        <is>
          <t>engineering - turnkey services</t>
        </is>
      </c>
      <c r="G337" s="30" t="inlineStr">
        <is>
          <t>largecap</t>
        </is>
      </c>
      <c r="H337" s="31" t="n">
        <v>557995.75</v>
      </c>
      <c r="I337" s="31" t="n">
        <v>4080</v>
      </c>
      <c r="J337" s="31" t="n">
        <v>0.59</v>
      </c>
      <c r="K337" s="31" t="n">
        <v>2117376</v>
      </c>
      <c r="L337" s="30" t="n">
        <v>18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54.2</v>
      </c>
      <c r="P337" s="31" t="n">
        <v>7.12</v>
      </c>
      <c r="Q337" s="31" t="inlineStr"/>
      <c r="R337" s="30" t="inlineStr">
        <is>
          <t>Earnings / Momentum Support</t>
        </is>
      </c>
      <c r="S337" s="30" t="inlineStr">
        <is>
          <t>Nifty Realty</t>
        </is>
      </c>
      <c r="T337" s="31" t="n">
        <v>-8.119999999999999</v>
      </c>
      <c r="U337" s="31" t="n">
        <v>11.17</v>
      </c>
      <c r="V337" s="31" t="n">
        <v>20.99</v>
      </c>
      <c r="W337" s="31" t="n">
        <v>1.11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Headwind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3</t>
        </is>
      </c>
      <c r="BC337" s="30">
        <f>IF(BB337="Stage 2",20,IF(BB337="Stage 1",0,IF(BB337="Stage 3",5,IF(BB337="Stage 4",-5,0))))</f>
        <v/>
      </c>
      <c r="BD337" s="30" t="inlineStr">
        <is>
          <t>Negative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Between 12 to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No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Above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Between 0.7 to 1.2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IF(B338=0,"",RANK(B338,$B$2:$B$400,0))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TVSMOTOR</t>
        </is>
      </c>
      <c r="D338" s="30" t="inlineStr">
        <is>
          <t>Tvs Motor Company Limited</t>
        </is>
      </c>
      <c r="E338" s="30" t="inlineStr">
        <is>
          <t>auto</t>
        </is>
      </c>
      <c r="F338" s="30" t="inlineStr">
        <is>
          <t>automobiles - motorcycles / mopeds</t>
        </is>
      </c>
      <c r="G338" s="30" t="inlineStr">
        <is>
          <t>largecap</t>
        </is>
      </c>
      <c r="H338" s="31" t="n">
        <v>210981.44</v>
      </c>
      <c r="I338" s="31" t="n">
        <v>4466.2</v>
      </c>
      <c r="J338" s="31" t="n">
        <v>0.57</v>
      </c>
      <c r="K338" s="31" t="n">
        <v>1423804</v>
      </c>
      <c r="L338" s="30" t="n">
        <v>35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72.70999999999999</v>
      </c>
      <c r="P338" s="31" t="n">
        <v>19.69</v>
      </c>
      <c r="Q338" s="31" t="inlineStr"/>
      <c r="R338" s="30" t="inlineStr">
        <is>
          <t>Earnings / Momentum Support</t>
        </is>
      </c>
      <c r="S338" s="30" t="inlineStr">
        <is>
          <t>Nifty Auto</t>
        </is>
      </c>
      <c r="T338" s="31" t="n">
        <v>13.41</v>
      </c>
      <c r="U338" s="31" t="n">
        <v>27.43</v>
      </c>
      <c r="V338" s="31" t="n">
        <v>12.36</v>
      </c>
      <c r="W338" s="31" t="n">
        <v>4.91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Headwind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3</t>
        </is>
      </c>
      <c r="BC338" s="30">
        <f>IF(BB338="Stage 2",20,IF(BB338="Stage 1",0,IF(BB338="Stage 3",5,IF(BB338="Stage 4",-5,0))))</f>
        <v/>
      </c>
      <c r="BD338" s="30" t="inlineStr">
        <is>
          <t>Negative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More than 20%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Less than 1.5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More than 1.2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IF(B339=0,"",RANK(B339,$B$2:$B$400,0))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EMAMIPAP</t>
        </is>
      </c>
      <c r="D339" s="32" t="inlineStr">
        <is>
          <t>Emami Paper Mills Ltd</t>
        </is>
      </c>
      <c r="E339" s="30" t="inlineStr">
        <is>
          <t>building materials</t>
        </is>
      </c>
      <c r="F339" s="30" t="inlineStr">
        <is>
          <t>paper</t>
        </is>
      </c>
      <c r="G339" s="30" t="inlineStr">
        <is>
          <t>smallcap</t>
        </is>
      </c>
      <c r="H339" s="31" t="n">
        <v>670.87</v>
      </c>
      <c r="I339" s="31" t="n">
        <v>111.4</v>
      </c>
      <c r="J339" s="31" t="n">
        <v>0.46</v>
      </c>
      <c r="K339" s="31" t="n">
        <v>43098</v>
      </c>
      <c r="L339" s="30" t="n">
        <v>26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67.81999999999999</v>
      </c>
      <c r="P339" s="31" t="n">
        <v>19.79</v>
      </c>
      <c r="Q339" s="31" t="inlineStr"/>
      <c r="R339" s="30" t="inlineStr">
        <is>
          <t>Earnings / Momentum Support</t>
        </is>
      </c>
      <c r="S339" s="30" t="inlineStr">
        <is>
          <t>Nifty Infra</t>
        </is>
      </c>
      <c r="T339" s="31" t="n">
        <v>1.74</v>
      </c>
      <c r="U339" s="31" t="n">
        <v>-10.22</v>
      </c>
      <c r="V339" s="31" t="n">
        <v>-11.76</v>
      </c>
      <c r="W339" s="31" t="n">
        <v>2.78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Headwind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3</t>
        </is>
      </c>
      <c r="BC339" s="30">
        <f>IF(BB339="Stage 2",20,IF(BB339="Stage 1",0,IF(BB339="Stage 3",5,IF(BB339="Stage 4",-5,0))))</f>
        <v/>
      </c>
      <c r="BD339" s="30" t="inlineStr">
        <is>
          <t>Negative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More than 20%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No</t>
        </is>
      </c>
      <c r="BS339" s="30">
        <f>IF(BR339="NO",5,0)</f>
        <v/>
      </c>
      <c r="BT339" s="30" t="inlineStr">
        <is>
          <t>Less than 1.5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More than 1.2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IF(B340=0,"",RANK(B340,$B$2:$B$400,0))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2" t="inlineStr">
        <is>
          <t>MARUTI</t>
        </is>
      </c>
      <c r="D340" s="32" t="inlineStr">
        <is>
          <t>Maruti Suzuki India Limited</t>
        </is>
      </c>
      <c r="E340" s="30" t="inlineStr">
        <is>
          <t>auto</t>
        </is>
      </c>
      <c r="F340" s="30" t="inlineStr">
        <is>
          <t>automobiles - passenger cars</t>
        </is>
      </c>
      <c r="G340" s="30" t="inlineStr">
        <is>
          <t>largecap</t>
        </is>
      </c>
      <c r="H340" s="31" t="n">
        <v>441326.89</v>
      </c>
      <c r="I340" s="31" t="n">
        <v>14097</v>
      </c>
      <c r="J340" s="31" t="n">
        <v>0.43</v>
      </c>
      <c r="K340" s="31" t="n">
        <v>589814</v>
      </c>
      <c r="L340" s="30" t="n">
        <v>32</v>
      </c>
      <c r="M340" s="30" t="inlineStr">
        <is>
          <t>Underperforming</t>
        </is>
      </c>
      <c r="N340" s="31">
        <f>IF(M340="Underperforming",-5,IF(L340&gt;=95,15,IF(L340&gt;=90,10,IF(L340&gt;=80,5,0))))</f>
        <v/>
      </c>
      <c r="O340" s="31" t="n">
        <v>53.24</v>
      </c>
      <c r="P340" s="31" t="n">
        <v>11.41</v>
      </c>
      <c r="Q340" s="31" t="inlineStr"/>
      <c r="R340" s="30" t="inlineStr">
        <is>
          <t>Earnings / Momentum Support</t>
        </is>
      </c>
      <c r="S340" s="30" t="inlineStr">
        <is>
          <t>Nifty Auto</t>
        </is>
      </c>
      <c r="T340" s="31" t="n">
        <v>13.41</v>
      </c>
      <c r="U340" s="31" t="n">
        <v>12.35</v>
      </c>
      <c r="V340" s="31" t="n">
        <v>-0.9399999999999999</v>
      </c>
      <c r="W340" s="31" t="n">
        <v>4.04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Headwind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3</t>
        </is>
      </c>
      <c r="BC340" s="30">
        <f>IF(BB340="Stage 2",20,IF(BB340="Stage 1",0,IF(BB340="Stage 3",5,IF(BB340="Stage 4",-5,0))))</f>
        <v/>
      </c>
      <c r="BD340" s="30" t="inlineStr">
        <is>
          <t>Negative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No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IF(B341=0,"",RANK(B341,$B$2:$B$400,0))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2" t="inlineStr">
        <is>
          <t>M&amp;M</t>
        </is>
      </c>
      <c r="D341" s="32" t="inlineStr">
        <is>
          <t>Mahindra &amp; Mahindra Limited</t>
        </is>
      </c>
      <c r="E341" s="30" t="inlineStr">
        <is>
          <t>auto</t>
        </is>
      </c>
      <c r="F341" s="30" t="inlineStr">
        <is>
          <t>automobiles - passenger cars</t>
        </is>
      </c>
      <c r="G341" s="30" t="inlineStr">
        <is>
          <t>largecap</t>
        </is>
      </c>
      <c r="H341" s="31" t="n">
        <v>435483.8</v>
      </c>
      <c r="I341" s="31" t="n">
        <v>3517</v>
      </c>
      <c r="J341" s="31" t="n">
        <v>0.43</v>
      </c>
      <c r="K341" s="31" t="n">
        <v>4629329</v>
      </c>
      <c r="L341" s="30" t="n">
        <v>16</v>
      </c>
      <c r="M341" s="30" t="inlineStr">
        <is>
          <t>Underperforming</t>
        </is>
      </c>
      <c r="N341" s="31">
        <f>IF(M341="Underperforming",-5,IF(L341&gt;=95,15,IF(L341&gt;=90,10,IF(L341&gt;=80,5,0))))</f>
        <v/>
      </c>
      <c r="O341" s="31" t="n">
        <v>62.51</v>
      </c>
      <c r="P341" s="31" t="n">
        <v>12.38</v>
      </c>
      <c r="Q341" s="31" t="inlineStr"/>
      <c r="R341" s="30" t="inlineStr">
        <is>
          <t>Earnings / Momentum Support</t>
        </is>
      </c>
      <c r="S341" s="30" t="inlineStr">
        <is>
          <t>Nifty Auto</t>
        </is>
      </c>
      <c r="T341" s="31" t="n">
        <v>13.41</v>
      </c>
      <c r="U341" s="31" t="n">
        <v>0.63</v>
      </c>
      <c r="V341" s="31" t="n">
        <v>-11.27</v>
      </c>
      <c r="W341" s="31" t="n">
        <v>0.5600000000000001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Headwind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3</t>
        </is>
      </c>
      <c r="BC341" s="30">
        <f>IF(BB341="Stage 2",20,IF(BB341="Stage 1",0,IF(BB341="Stage 3",5,IF(BB341="Stage 4",-5,0))))</f>
        <v/>
      </c>
      <c r="BD341" s="30" t="inlineStr">
        <is>
          <t>Negative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More than 20%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No</t>
        </is>
      </c>
      <c r="BS341" s="30">
        <f>IF(BR341="NO",5,0)</f>
        <v/>
      </c>
      <c r="BT341" s="30" t="inlineStr">
        <is>
          <t>Less than 1.5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More than 1.2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IF(B342=0,"",RANK(B342,$B$2:$B$400,0))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FMGOETZE</t>
        </is>
      </c>
      <c r="D342" s="32" t="inlineStr">
        <is>
          <t>Federal-mogul Goetze (india) Limited.</t>
        </is>
      </c>
      <c r="E342" s="30" t="inlineStr">
        <is>
          <t>auto</t>
        </is>
      </c>
      <c r="F342" s="30" t="inlineStr">
        <is>
          <t>auto ancillaries</t>
        </is>
      </c>
      <c r="G342" s="30" t="inlineStr">
        <is>
          <t>smallcap</t>
        </is>
      </c>
      <c r="H342" s="31" t="n">
        <v>2738.49</v>
      </c>
      <c r="I342" s="31" t="n">
        <v>492.95</v>
      </c>
      <c r="J342" s="31" t="n">
        <v>0.14</v>
      </c>
      <c r="K342" s="31" t="n">
        <v>44378</v>
      </c>
      <c r="L342" s="30" t="n">
        <v>11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59.29</v>
      </c>
      <c r="P342" s="31" t="n">
        <v>13.34</v>
      </c>
      <c r="Q342" s="31" t="inlineStr"/>
      <c r="R342" s="30" t="inlineStr">
        <is>
          <t>Earnings / Momentum Support</t>
        </is>
      </c>
      <c r="S342" s="30" t="inlineStr">
        <is>
          <t>Nifty Auto</t>
        </is>
      </c>
      <c r="T342" s="31" t="n">
        <v>13.41</v>
      </c>
      <c r="U342" s="31" t="n">
        <v>-15.27</v>
      </c>
      <c r="V342" s="31" t="n">
        <v>-25.29</v>
      </c>
      <c r="W342" s="31" t="n">
        <v>-0.83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Headwind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3</t>
        </is>
      </c>
      <c r="BC342" s="30">
        <f>IF(BB342="Stage 2",20,IF(BB342="Stage 1",0,IF(BB342="Stage 3",5,IF(BB342="Stage 4",-5,0))))</f>
        <v/>
      </c>
      <c r="BD342" s="30" t="inlineStr">
        <is>
          <t>Negative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Less than 12%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No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Above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IF(B343=0,"",RANK(B343,$B$2:$B$400,0))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2" t="inlineStr">
        <is>
          <t>THEJO</t>
        </is>
      </c>
      <c r="D343" s="32" t="inlineStr">
        <is>
          <t>Thejo Engineering Ltd</t>
        </is>
      </c>
      <c r="E343" s="30" t="inlineStr">
        <is>
          <t>industrials</t>
        </is>
      </c>
      <c r="F343" s="30" t="inlineStr">
        <is>
          <t>engineering</t>
        </is>
      </c>
      <c r="G343" s="30" t="inlineStr">
        <is>
          <t>smallcap</t>
        </is>
      </c>
      <c r="H343" s="31" t="n">
        <v>2412.37</v>
      </c>
      <c r="I343" s="31" t="n">
        <v>2223</v>
      </c>
      <c r="J343" s="31" t="n">
        <v>-0.04</v>
      </c>
      <c r="K343" s="31" t="n">
        <v>9520</v>
      </c>
      <c r="L343" s="30" t="n">
        <v>37</v>
      </c>
      <c r="M343" s="30" t="inlineStr">
        <is>
          <t>Underperforming</t>
        </is>
      </c>
      <c r="N343" s="31">
        <f>IF(M343="Underperforming",-5,IF(L343&gt;=95,15,IF(L343&gt;=90,10,IF(L343&gt;=80,5,0))))</f>
        <v/>
      </c>
      <c r="O343" s="31" t="n">
        <v>71.39</v>
      </c>
      <c r="P343" s="31" t="n">
        <v>24.87</v>
      </c>
      <c r="Q343" s="31" t="inlineStr"/>
      <c r="R343" s="30" t="inlineStr">
        <is>
          <t>Earnings / Momentum Support</t>
        </is>
      </c>
      <c r="S343" s="30" t="inlineStr">
        <is>
          <t>Nifty 50</t>
        </is>
      </c>
      <c r="T343" s="31" t="n">
        <v>0.85</v>
      </c>
      <c r="U343" s="31" t="n">
        <v>-1.81</v>
      </c>
      <c r="V343" s="31" t="n">
        <v>-2.64</v>
      </c>
      <c r="W343" s="31" t="n">
        <v>5.12</v>
      </c>
      <c r="X343" s="30" t="inlineStr">
        <is>
          <t>Cyclical in an Upturn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Headwind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20 to 40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3</t>
        </is>
      </c>
      <c r="BC343" s="30">
        <f>IF(BB343="Stage 2",20,IF(BB343="Stage 1",0,IF(BB343="Stage 3",5,IF(BB343="Stage 4",-5,0))))</f>
        <v/>
      </c>
      <c r="BD343" s="30" t="inlineStr">
        <is>
          <t>Negative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Less than 12%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Yes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Between 50% to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IF(B344=0,"",RANK(B344,$B$2:$B$400,0))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2" t="inlineStr">
        <is>
          <t>ULTRACEMCO</t>
        </is>
      </c>
      <c r="D344" s="32" t="inlineStr">
        <is>
          <t>Ultratech Cement Limited</t>
        </is>
      </c>
      <c r="E344" s="30" t="inlineStr">
        <is>
          <t>building materials</t>
        </is>
      </c>
      <c r="F344" s="30" t="inlineStr">
        <is>
          <t>cement - north india</t>
        </is>
      </c>
      <c r="G344" s="30" t="inlineStr">
        <is>
          <t>largecap</t>
        </is>
      </c>
      <c r="H344" s="31" t="n">
        <v>356709.14</v>
      </c>
      <c r="I344" s="31" t="n">
        <v>12038</v>
      </c>
      <c r="J344" s="31" t="n">
        <v>-0.55</v>
      </c>
      <c r="K344" s="31" t="n">
        <v>272336</v>
      </c>
      <c r="L344" s="30" t="n">
        <v>9</v>
      </c>
      <c r="M344" s="30" t="inlineStr">
        <is>
          <t>Underperforming</t>
        </is>
      </c>
      <c r="N344" s="31">
        <f>IF(M344="Underperforming",-5,IF(L344&gt;=95,15,IF(L344&gt;=90,10,IF(L344&gt;=80,5,0))))</f>
        <v/>
      </c>
      <c r="O344" s="31" t="n">
        <v>59.59</v>
      </c>
      <c r="P344" s="31" t="n">
        <v>14.47</v>
      </c>
      <c r="Q344" s="31" t="inlineStr"/>
      <c r="R344" s="30" t="inlineStr">
        <is>
          <t>Earnings / Momentum Support</t>
        </is>
      </c>
      <c r="S344" s="30" t="inlineStr">
        <is>
          <t>Nifty Infra</t>
        </is>
      </c>
      <c r="T344" s="31" t="n">
        <v>1.74</v>
      </c>
      <c r="U344" s="31" t="n">
        <v>-5.57</v>
      </c>
      <c r="V344" s="31" t="n">
        <v>-7.19</v>
      </c>
      <c r="W344" s="31" t="n">
        <v>-1.4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Headwind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0 to 20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3</t>
        </is>
      </c>
      <c r="BC344" s="30">
        <f>IF(BB344="Stage 2",20,IF(BB344="Stage 1",0,IF(BB344="Stage 3",5,IF(BB344="Stage 4",-5,0))))</f>
        <v/>
      </c>
      <c r="BD344" s="30" t="inlineStr">
        <is>
          <t>Negative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Between 12 to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Yes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IF(B345=0,"",RANK(B345,$B$2:$B$400,0))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2" t="inlineStr">
        <is>
          <t>RITES</t>
        </is>
      </c>
      <c r="D345" s="32" t="inlineStr">
        <is>
          <t>Rites Ltd</t>
        </is>
      </c>
      <c r="E345" s="30" t="inlineStr">
        <is>
          <t>miscellaneous</t>
        </is>
      </c>
      <c r="F345" s="30" t="inlineStr">
        <is>
          <t>miscellaneous</t>
        </is>
      </c>
      <c r="G345" s="30" t="inlineStr">
        <is>
          <t>midcap</t>
        </is>
      </c>
      <c r="H345" s="31" t="n">
        <v>11257.66</v>
      </c>
      <c r="I345" s="31" t="n">
        <v>232.84</v>
      </c>
      <c r="J345" s="31" t="n">
        <v>-0.6</v>
      </c>
      <c r="K345" s="31" t="n">
        <v>730305</v>
      </c>
      <c r="L345" s="30" t="n">
        <v>15</v>
      </c>
      <c r="M345" s="30" t="inlineStr">
        <is>
          <t>Underperforming</t>
        </is>
      </c>
      <c r="N345" s="31">
        <f>IF(M345="Underperforming",-5,IF(L345&gt;=95,15,IF(L345&gt;=90,10,IF(L345&gt;=80,5,0))))</f>
        <v/>
      </c>
      <c r="O345" s="31" t="n">
        <v>58.35</v>
      </c>
      <c r="P345" s="31" t="n">
        <v>14.67</v>
      </c>
      <c r="Q345" s="31" t="inlineStr"/>
      <c r="R345" s="30" t="inlineStr">
        <is>
          <t>Earnings / Momentum Support</t>
        </is>
      </c>
      <c r="S345" s="30" t="inlineStr">
        <is>
          <t>Nifty 50</t>
        </is>
      </c>
      <c r="T345" s="31" t="n">
        <v>0.85</v>
      </c>
      <c r="U345" s="31" t="n">
        <v>-2.16</v>
      </c>
      <c r="V345" s="31" t="n">
        <v>-2.98</v>
      </c>
      <c r="W345" s="31" t="n">
        <v>0.25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Headwind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3</t>
        </is>
      </c>
      <c r="BC345" s="30">
        <f>IF(BB345="Stage 2",20,IF(BB345="Stage 1",0,IF(BB345="Stage 3",5,IF(BB345="Stage 4",-5,0))))</f>
        <v/>
      </c>
      <c r="BD345" s="30" t="inlineStr">
        <is>
          <t>Negative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Less than 12%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No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Above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IF(B346=0,"",RANK(B346,$B$2:$B$400,0))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2" t="inlineStr">
        <is>
          <t>TIIL</t>
        </is>
      </c>
      <c r="D346" s="32" t="inlineStr">
        <is>
          <t>Technocraft Industries (india) Limited</t>
        </is>
      </c>
      <c r="E346" s="30" t="inlineStr">
        <is>
          <t>metals &amp; mining</t>
        </is>
      </c>
      <c r="F346" s="30" t="inlineStr">
        <is>
          <t>steel - medium / small</t>
        </is>
      </c>
      <c r="G346" s="30" t="inlineStr">
        <is>
          <t>midcap</t>
        </is>
      </c>
      <c r="H346" s="31" t="n">
        <v>6106.92</v>
      </c>
      <c r="I346" s="31" t="n">
        <v>2675.3</v>
      </c>
      <c r="J346" s="31" t="n">
        <v>-0.68</v>
      </c>
      <c r="K346" s="31" t="n">
        <v>11079</v>
      </c>
      <c r="L346" s="30" t="n">
        <v>6</v>
      </c>
      <c r="M346" s="30" t="inlineStr">
        <is>
          <t>Underperforming</t>
        </is>
      </c>
      <c r="N346" s="31">
        <f>IF(M346="Underperforming",-5,IF(L346&gt;=95,15,IF(L346&gt;=90,10,IF(L346&gt;=80,5,0))))</f>
        <v/>
      </c>
      <c r="O346" s="31" t="n">
        <v>61.4</v>
      </c>
      <c r="P346" s="31" t="n">
        <v>24.98</v>
      </c>
      <c r="Q346" s="31" t="inlineStr"/>
      <c r="R346" s="30" t="inlineStr">
        <is>
          <t>Earnings / Momentum Support</t>
        </is>
      </c>
      <c r="S346" s="30" t="inlineStr">
        <is>
          <t>Nifty Metal</t>
        </is>
      </c>
      <c r="T346" s="31" t="n">
        <v>31.49</v>
      </c>
      <c r="U346" s="31" t="n">
        <v>-21.23</v>
      </c>
      <c r="V346" s="31" t="n">
        <v>-40.1</v>
      </c>
      <c r="W346" s="31" t="n">
        <v>-2.25</v>
      </c>
      <c r="X346" s="30" t="inlineStr">
        <is>
          <t>Cyclical in an Upturn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Headwind</t>
        </is>
      </c>
      <c r="AE346" s="30">
        <f>IF(AD346="Tailwind",10,0)</f>
        <v/>
      </c>
      <c r="AF346" s="30" t="inlineStr">
        <is>
          <t>Cyclical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Volatile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No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20 to 40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3</t>
        </is>
      </c>
      <c r="BC346" s="30">
        <f>IF(BB346="Stage 2",20,IF(BB346="Stage 1",0,IF(BB346="Stage 3",5,IF(BB346="Stage 4",-5,0))))</f>
        <v/>
      </c>
      <c r="BD346" s="30" t="inlineStr">
        <is>
          <t>Negative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Between 12 to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Less than 1.5</t>
        </is>
      </c>
      <c r="BU346" s="30">
        <f>IF(BT346="Above 2",0,IF(BT346="Between 1.5 to 2",5,IF(BT346="Less than 1.5",10,0)))</f>
        <v/>
      </c>
      <c r="BV346" s="30" t="inlineStr">
        <is>
          <t>Between 50% to 70%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IF(B347=0,"",RANK(B347,$B$2:$B$400,0))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2" t="inlineStr">
        <is>
          <t>RAMRAT</t>
        </is>
      </c>
      <c r="D347" s="32" t="inlineStr">
        <is>
          <t>Ram Ratna Wires Ltd</t>
        </is>
      </c>
      <c r="E347" s="30" t="inlineStr">
        <is>
          <t>metals &amp; mining</t>
        </is>
      </c>
      <c r="F347" s="30" t="inlineStr">
        <is>
          <t>mining / minerals / metals</t>
        </is>
      </c>
      <c r="G347" s="30" t="inlineStr">
        <is>
          <t>smallcap</t>
        </is>
      </c>
      <c r="H347" s="31" t="n">
        <v>4308.99</v>
      </c>
      <c r="I347" s="31" t="n">
        <v>457.8</v>
      </c>
      <c r="J347" s="31" t="n">
        <v>-0.82</v>
      </c>
      <c r="K347" s="31" t="n">
        <v>119476</v>
      </c>
      <c r="L347" s="30" t="n">
        <v>38</v>
      </c>
      <c r="M347" s="30" t="inlineStr">
        <is>
          <t>Underperforming</t>
        </is>
      </c>
      <c r="N347" s="31">
        <f>IF(M347="Underperforming",-5,IF(L347&gt;=95,15,IF(L347&gt;=90,10,IF(L347&gt;=80,5,0))))</f>
        <v/>
      </c>
      <c r="O347" s="31" t="n">
        <v>67.7</v>
      </c>
      <c r="P347" s="31" t="n">
        <v>42.67</v>
      </c>
      <c r="Q347" s="31" t="inlineStr"/>
      <c r="R347" s="30" t="inlineStr">
        <is>
          <t>Earnings / Momentum Support</t>
        </is>
      </c>
      <c r="S347" s="30" t="inlineStr">
        <is>
          <t>Nifty Metal</t>
        </is>
      </c>
      <c r="T347" s="31" t="n">
        <v>31.49</v>
      </c>
      <c r="U347" s="31" t="n">
        <v>18.75</v>
      </c>
      <c r="V347" s="31" t="n">
        <v>-9.69</v>
      </c>
      <c r="W347" s="31" t="n">
        <v>5.5</v>
      </c>
      <c r="X347" s="30" t="inlineStr">
        <is>
          <t>Cyclical in an Upturn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No</t>
        </is>
      </c>
      <c r="AC347" s="30">
        <f>IF(AB347="No",5,0)</f>
        <v/>
      </c>
      <c r="AD347" s="30" t="inlineStr">
        <is>
          <t>Headwind</t>
        </is>
      </c>
      <c r="AE347" s="30">
        <f>IF(AD347="Tailwind",10,0)</f>
        <v/>
      </c>
      <c r="AF347" s="30" t="inlineStr">
        <is>
          <t>Cyclical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Volatile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Above 40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3</t>
        </is>
      </c>
      <c r="BC347" s="30">
        <f>IF(BB347="Stage 2",20,IF(BB347="Stage 1",0,IF(BB347="Stage 3",5,IF(BB347="Stage 4",-5,0))))</f>
        <v/>
      </c>
      <c r="BD347" s="30" t="inlineStr">
        <is>
          <t>Negative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More than 20%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Above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Between 0.7 to 1.2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IF(B348=0,"",RANK(B348,$B$2:$B$400,0))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0" t="inlineStr">
        <is>
          <t>DIACABS</t>
        </is>
      </c>
      <c r="D348" s="30" t="inlineStr">
        <is>
          <t>Diamond Power Infrastructure Ltd</t>
        </is>
      </c>
      <c r="E348" s="30" t="inlineStr">
        <is>
          <t>industrials</t>
        </is>
      </c>
      <c r="F348" s="30" t="inlineStr">
        <is>
          <t>cables - power</t>
        </is>
      </c>
      <c r="G348" s="30" t="inlineStr">
        <is>
          <t>midcap</t>
        </is>
      </c>
      <c r="H348" s="31" t="n">
        <v>19184.38</v>
      </c>
      <c r="I348" s="31" t="n">
        <v>360.5</v>
      </c>
      <c r="J348" s="31" t="n">
        <v>-0.98</v>
      </c>
      <c r="K348" s="31" t="n">
        <v>2040917</v>
      </c>
      <c r="L348" s="30" t="n">
        <v>78</v>
      </c>
      <c r="M348" s="30" t="inlineStr">
        <is>
          <t>Outperforming</t>
        </is>
      </c>
      <c r="N348" s="31">
        <f>IF(M348="Underperforming",-5,IF(L348&gt;=95,15,IF(L348&gt;=90,10,IF(L348&gt;=80,5,0))))</f>
        <v/>
      </c>
      <c r="O348" s="31" t="n">
        <v>88.61</v>
      </c>
      <c r="P348" s="31" t="n">
        <v>62.7</v>
      </c>
      <c r="Q348" s="31" t="inlineStr"/>
      <c r="R348" s="30" t="inlineStr">
        <is>
          <t>Earnings / Momentum Support</t>
        </is>
      </c>
      <c r="S348" s="30" t="inlineStr">
        <is>
          <t>Nifty Energy</t>
        </is>
      </c>
      <c r="T348" s="31" t="n">
        <v>8.41</v>
      </c>
      <c r="U348" s="31" t="n">
        <v>31.69</v>
      </c>
      <c r="V348" s="31" t="n">
        <v>21.48</v>
      </c>
      <c r="W348" s="31" t="n">
        <v>17.59</v>
      </c>
      <c r="X348" s="30" t="inlineStr">
        <is>
          <t>Cyclical in an Upturn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Headwind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Above 40</t>
        </is>
      </c>
      <c r="AY348" s="30">
        <f>IF(AX348="Above 40",20,IF(AX348="20 to 40",10,IF(AX348="0 to 20",-5,0)))</f>
        <v/>
      </c>
      <c r="AZ348" s="30" t="inlineStr">
        <is>
          <t>Above 75</t>
        </is>
      </c>
      <c r="BA348" s="30">
        <f>IF(AZ348="Between 50 to 75",10,IF(AZ348="Above 75",0,0))</f>
        <v/>
      </c>
      <c r="BB348" s="30" t="inlineStr">
        <is>
          <t>Stage 3</t>
        </is>
      </c>
      <c r="BC348" s="30">
        <f>IF(BB348="Stage 2",20,IF(BB348="Stage 1",0,IF(BB348="Stage 3",5,IF(BB348="Stage 4",-5,0))))</f>
        <v/>
      </c>
      <c r="BD348" s="30" t="inlineStr">
        <is>
          <t>Negative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More than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Yes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Negative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IF(B349=0,"",RANK(B349,$B$2:$B$400,0))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2" t="inlineStr">
        <is>
          <t>SUNFLAG</t>
        </is>
      </c>
      <c r="D349" s="32" t="inlineStr">
        <is>
          <t>Sunflag Iron And Steel Company Limited</t>
        </is>
      </c>
      <c r="E349" s="30" t="inlineStr">
        <is>
          <t>metals &amp; mining</t>
        </is>
      </c>
      <c r="F349" s="30" t="inlineStr">
        <is>
          <t>steel - medium / small</t>
        </is>
      </c>
      <c r="G349" s="30" t="inlineStr">
        <is>
          <t>midcap</t>
        </is>
      </c>
      <c r="H349" s="31" t="n">
        <v>7017.75</v>
      </c>
      <c r="I349" s="31" t="n">
        <v>380.85</v>
      </c>
      <c r="J349" s="31" t="n">
        <v>-2.2</v>
      </c>
      <c r="K349" s="31" t="n">
        <v>199815</v>
      </c>
      <c r="L349" s="30" t="n">
        <v>55</v>
      </c>
      <c r="M349" s="30" t="inlineStr">
        <is>
          <t>Underperforming</t>
        </is>
      </c>
      <c r="N349" s="31">
        <f>IF(M349="Underperforming",-5,IF(L349&gt;=95,15,IF(L349&gt;=90,10,IF(L349&gt;=80,5,0))))</f>
        <v/>
      </c>
      <c r="O349" s="31" t="n">
        <v>67.2</v>
      </c>
      <c r="P349" s="31" t="n">
        <v>43.71</v>
      </c>
      <c r="Q349" s="31" t="inlineStr"/>
      <c r="R349" s="30" t="inlineStr">
        <is>
          <t>Earnings / Momentum Support</t>
        </is>
      </c>
      <c r="S349" s="30" t="inlineStr">
        <is>
          <t>Nifty Metal</t>
        </is>
      </c>
      <c r="T349" s="31" t="n">
        <v>31.49</v>
      </c>
      <c r="U349" s="31" t="n">
        <v>16.87</v>
      </c>
      <c r="V349" s="31" t="n">
        <v>-11.12</v>
      </c>
      <c r="W349" s="31" t="n">
        <v>9.19</v>
      </c>
      <c r="X349" s="30" t="inlineStr">
        <is>
          <t>Cyclical in an Upturn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Headwind</t>
        </is>
      </c>
      <c r="AE349" s="30">
        <f>IF(AD349="Tailwind",10,0)</f>
        <v/>
      </c>
      <c r="AF349" s="30" t="inlineStr">
        <is>
          <t>Cyclical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Volatile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Above 40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3</t>
        </is>
      </c>
      <c r="BC349" s="30">
        <f>IF(BB349="Stage 2",20,IF(BB349="Stage 1",0,IF(BB349="Stage 3",5,IF(BB349="Stage 4",-5,0))))</f>
        <v/>
      </c>
      <c r="BD349" s="30" t="inlineStr">
        <is>
          <t>Negative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Less than 12%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No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Above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IF(B350=0,"",RANK(B350,$B$2:$B$400,0))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0" t="inlineStr">
        <is>
          <t>TRAVELFOOD</t>
        </is>
      </c>
      <c r="D350" s="30" t="inlineStr">
        <is>
          <t>Travel Food Services Ltd</t>
        </is>
      </c>
      <c r="E350" s="30" t="inlineStr">
        <is>
          <t>consumer discretionary</t>
        </is>
      </c>
      <c r="F350" s="30" t="inlineStr">
        <is>
          <t>hotels</t>
        </is>
      </c>
      <c r="G350" s="30" t="inlineStr">
        <is>
          <t>midcap</t>
        </is>
      </c>
      <c r="H350" s="31" t="n">
        <v>18811.73</v>
      </c>
      <c r="I350" s="31" t="n">
        <v>1396.9</v>
      </c>
      <c r="J350" s="31" t="n">
        <v>-2.22</v>
      </c>
      <c r="K350" s="31" t="n">
        <v>92189</v>
      </c>
      <c r="L350" s="30" t="n">
        <v>52</v>
      </c>
      <c r="M350" s="30" t="inlineStr">
        <is>
          <t>Outperforming</t>
        </is>
      </c>
      <c r="N350" s="31">
        <f>IF(M350="Underperforming",-5,IF(L350&gt;=95,15,IF(L350&gt;=90,10,IF(L350&gt;=80,5,0))))</f>
        <v/>
      </c>
      <c r="O350" s="31" t="n">
        <v>64.34</v>
      </c>
      <c r="P350" s="31" t="n">
        <v>12.93</v>
      </c>
      <c r="Q350" s="31" t="inlineStr"/>
      <c r="R350" s="30" t="inlineStr">
        <is>
          <t>Earnings / Momentum Support</t>
        </is>
      </c>
      <c r="S350" s="30" t="inlineStr">
        <is>
          <t>Nifty 50</t>
        </is>
      </c>
      <c r="T350" s="31" t="n">
        <v>0.85</v>
      </c>
      <c r="U350" s="31" t="n">
        <v>27.58</v>
      </c>
      <c r="V350" s="31" t="n">
        <v>26.5</v>
      </c>
      <c r="W350" s="31" t="n">
        <v>8.52</v>
      </c>
      <c r="X350" s="30" t="inlineStr">
        <is>
          <t>Growing Industry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No</t>
        </is>
      </c>
      <c r="AC350" s="30">
        <f>IF(AB350="No",5,0)</f>
        <v/>
      </c>
      <c r="AD350" s="30" t="inlineStr">
        <is>
          <t>Headwind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0 to 20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3</t>
        </is>
      </c>
      <c r="BC350" s="30">
        <f>IF(BB350="Stage 2",20,IF(BB350="Stage 1",0,IF(BB350="Stage 3",5,IF(BB350="Stage 4",-5,0))))</f>
        <v/>
      </c>
      <c r="BD350" s="30" t="inlineStr">
        <is>
          <t>Negative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Between 12 to 20%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Between 50% to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IF(B351=0,"",RANK(B351,$B$2:$B$400,0))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MANAKSTEEL</t>
        </is>
      </c>
      <c r="D351" s="32" t="inlineStr">
        <is>
          <t>Manaksia Steels Limited</t>
        </is>
      </c>
      <c r="E351" s="30" t="inlineStr">
        <is>
          <t>metals &amp; mining</t>
        </is>
      </c>
      <c r="F351" s="30" t="inlineStr">
        <is>
          <t>steel - medium / small</t>
        </is>
      </c>
      <c r="G351" s="30" t="inlineStr">
        <is>
          <t>smallcap</t>
        </is>
      </c>
      <c r="H351" s="31" t="n">
        <v>553.3</v>
      </c>
      <c r="I351" s="31" t="n">
        <v>80.20999999999999</v>
      </c>
      <c r="J351" s="31" t="n">
        <v>-5</v>
      </c>
      <c r="K351" s="31" t="n">
        <v>115463</v>
      </c>
      <c r="L351" s="30" t="n">
        <v>41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65.5</v>
      </c>
      <c r="P351" s="31" t="n">
        <v>38.81</v>
      </c>
      <c r="Q351" s="31" t="inlineStr"/>
      <c r="R351" s="30" t="inlineStr">
        <is>
          <t>Earnings / Momentum Support</t>
        </is>
      </c>
      <c r="S351" s="30" t="inlineStr">
        <is>
          <t>Nifty Metal</t>
        </is>
      </c>
      <c r="T351" s="31" t="n">
        <v>31.49</v>
      </c>
      <c r="U351" s="31" t="n">
        <v>22.49</v>
      </c>
      <c r="V351" s="31" t="n">
        <v>-6.85</v>
      </c>
      <c r="W351" s="31" t="n">
        <v>6.01</v>
      </c>
      <c r="X351" s="30" t="inlineStr">
        <is>
          <t>Cyclical in an Upturn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Headwind</t>
        </is>
      </c>
      <c r="AE351" s="30">
        <f>IF(AD351="Tailwind",10,0)</f>
        <v/>
      </c>
      <c r="AF351" s="30" t="inlineStr">
        <is>
          <t>Cyclical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Volatile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20 to 40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3</t>
        </is>
      </c>
      <c r="BC351" s="30">
        <f>IF(BB351="Stage 2",20,IF(BB351="Stage 1",0,IF(BB351="Stage 3",5,IF(BB351="Stage 4",-5,0))))</f>
        <v/>
      </c>
      <c r="BD351" s="30" t="inlineStr">
        <is>
          <t>Negative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More than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No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Above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IF(B352=0,"",RANK(B352,$B$2:$B$400,0))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0" t="inlineStr">
        <is>
          <t>SMLMAH</t>
        </is>
      </c>
      <c r="D352" s="30" t="inlineStr">
        <is>
          <t>SML Mahindra Ltd</t>
        </is>
      </c>
      <c r="E352" s="30" t="inlineStr">
        <is>
          <t>auto</t>
        </is>
      </c>
      <c r="F352" s="30" t="inlineStr">
        <is>
          <t>automobiles - lcvs / hcvs</t>
        </is>
      </c>
      <c r="G352" s="30" t="inlineStr">
        <is>
          <t>midcap</t>
        </is>
      </c>
      <c r="H352" s="31" t="n">
        <v>8037.55</v>
      </c>
      <c r="I352" s="31" t="n">
        <v>5227</v>
      </c>
      <c r="J352" s="31" t="n">
        <v>-5.89</v>
      </c>
      <c r="K352" s="31" t="n">
        <v>148630</v>
      </c>
      <c r="L352" s="30" t="n">
        <v>38</v>
      </c>
      <c r="M352" s="30" t="inlineStr">
        <is>
          <t>Outperforming</t>
        </is>
      </c>
      <c r="N352" s="31">
        <f>IF(M352="Underperforming",-5,IF(L352&gt;=95,15,IF(L352&gt;=90,10,IF(L352&gt;=80,5,0))))</f>
        <v/>
      </c>
      <c r="O352" s="31" t="n">
        <v>68.89</v>
      </c>
      <c r="P352" s="31" t="n">
        <v>12.21</v>
      </c>
      <c r="Q352" s="31" t="inlineStr"/>
      <c r="R352" s="30" t="inlineStr">
        <is>
          <t>Earnings / Momentum Support</t>
        </is>
      </c>
      <c r="S352" s="30" t="inlineStr">
        <is>
          <t>Nifty Auto</t>
        </is>
      </c>
      <c r="T352" s="31" t="n">
        <v>13.41</v>
      </c>
      <c r="U352" s="31" t="n">
        <v>24.19</v>
      </c>
      <c r="V352" s="31" t="n">
        <v>9.5</v>
      </c>
      <c r="W352" s="31" t="n">
        <v>5.34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Headwind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3</t>
        </is>
      </c>
      <c r="BC352" s="30">
        <f>IF(BB352="Stage 2",20,IF(BB352="Stage 1",0,IF(BB352="Stage 3",5,IF(BB352="Stage 4",-5,0))))</f>
        <v/>
      </c>
      <c r="BD352" s="30" t="inlineStr">
        <is>
          <t>Negative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Less than 12%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Yes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Above 70%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IF(B353=0,"",RANK(B353,$B$2:$B$400,0))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2" t="inlineStr">
        <is>
          <t>HCG</t>
        </is>
      </c>
      <c r="D353" s="32" t="inlineStr">
        <is>
          <t>Healthcare Global Enterprises Limited</t>
        </is>
      </c>
      <c r="E353" s="30" t="inlineStr">
        <is>
          <t>healthcare</t>
        </is>
      </c>
      <c r="F353" s="30" t="inlineStr">
        <is>
          <t>healthcare</t>
        </is>
      </c>
      <c r="G353" s="30" t="inlineStr">
        <is>
          <t>midcap</t>
        </is>
      </c>
      <c r="H353" s="31" t="n">
        <v>10090.59</v>
      </c>
      <c r="I353" s="31" t="n">
        <v>715.65</v>
      </c>
      <c r="J353" s="31" t="n">
        <v>5.89</v>
      </c>
      <c r="K353" s="31" t="n">
        <v>515232</v>
      </c>
      <c r="L353" s="30" t="n">
        <v>39</v>
      </c>
      <c r="M353" s="30" t="inlineStr">
        <is>
          <t>Underperforming</t>
        </is>
      </c>
      <c r="N353" s="31">
        <f>IF(M353="Underperforming",-5,IF(L353&gt;=95,15,IF(L353&gt;=90,10,IF(L353&gt;=80,5,0))))</f>
        <v/>
      </c>
      <c r="O353" s="31" t="n">
        <v>62.27</v>
      </c>
      <c r="P353" s="31" t="n">
        <v>26.78</v>
      </c>
      <c r="Q353" s="31" t="inlineStr"/>
      <c r="R353" s="30" t="inlineStr">
        <is>
          <t>Earnings / Momentum Support</t>
        </is>
      </c>
      <c r="S353" s="30" t="inlineStr">
        <is>
          <t>Nifty Pharma</t>
        </is>
      </c>
      <c r="T353" s="31" t="n">
        <v>24.01</v>
      </c>
      <c r="U353" s="31" t="n">
        <v>9.51</v>
      </c>
      <c r="V353" s="31" t="n">
        <v>-11.69</v>
      </c>
      <c r="W353" s="31" t="n">
        <v>5.6</v>
      </c>
      <c r="X353" s="30" t="inlineStr">
        <is>
          <t>Growing Industry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Yes</t>
        </is>
      </c>
      <c r="AC353" s="30">
        <f>IF(AB353="No",5,0)</f>
        <v/>
      </c>
      <c r="AD353" s="30" t="inlineStr">
        <is>
          <t>Headwind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No</t>
        </is>
      </c>
      <c r="AQ353" s="30">
        <f>IF(AP353="Yes",10,0)</f>
        <v/>
      </c>
      <c r="AR353" s="30" t="inlineStr">
        <is>
          <t>Higher Annuity, Lower One Time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20 to 40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3</t>
        </is>
      </c>
      <c r="BC353" s="30">
        <f>IF(BB353="Stage 2",20,IF(BB353="Stage 1",0,IF(BB353="Stage 3",5,IF(BB353="Stage 4",-5,0))))</f>
        <v/>
      </c>
      <c r="BD353" s="30" t="inlineStr">
        <is>
          <t>Negative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More than 20%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Yes</t>
        </is>
      </c>
      <c r="BS353" s="30">
        <f>IF(BR353="NO",5,0)</f>
        <v/>
      </c>
      <c r="BT353" s="30" t="inlineStr">
        <is>
          <t>Above 2</t>
        </is>
      </c>
      <c r="BU353" s="30">
        <f>IF(BT353="Above 2",0,IF(BT353="Between 1.5 to 2",5,IF(BT353="Less than 1.5",10,0)))</f>
        <v/>
      </c>
      <c r="BV353" s="30" t="inlineStr">
        <is>
          <t>Above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More than 1.2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IF(B354=0,"",RANK(B354,$B$2:$B$400,0))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2" t="inlineStr">
        <is>
          <t>INDGN</t>
        </is>
      </c>
      <c r="D354" s="32" t="inlineStr">
        <is>
          <t>Indegene Ltd</t>
        </is>
      </c>
      <c r="E354" s="30" t="inlineStr">
        <is>
          <t>healthcare</t>
        </is>
      </c>
      <c r="F354" s="30" t="inlineStr">
        <is>
          <t>miscellaneous</t>
        </is>
      </c>
      <c r="G354" s="30" t="inlineStr">
        <is>
          <t>midcap</t>
        </is>
      </c>
      <c r="H354" s="31" t="n">
        <v>13359.71</v>
      </c>
      <c r="I354" s="31" t="n">
        <v>568.75</v>
      </c>
      <c r="J354" s="31" t="n">
        <v>2.58</v>
      </c>
      <c r="K354" s="31" t="n">
        <v>1362509</v>
      </c>
      <c r="L354" s="30" t="n">
        <v>17</v>
      </c>
      <c r="M354" s="30" t="inlineStr">
        <is>
          <t>Underperforming</t>
        </is>
      </c>
      <c r="N354" s="31">
        <f>IF(M354="Underperforming",-5,IF(L354&gt;=95,15,IF(L354&gt;=90,10,IF(L354&gt;=80,5,0))))</f>
        <v/>
      </c>
      <c r="O354" s="31" t="n">
        <v>61.92</v>
      </c>
      <c r="P354" s="31" t="n">
        <v>15.75</v>
      </c>
      <c r="Q354" s="31" t="inlineStr"/>
      <c r="R354" s="30" t="inlineStr">
        <is>
          <t>Earnings / Momentum Support</t>
        </is>
      </c>
      <c r="S354" s="30" t="inlineStr">
        <is>
          <t>Nifty Pharma</t>
        </is>
      </c>
      <c r="T354" s="31" t="n">
        <v>24.01</v>
      </c>
      <c r="U354" s="31" t="n">
        <v>-2.48</v>
      </c>
      <c r="V354" s="31" t="n">
        <v>-21.36</v>
      </c>
      <c r="W354" s="31" t="n">
        <v>0.72</v>
      </c>
      <c r="X354" s="30" t="inlineStr">
        <is>
          <t>Growing Industry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Yes</t>
        </is>
      </c>
      <c r="AC354" s="30">
        <f>IF(AB354="No",5,0)</f>
        <v/>
      </c>
      <c r="AD354" s="30" t="inlineStr">
        <is>
          <t>Headwind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Annuity, Lower One Time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3</t>
        </is>
      </c>
      <c r="BC354" s="30">
        <f>IF(BB354="Stage 2",20,IF(BB354="Stage 1",0,IF(BB354="Stage 3",5,IF(BB354="Stage 4",-5,0))))</f>
        <v/>
      </c>
      <c r="BD354" s="30" t="inlineStr">
        <is>
          <t>Negative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Less than 12%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Above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IF(B355=0,"",RANK(B355,$B$2:$B$400,0))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2" t="inlineStr">
        <is>
          <t>UTTAMSUGAR</t>
        </is>
      </c>
      <c r="D355" s="32" t="inlineStr">
        <is>
          <t>Uttam Sugar Mills Limited</t>
        </is>
      </c>
      <c r="E355" s="30" t="inlineStr">
        <is>
          <t>fmcg</t>
        </is>
      </c>
      <c r="F355" s="30" t="inlineStr">
        <is>
          <t>sugar</t>
        </is>
      </c>
      <c r="G355" s="30" t="inlineStr">
        <is>
          <t>smallcap</t>
        </is>
      </c>
      <c r="H355" s="31" t="n">
        <v>964.02</v>
      </c>
      <c r="I355" s="31" t="n">
        <v>258.72</v>
      </c>
      <c r="J355" s="31" t="n">
        <v>2.35</v>
      </c>
      <c r="K355" s="31" t="n">
        <v>292383</v>
      </c>
      <c r="L355" s="30" t="n">
        <v>3</v>
      </c>
      <c r="M355" s="30" t="inlineStr">
        <is>
          <t>Underperforming</t>
        </is>
      </c>
      <c r="N355" s="31">
        <f>IF(M355="Underperforming",-5,IF(L355&gt;=95,15,IF(L355&gt;=90,10,IF(L355&gt;=80,5,0))))</f>
        <v/>
      </c>
      <c r="O355" s="31" t="n">
        <v>56.27</v>
      </c>
      <c r="P355" s="31" t="n">
        <v>11.67</v>
      </c>
      <c r="Q355" s="31" t="inlineStr"/>
      <c r="R355" s="30" t="inlineStr">
        <is>
          <t>Earnings / Momentum Support</t>
        </is>
      </c>
      <c r="S355" s="30" t="inlineStr">
        <is>
          <t>Nifty FMCG</t>
        </is>
      </c>
      <c r="T355" s="31" t="n">
        <v>-13.73</v>
      </c>
      <c r="U355" s="31" t="n">
        <v>-16.3</v>
      </c>
      <c r="V355" s="31" t="n">
        <v>-2.98</v>
      </c>
      <c r="W355" s="31" t="n">
        <v>-4.07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Headwind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B2C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Annuity, Lower One Time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3</t>
        </is>
      </c>
      <c r="BC355" s="30">
        <f>IF(BB355="Stage 2",20,IF(BB355="Stage 1",0,IF(BB355="Stage 3",5,IF(BB355="Stage 4",-5,0))))</f>
        <v/>
      </c>
      <c r="BD355" s="30" t="inlineStr">
        <is>
          <t>Negative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No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Above 70%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Between 0.7 to 1.2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IF(B356=0,"",RANK(B356,$B$2:$B$400,0))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HATSUN</t>
        </is>
      </c>
      <c r="D356" s="30" t="inlineStr">
        <is>
          <t>Hatsun Agro Product Limited</t>
        </is>
      </c>
      <c r="E356" s="30" t="inlineStr">
        <is>
          <t>fmcg</t>
        </is>
      </c>
      <c r="F356" s="30" t="inlineStr">
        <is>
          <t>food - processing - indian</t>
        </is>
      </c>
      <c r="G356" s="30" t="inlineStr">
        <is>
          <t>largecap</t>
        </is>
      </c>
      <c r="H356" s="31" t="n">
        <v>20962.84</v>
      </c>
      <c r="I356" s="31" t="n">
        <v>952.9</v>
      </c>
      <c r="J356" s="31" t="n">
        <v>1.25</v>
      </c>
      <c r="K356" s="31" t="n">
        <v>54435</v>
      </c>
      <c r="L356" s="30" t="n">
        <v>10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53.47</v>
      </c>
      <c r="P356" s="31" t="n">
        <v>9.380000000000001</v>
      </c>
      <c r="Q356" s="31" t="inlineStr"/>
      <c r="R356" s="30" t="inlineStr">
        <is>
          <t>Earnings / Momentum Support</t>
        </is>
      </c>
      <c r="S356" s="30" t="inlineStr">
        <is>
          <t>Nifty FMCG</t>
        </is>
      </c>
      <c r="T356" s="31" t="n">
        <v>-13.73</v>
      </c>
      <c r="U356" s="31" t="n">
        <v>-0.5600000000000001</v>
      </c>
      <c r="V356" s="31" t="n">
        <v>15.26</v>
      </c>
      <c r="W356" s="31" t="n">
        <v>-0.91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Headwind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B2C</t>
        </is>
      </c>
      <c r="AO356" s="30">
        <f>IF(AN356="B2C",10,IF(AN356="B2B",5,0))</f>
        <v/>
      </c>
      <c r="AP356" s="30" t="inlineStr">
        <is>
          <t>No</t>
        </is>
      </c>
      <c r="AQ356" s="30">
        <f>IF(AP356="Yes",10,0)</f>
        <v/>
      </c>
      <c r="AR356" s="30" t="inlineStr">
        <is>
          <t>Higher Annuity, Lower One Time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3</t>
        </is>
      </c>
      <c r="BC356" s="30">
        <f>IF(BB356="Stage 2",20,IF(BB356="Stage 1",0,IF(BB356="Stage 3",5,IF(BB356="Stage 4",-5,0))))</f>
        <v/>
      </c>
      <c r="BD356" s="30" t="inlineStr">
        <is>
          <t>Negative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Less than 12%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Yes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Above 70%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Between 0.7 to 1.2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IF(B357=0,"",RANK(B357,$B$2:$B$400,0))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2" t="inlineStr">
        <is>
          <t>KIMS</t>
        </is>
      </c>
      <c r="D357" s="32" t="inlineStr">
        <is>
          <t>Krishna Institute of Medical Sciences Ltd</t>
        </is>
      </c>
      <c r="E357" s="30" t="inlineStr">
        <is>
          <t>healthcare</t>
        </is>
      </c>
      <c r="F357" s="30" t="inlineStr">
        <is>
          <t>healthcare</t>
        </is>
      </c>
      <c r="G357" s="30" t="inlineStr">
        <is>
          <t>largecap</t>
        </is>
      </c>
      <c r="H357" s="31" t="n">
        <v>34066.73</v>
      </c>
      <c r="I357" s="31" t="n">
        <v>819.5</v>
      </c>
      <c r="J357" s="31" t="n">
        <v>1.04</v>
      </c>
      <c r="K357" s="31" t="n">
        <v>441893</v>
      </c>
      <c r="L357" s="30" t="n">
        <v>43</v>
      </c>
      <c r="M357" s="30" t="inlineStr">
        <is>
          <t>Underperforming</t>
        </is>
      </c>
      <c r="N357" s="31">
        <f>IF(M357="Underperforming",-5,IF(L357&gt;=95,15,IF(L357&gt;=90,10,IF(L357&gt;=80,5,0))))</f>
        <v/>
      </c>
      <c r="O357" s="31" t="n">
        <v>61.6</v>
      </c>
      <c r="P357" s="31" t="n">
        <v>43.81</v>
      </c>
      <c r="Q357" s="31" t="inlineStr"/>
      <c r="R357" s="30" t="inlineStr">
        <is>
          <t>Earnings / Momentum Support</t>
        </is>
      </c>
      <c r="S357" s="30" t="inlineStr">
        <is>
          <t>Nifty Pharma</t>
        </is>
      </c>
      <c r="T357" s="31" t="n">
        <v>24.01</v>
      </c>
      <c r="U357" s="31" t="n">
        <v>14.03</v>
      </c>
      <c r="V357" s="31" t="n">
        <v>-8.050000000000001</v>
      </c>
      <c r="W357" s="31" t="n">
        <v>6.15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Yes</t>
        </is>
      </c>
      <c r="AC357" s="30">
        <f>IF(AB357="No",5,0)</f>
        <v/>
      </c>
      <c r="AD357" s="30" t="inlineStr">
        <is>
          <t>Headwind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Annuity, Lower One Time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Above 40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3</t>
        </is>
      </c>
      <c r="BC357" s="30">
        <f>IF(BB357="Stage 2",20,IF(BB357="Stage 1",0,IF(BB357="Stage 3",5,IF(BB357="Stage 4",-5,0))))</f>
        <v/>
      </c>
      <c r="BD357" s="30" t="inlineStr">
        <is>
          <t>Negative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Less than 12%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Yes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Above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More than 1.2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IF(B358=0,"",RANK(B358,$B$2:$B$400,0))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2" t="inlineStr">
        <is>
          <t>CIPLA</t>
        </is>
      </c>
      <c r="D358" s="32" t="inlineStr">
        <is>
          <t>Cipla Limited</t>
        </is>
      </c>
      <c r="E358" s="30" t="inlineStr">
        <is>
          <t>healthcare</t>
        </is>
      </c>
      <c r="F358" s="30" t="inlineStr">
        <is>
          <t>pharmaceuticals - indian - bulk drugs &amp; formln</t>
        </is>
      </c>
      <c r="G358" s="30" t="inlineStr">
        <is>
          <t>largecap</t>
        </is>
      </c>
      <c r="H358" s="31" t="n">
        <v>118252.4</v>
      </c>
      <c r="I358" s="31" t="n">
        <v>1467.7</v>
      </c>
      <c r="J358" s="31" t="n">
        <v>0.27</v>
      </c>
      <c r="K358" s="31" t="n">
        <v>1283015</v>
      </c>
      <c r="L358" s="30" t="n">
        <v>22</v>
      </c>
      <c r="M358" s="30" t="inlineStr">
        <is>
          <t>Underperforming</t>
        </is>
      </c>
      <c r="N358" s="31">
        <f>IF(M358="Underperforming",-5,IF(L358&gt;=95,15,IF(L358&gt;=90,10,IF(L358&gt;=80,5,0))))</f>
        <v/>
      </c>
      <c r="O358" s="31" t="n">
        <v>59.26</v>
      </c>
      <c r="P358" s="31" t="n">
        <v>9.25</v>
      </c>
      <c r="Q358" s="31" t="inlineStr"/>
      <c r="R358" s="30" t="inlineStr">
        <is>
          <t>Earnings / Momentum Support</t>
        </is>
      </c>
      <c r="S358" s="30" t="inlineStr">
        <is>
          <t>Nifty Pharma</t>
        </is>
      </c>
      <c r="T358" s="31" t="n">
        <v>24.01</v>
      </c>
      <c r="U358" s="31" t="n">
        <v>-0.5600000000000001</v>
      </c>
      <c r="V358" s="31" t="n">
        <v>-19.81</v>
      </c>
      <c r="W358" s="31" t="n">
        <v>2.07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Yes</t>
        </is>
      </c>
      <c r="AC358" s="30">
        <f>IF(AB358="No",5,0)</f>
        <v/>
      </c>
      <c r="AD358" s="30" t="inlineStr">
        <is>
          <t>Headwind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No</t>
        </is>
      </c>
      <c r="AQ358" s="30">
        <f>IF(AP358="Yes",10,0)</f>
        <v/>
      </c>
      <c r="AR358" s="30" t="inlineStr">
        <is>
          <t>Higher Annuity, Lower One Time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3</t>
        </is>
      </c>
      <c r="BC358" s="30">
        <f>IF(BB358="Stage 2",20,IF(BB358="Stage 1",0,IF(BB358="Stage 3",5,IF(BB358="Stage 4",-5,0))))</f>
        <v/>
      </c>
      <c r="BD358" s="30" t="inlineStr">
        <is>
          <t>Negative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Less than 12%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No</t>
        </is>
      </c>
      <c r="BS358" s="30">
        <f>IF(BR358="NO",5,0)</f>
        <v/>
      </c>
      <c r="BT358" s="30" t="inlineStr">
        <is>
          <t>Above 2</t>
        </is>
      </c>
      <c r="BU358" s="30">
        <f>IF(BT358="Above 2",0,IF(BT358="Between 1.5 to 2",5,IF(BT358="Less than 1.5",10,0)))</f>
        <v/>
      </c>
      <c r="BV358" s="30" t="inlineStr">
        <is>
          <t>Above 70%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Less than 0.7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IF(B359=0,"",RANK(B359,$B$2:$B$400,0))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2" t="inlineStr">
        <is>
          <t>PFIZER</t>
        </is>
      </c>
      <c r="D359" s="32" t="inlineStr">
        <is>
          <t>Pfizer Limited</t>
        </is>
      </c>
      <c r="E359" s="30" t="inlineStr">
        <is>
          <t>healthcare</t>
        </is>
      </c>
      <c r="F359" s="30" t="inlineStr">
        <is>
          <t>pharmaceuticals - multinational</t>
        </is>
      </c>
      <c r="G359" s="30" t="inlineStr">
        <is>
          <t>largecap</t>
        </is>
      </c>
      <c r="H359" s="31" t="n">
        <v>22327.64</v>
      </c>
      <c r="I359" s="31" t="n">
        <v>4877.6</v>
      </c>
      <c r="J359" s="31" t="n">
        <v>-0.06</v>
      </c>
      <c r="K359" s="31" t="n">
        <v>51745</v>
      </c>
      <c r="L359" s="30" t="n">
        <v>16</v>
      </c>
      <c r="M359" s="30" t="inlineStr">
        <is>
          <t>Underperforming</t>
        </is>
      </c>
      <c r="N359" s="31">
        <f>IF(M359="Underperforming",-5,IF(L359&gt;=95,15,IF(L359&gt;=90,10,IF(L359&gt;=80,5,0))))</f>
        <v/>
      </c>
      <c r="O359" s="31" t="n">
        <v>56.7</v>
      </c>
      <c r="P359" s="31" t="n">
        <v>12</v>
      </c>
      <c r="Q359" s="31" t="inlineStr"/>
      <c r="R359" s="30" t="inlineStr">
        <is>
          <t>Earnings / Momentum Support</t>
        </is>
      </c>
      <c r="S359" s="30" t="inlineStr">
        <is>
          <t>Nifty Pharma</t>
        </is>
      </c>
      <c r="T359" s="31" t="n">
        <v>24.01</v>
      </c>
      <c r="U359" s="31" t="n">
        <v>-0.67</v>
      </c>
      <c r="V359" s="31" t="n">
        <v>-19.9</v>
      </c>
      <c r="W359" s="31" t="n">
        <v>0.58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Yes</t>
        </is>
      </c>
      <c r="AC359" s="30">
        <f>IF(AB359="No",5,0)</f>
        <v/>
      </c>
      <c r="AD359" s="30" t="inlineStr">
        <is>
          <t>Headwind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Annuity, Lower One Time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0 to 20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3</t>
        </is>
      </c>
      <c r="BC359" s="30">
        <f>IF(BB359="Stage 2",20,IF(BB359="Stage 1",0,IF(BB359="Stage 3",5,IF(BB359="Stage 4",-5,0))))</f>
        <v/>
      </c>
      <c r="BD359" s="30" t="inlineStr">
        <is>
          <t>Negative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Less than 12%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Above 70%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IF(B360=0,"",RANK(B360,$B$2:$B$400,0))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2" t="inlineStr">
        <is>
          <t>BEML</t>
        </is>
      </c>
      <c r="D360" s="32" t="inlineStr">
        <is>
          <t>Beml Limited</t>
        </is>
      </c>
      <c r="E360" s="30" t="inlineStr">
        <is>
          <t>aerospace &amp; defence</t>
        </is>
      </c>
      <c r="F360" s="30" t="inlineStr">
        <is>
          <t>engineering</t>
        </is>
      </c>
      <c r="G360" s="30" t="inlineStr">
        <is>
          <t>midcap</t>
        </is>
      </c>
      <c r="H360" s="31" t="n">
        <v>14890.41</v>
      </c>
      <c r="I360" s="31" t="n">
        <v>1884.4</v>
      </c>
      <c r="J360" s="31" t="n">
        <v>5.4</v>
      </c>
      <c r="K360" s="31" t="n">
        <v>2639115</v>
      </c>
      <c r="L360" s="30" t="n">
        <v>6</v>
      </c>
      <c r="M360" s="30" t="inlineStr">
        <is>
          <t>Underperforming</t>
        </is>
      </c>
      <c r="N360" s="31">
        <f>IF(M360="Underperforming",-5,IF(L360&gt;=95,15,IF(L360&gt;=90,10,IF(L360&gt;=80,5,0))))</f>
        <v/>
      </c>
      <c r="O360" s="31" t="n">
        <v>51.15</v>
      </c>
      <c r="P360" s="31" t="n">
        <v>10.56</v>
      </c>
      <c r="Q360" s="31" t="inlineStr"/>
      <c r="R360" s="30" t="inlineStr">
        <is>
          <t>Volume Spike / Accumulation</t>
        </is>
      </c>
      <c r="S360" s="30" t="inlineStr">
        <is>
          <t>Nifty 50</t>
        </is>
      </c>
      <c r="T360" s="31" t="n">
        <v>0.85</v>
      </c>
      <c r="U360" s="31" t="n">
        <v>-7.07</v>
      </c>
      <c r="V360" s="31" t="n">
        <v>-7.85</v>
      </c>
      <c r="W360" s="31" t="n">
        <v>-2.21</v>
      </c>
      <c r="X360" s="30" t="inlineStr">
        <is>
          <t>Growing Industry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Headwind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Yes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0 to 20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3</t>
        </is>
      </c>
      <c r="BC360" s="30">
        <f>IF(BB360="Stage 2",20,IF(BB360="Stage 1",0,IF(BB360="Stage 3",5,IF(BB360="Stage 4",-5,0))))</f>
        <v/>
      </c>
      <c r="BD360" s="30" t="inlineStr">
        <is>
          <t>Negative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Less than 12%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Less than 50%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Less than 0.7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IF(B361=0,"",RANK(B361,$B$2:$B$400,0))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0" t="inlineStr">
        <is>
          <t>SCHNEIDER</t>
        </is>
      </c>
      <c r="D361" s="30" t="inlineStr">
        <is>
          <t>Schneider Electric Infrastructure Limited</t>
        </is>
      </c>
      <c r="E361" s="30" t="inlineStr">
        <is>
          <t>industrials</t>
        </is>
      </c>
      <c r="F361" s="30" t="inlineStr">
        <is>
          <t>electric equipment</t>
        </is>
      </c>
      <c r="G361" s="30" t="inlineStr">
        <is>
          <t>largecap</t>
        </is>
      </c>
      <c r="H361" s="31" t="n">
        <v>32393.81</v>
      </c>
      <c r="I361" s="31" t="n">
        <v>1424.9</v>
      </c>
      <c r="J361" s="31" t="n">
        <v>5.17</v>
      </c>
      <c r="K361" s="31" t="n">
        <v>921329</v>
      </c>
      <c r="L361" s="30" t="n">
        <v>63</v>
      </c>
      <c r="M361" s="30" t="inlineStr">
        <is>
          <t>Outperforming</t>
        </is>
      </c>
      <c r="N361" s="31">
        <f>IF(M361="Underperforming",-5,IF(L361&gt;=95,15,IF(L361&gt;=90,10,IF(L361&gt;=80,5,0))))</f>
        <v/>
      </c>
      <c r="O361" s="31" t="n">
        <v>61.1</v>
      </c>
      <c r="P361" s="31" t="n">
        <v>33.13</v>
      </c>
      <c r="Q361" s="31" t="inlineStr"/>
      <c r="R361" s="30" t="inlineStr">
        <is>
          <t>Earnings / Momentum Support</t>
        </is>
      </c>
      <c r="S361" s="30" t="inlineStr">
        <is>
          <t>Nifty 50</t>
        </is>
      </c>
      <c r="T361" s="31" t="n">
        <v>0.85</v>
      </c>
      <c r="U361" s="31" t="n">
        <v>44.94</v>
      </c>
      <c r="V361" s="31" t="n">
        <v>43.72</v>
      </c>
      <c r="W361" s="31" t="n">
        <v>11.56</v>
      </c>
      <c r="X361" s="30" t="inlineStr">
        <is>
          <t>Cyclical in an Upturn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Headwind</t>
        </is>
      </c>
      <c r="AE361" s="30">
        <f>IF(AD361="Tailwind",10,0)</f>
        <v/>
      </c>
      <c r="AF361" s="30" t="inlineStr">
        <is>
          <t>Structural (10 Years Consistency)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Stable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20 to 40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3</t>
        </is>
      </c>
      <c r="BC361" s="30">
        <f>IF(BB361="Stage 2",20,IF(BB361="Stage 1",0,IF(BB361="Stage 3",5,IF(BB361="Stage 4",-5,0))))</f>
        <v/>
      </c>
      <c r="BD361" s="30" t="inlineStr">
        <is>
          <t>Negative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Less than 12%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Yes</t>
        </is>
      </c>
      <c r="BS361" s="30">
        <f>IF(BR361="NO",5,0)</f>
        <v/>
      </c>
      <c r="BT361" s="30" t="inlineStr">
        <is>
          <t>Above 2</t>
        </is>
      </c>
      <c r="BU361" s="30">
        <f>IF(BT361="Above 2",0,IF(BT361="Between 1.5 to 2",5,IF(BT361="Less than 1.5",10,0)))</f>
        <v/>
      </c>
      <c r="BV361" s="30" t="inlineStr">
        <is>
          <t>Between 50% to 70%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Between 0.7 to 1.2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IF(B362=0,"",RANK(B362,$B$2:$B$400,0))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0" t="inlineStr">
        <is>
          <t>ENGINERSIN</t>
        </is>
      </c>
      <c r="D362" s="30" t="inlineStr">
        <is>
          <t>Engineers India Limited</t>
        </is>
      </c>
      <c r="E362" s="30" t="inlineStr">
        <is>
          <t>realty</t>
        </is>
      </c>
      <c r="F362" s="30" t="inlineStr">
        <is>
          <t>engineering - turnkey services</t>
        </is>
      </c>
      <c r="G362" s="30" t="inlineStr">
        <is>
          <t>midcap</t>
        </is>
      </c>
      <c r="H362" s="31" t="n">
        <v>13522.74</v>
      </c>
      <c r="I362" s="31" t="n">
        <v>247.96</v>
      </c>
      <c r="J362" s="31" t="n">
        <v>3.06</v>
      </c>
      <c r="K362" s="31" t="n">
        <v>3326783</v>
      </c>
      <c r="L362" s="30" t="n">
        <v>13</v>
      </c>
      <c r="M362" s="30" t="inlineStr">
        <is>
          <t>Outperforming</t>
        </is>
      </c>
      <c r="N362" s="31">
        <f>IF(M362="Underperforming",-5,IF(L362&gt;=95,15,IF(L362&gt;=90,10,IF(L362&gt;=80,5,0))))</f>
        <v/>
      </c>
      <c r="O362" s="31" t="n">
        <v>56.09</v>
      </c>
      <c r="P362" s="31" t="n">
        <v>11.18</v>
      </c>
      <c r="Q362" s="31" t="inlineStr"/>
      <c r="R362" s="30" t="inlineStr">
        <is>
          <t>Earnings / Momentum Support</t>
        </is>
      </c>
      <c r="S362" s="30" t="inlineStr">
        <is>
          <t>Nifty Realty</t>
        </is>
      </c>
      <c r="T362" s="31" t="n">
        <v>-8.119999999999999</v>
      </c>
      <c r="U362" s="31" t="n">
        <v>-1.02</v>
      </c>
      <c r="V362" s="31" t="n">
        <v>7.73</v>
      </c>
      <c r="W362" s="31" t="n">
        <v>-0.31</v>
      </c>
      <c r="X362" s="30" t="inlineStr">
        <is>
          <t>Growing Industry</t>
        </is>
      </c>
      <c r="Y362" s="30">
        <f>IF(X362="Growing Industry",10,IF(X362="Cyclical in an Upturn",5,0))</f>
        <v/>
      </c>
      <c r="Z362" s="30" t="inlineStr">
        <is>
          <t>Too Many Players with High ROCE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No</t>
        </is>
      </c>
      <c r="AC362" s="30">
        <f>IF(AB362="No",5,0)</f>
        <v/>
      </c>
      <c r="AD362" s="30" t="inlineStr">
        <is>
          <t>Headwind</t>
        </is>
      </c>
      <c r="AE362" s="30">
        <f>IF(AD362="Tailwind",10,0)</f>
        <v/>
      </c>
      <c r="AF362" s="30" t="inlineStr">
        <is>
          <t>Structural (10 Years Consistency)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Stable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No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0 to 20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3</t>
        </is>
      </c>
      <c r="BC362" s="30">
        <f>IF(BB362="Stage 2",20,IF(BB362="Stage 1",0,IF(BB362="Stage 3",5,IF(BB362="Stage 4",-5,0))))</f>
        <v/>
      </c>
      <c r="BD362" s="30" t="inlineStr">
        <is>
          <t>Negative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Less than 12%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Above 2</t>
        </is>
      </c>
      <c r="BU362" s="30">
        <f>IF(BT362="Above 2",0,IF(BT362="Between 1.5 to 2",5,IF(BT362="Less than 1.5",10,0)))</f>
        <v/>
      </c>
      <c r="BV362" s="30" t="inlineStr">
        <is>
          <t>Less than 50%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Less than 0.7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IF(B363=0,"",RANK(B363,$B$2:$B$400,0))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2" t="inlineStr">
        <is>
          <t>NSLNISP</t>
        </is>
      </c>
      <c r="D363" s="32" t="inlineStr">
        <is>
          <t>NMDC Steel Ltd</t>
        </is>
      </c>
      <c r="E363" s="30" t="inlineStr">
        <is>
          <t>metals &amp; mining</t>
        </is>
      </c>
      <c r="F363" s="30" t="inlineStr">
        <is>
          <t>steel - large</t>
        </is>
      </c>
      <c r="G363" s="30" t="inlineStr">
        <is>
          <t>midcap</t>
        </is>
      </c>
      <c r="H363" s="31" t="n">
        <v>12847.78</v>
      </c>
      <c r="I363" s="31" t="n">
        <v>44.67</v>
      </c>
      <c r="J363" s="31" t="n">
        <v>1.89</v>
      </c>
      <c r="K363" s="31" t="n">
        <v>4122023</v>
      </c>
      <c r="L363" s="30" t="n">
        <v>22</v>
      </c>
      <c r="M363" s="30" t="inlineStr">
        <is>
          <t>Underperforming</t>
        </is>
      </c>
      <c r="N363" s="31">
        <f>IF(M363="Underperforming",-5,IF(L363&gt;=95,15,IF(L363&gt;=90,10,IF(L363&gt;=80,5,0))))</f>
        <v/>
      </c>
      <c r="O363" s="31" t="n">
        <v>52.44</v>
      </c>
      <c r="P363" s="31" t="n">
        <v>28.2</v>
      </c>
      <c r="Q363" s="31" t="inlineStr"/>
      <c r="R363" s="30" t="inlineStr">
        <is>
          <t>Earnings / Momentum Support</t>
        </is>
      </c>
      <c r="S363" s="30" t="inlineStr">
        <is>
          <t>Nifty Metal</t>
        </is>
      </c>
      <c r="T363" s="31" t="n">
        <v>31.49</v>
      </c>
      <c r="U363" s="31" t="n">
        <v>8.890000000000001</v>
      </c>
      <c r="V363" s="31" t="n">
        <v>-17.19</v>
      </c>
      <c r="W363" s="31" t="n">
        <v>1.98</v>
      </c>
      <c r="X363" s="30" t="inlineStr">
        <is>
          <t>Cyclical in an Upturn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Headwind</t>
        </is>
      </c>
      <c r="AE363" s="30">
        <f>IF(AD363="Tailwind",10,0)</f>
        <v/>
      </c>
      <c r="AF363" s="30" t="inlineStr">
        <is>
          <t>Cyclical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Volatile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20 to 40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3</t>
        </is>
      </c>
      <c r="BC363" s="30">
        <f>IF(BB363="Stage 2",20,IF(BB363="Stage 1",0,IF(BB363="Stage 3",5,IF(BB363="Stage 4",-5,0))))</f>
        <v/>
      </c>
      <c r="BD363" s="30" t="inlineStr">
        <is>
          <t>Negative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More than 20%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Yes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Above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Less than 0.7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IF(B364=0,"",RANK(B364,$B$2:$B$400,0))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0" t="inlineStr">
        <is>
          <t>GRASIM</t>
        </is>
      </c>
      <c r="D364" s="30" t="inlineStr">
        <is>
          <t>Grasim Industries Limited</t>
        </is>
      </c>
      <c r="E364" s="30" t="inlineStr">
        <is>
          <t>textiles</t>
        </is>
      </c>
      <c r="F364" s="30" t="inlineStr">
        <is>
          <t>textiles - manmade</t>
        </is>
      </c>
      <c r="G364" s="30" t="inlineStr">
        <is>
          <t>largecap</t>
        </is>
      </c>
      <c r="H364" s="31" t="n">
        <v>226156.93</v>
      </c>
      <c r="I364" s="31" t="n">
        <v>3380.5</v>
      </c>
      <c r="J364" s="31" t="n">
        <v>1.73</v>
      </c>
      <c r="K364" s="31" t="n">
        <v>5122421</v>
      </c>
      <c r="L364" s="30" t="n">
        <v>45</v>
      </c>
      <c r="M364" s="30" t="inlineStr">
        <is>
          <t>Outperforming</t>
        </is>
      </c>
      <c r="N364" s="31">
        <f>IF(M364="Underperforming",-5,IF(L364&gt;=95,15,IF(L364&gt;=90,10,IF(L364&gt;=80,5,0))))</f>
        <v/>
      </c>
      <c r="O364" s="31" t="n">
        <v>69.04000000000001</v>
      </c>
      <c r="P364" s="31" t="n">
        <v>36.24</v>
      </c>
      <c r="Q364" s="31" t="inlineStr"/>
      <c r="R364" s="30" t="inlineStr">
        <is>
          <t>Earnings / Momentum Support</t>
        </is>
      </c>
      <c r="S364" s="30" t="inlineStr">
        <is>
          <t>Nifty 50</t>
        </is>
      </c>
      <c r="T364" s="31" t="n">
        <v>0.85</v>
      </c>
      <c r="U364" s="31" t="n">
        <v>24.29</v>
      </c>
      <c r="V364" s="31" t="n">
        <v>23.24</v>
      </c>
      <c r="W364" s="31" t="n">
        <v>6.99</v>
      </c>
      <c r="X364" s="30" t="inlineStr">
        <is>
          <t>Growing Industry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Headwind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No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20 to 40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3</t>
        </is>
      </c>
      <c r="BC364" s="30">
        <f>IF(BB364="Stage 2",20,IF(BB364="Stage 1",0,IF(BB364="Stage 3",5,IF(BB364="Stage 4",-5,0))))</f>
        <v/>
      </c>
      <c r="BD364" s="30" t="inlineStr">
        <is>
          <t>Negative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More than 20%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Yes</t>
        </is>
      </c>
      <c r="BS364" s="30">
        <f>IF(BR364="NO",5,0)</f>
        <v/>
      </c>
      <c r="BT364" s="30" t="inlineStr">
        <is>
          <t>Less than 1.5</t>
        </is>
      </c>
      <c r="BU364" s="30">
        <f>IF(BT364="Above 2",0,IF(BT364="Between 1.5 to 2",5,IF(BT364="Less than 1.5",10,0)))</f>
        <v/>
      </c>
      <c r="BV364" s="30" t="inlineStr">
        <is>
          <t>Negative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More than 1.2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IF(B365=0,"",RANK(B365,$B$2:$B$400,0))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0" t="inlineStr">
        <is>
          <t>RKFORGE</t>
        </is>
      </c>
      <c r="D365" s="30" t="inlineStr">
        <is>
          <t>Ramkrishna Forgings Limited</t>
        </is>
      </c>
      <c r="E365" s="30" t="inlineStr">
        <is>
          <t>industrials</t>
        </is>
      </c>
      <c r="F365" s="30" t="inlineStr">
        <is>
          <t>castings &amp; forgings</t>
        </is>
      </c>
      <c r="G365" s="30" t="inlineStr">
        <is>
          <t>midcap</t>
        </is>
      </c>
      <c r="H365" s="31" t="n">
        <v>13235.56</v>
      </c>
      <c r="I365" s="31" t="n">
        <v>736.2</v>
      </c>
      <c r="J365" s="31" t="n">
        <v>1.33</v>
      </c>
      <c r="K365" s="31" t="n">
        <v>3366664</v>
      </c>
      <c r="L365" s="30" t="n">
        <v>53</v>
      </c>
      <c r="M365" s="30" t="inlineStr">
        <is>
          <t>Outperforming</t>
        </is>
      </c>
      <c r="N365" s="31">
        <f>IF(M365="Underperforming",-5,IF(L365&gt;=95,15,IF(L365&gt;=90,10,IF(L365&gt;=80,5,0))))</f>
        <v/>
      </c>
      <c r="O365" s="31" t="n">
        <v>71.97</v>
      </c>
      <c r="P365" s="31" t="n">
        <v>12.1</v>
      </c>
      <c r="Q365" s="31" t="inlineStr"/>
      <c r="R365" s="30" t="inlineStr">
        <is>
          <t>Earnings / Momentum Support</t>
        </is>
      </c>
      <c r="S365" s="30" t="inlineStr">
        <is>
          <t>Nifty 50</t>
        </is>
      </c>
      <c r="T365" s="31" t="n">
        <v>0.85</v>
      </c>
      <c r="U365" s="31" t="n">
        <v>24.4</v>
      </c>
      <c r="V365" s="31" t="n">
        <v>23.35</v>
      </c>
      <c r="W365" s="31" t="n">
        <v>8.699999999999999</v>
      </c>
      <c r="X365" s="30" t="inlineStr">
        <is>
          <t>Cyclical in an Upturn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Headwind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0 to 20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3</t>
        </is>
      </c>
      <c r="BC365" s="30">
        <f>IF(BB365="Stage 2",20,IF(BB365="Stage 1",0,IF(BB365="Stage 3",5,IF(BB365="Stage 4",-5,0))))</f>
        <v/>
      </c>
      <c r="BD365" s="30" t="inlineStr">
        <is>
          <t>Negative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More than 20%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Yes</t>
        </is>
      </c>
      <c r="BS365" s="30">
        <f>IF(BR365="NO",5,0)</f>
        <v/>
      </c>
      <c r="BT365" s="30" t="inlineStr">
        <is>
          <t>Above 2</t>
        </is>
      </c>
      <c r="BU365" s="30">
        <f>IF(BT365="Above 2",0,IF(BT365="Between 1.5 to 2",5,IF(BT365="Less than 1.5",10,0)))</f>
        <v/>
      </c>
      <c r="BV365" s="30" t="inlineStr">
        <is>
          <t>Above 70%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Between 0.7 to 1.2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IF(B366=0,"",RANK(B366,$B$2:$B$400,0))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2" t="inlineStr">
        <is>
          <t>RAJRATAN</t>
        </is>
      </c>
      <c r="D366" s="32" t="inlineStr">
        <is>
          <t>Rajratan Global Wire Ltd</t>
        </is>
      </c>
      <c r="E366" s="30" t="inlineStr">
        <is>
          <t>metals &amp; mining</t>
        </is>
      </c>
      <c r="F366" s="30" t="inlineStr">
        <is>
          <t>steel - medium / small</t>
        </is>
      </c>
      <c r="G366" s="30" t="inlineStr">
        <is>
          <t>smallcap</t>
        </is>
      </c>
      <c r="H366" s="31" t="n">
        <v>2665.48</v>
      </c>
      <c r="I366" s="31" t="n">
        <v>527.2</v>
      </c>
      <c r="J366" s="31" t="n">
        <v>0.42</v>
      </c>
      <c r="K366" s="31" t="n">
        <v>101056</v>
      </c>
      <c r="L366" s="30" t="n">
        <v>57</v>
      </c>
      <c r="M366" s="30" t="inlineStr">
        <is>
          <t>Underperforming</t>
        </is>
      </c>
      <c r="N366" s="31">
        <f>IF(M366="Underperforming",-5,IF(L366&gt;=95,15,IF(L366&gt;=90,10,IF(L366&gt;=80,5,0))))</f>
        <v/>
      </c>
      <c r="O366" s="31" t="n">
        <v>67.28</v>
      </c>
      <c r="P366" s="31" t="n">
        <v>18.35</v>
      </c>
      <c r="Q366" s="31" t="inlineStr"/>
      <c r="R366" s="30" t="inlineStr">
        <is>
          <t>Earnings / Momentum Support</t>
        </is>
      </c>
      <c r="S366" s="30" t="inlineStr">
        <is>
          <t>Nifty Metal</t>
        </is>
      </c>
      <c r="T366" s="31" t="n">
        <v>31.49</v>
      </c>
      <c r="U366" s="31" t="n">
        <v>16.62</v>
      </c>
      <c r="V366" s="31" t="n">
        <v>-11.31</v>
      </c>
      <c r="W366" s="31" t="n">
        <v>9.619999999999999</v>
      </c>
      <c r="X366" s="30" t="inlineStr">
        <is>
          <t>Cyclical in an Upturn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Headwind</t>
        </is>
      </c>
      <c r="AE366" s="30">
        <f>IF(AD366="Tailwind",10,0)</f>
        <v/>
      </c>
      <c r="AF366" s="30" t="inlineStr">
        <is>
          <t>Cyclical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Volatile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3</t>
        </is>
      </c>
      <c r="BC366" s="30">
        <f>IF(BB366="Stage 2",20,IF(BB366="Stage 1",0,IF(BB366="Stage 3",5,IF(BB366="Stage 4",-5,0))))</f>
        <v/>
      </c>
      <c r="BD366" s="30" t="inlineStr">
        <is>
          <t>Negative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More than 20%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No</t>
        </is>
      </c>
      <c r="BS366" s="30">
        <f>IF(BR366="NO",5,0)</f>
        <v/>
      </c>
      <c r="BT366" s="30" t="inlineStr">
        <is>
          <t>Less than 1.5</t>
        </is>
      </c>
      <c r="BU366" s="30">
        <f>IF(BT366="Above 2",0,IF(BT366="Between 1.5 to 2",5,IF(BT366="Less than 1.5",10,0)))</f>
        <v/>
      </c>
      <c r="BV366" s="30" t="inlineStr">
        <is>
          <t>Above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Less than 0.7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IF(B367=0,"",RANK(B367,$B$2:$B$400,0))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2" t="inlineStr">
        <is>
          <t>UNOMINDA</t>
        </is>
      </c>
      <c r="D367" s="32" t="inlineStr">
        <is>
          <t>Uno Minda Ltd</t>
        </is>
      </c>
      <c r="E367" s="30" t="inlineStr">
        <is>
          <t>auto</t>
        </is>
      </c>
      <c r="F367" s="30" t="inlineStr">
        <is>
          <t>auto ancillaries</t>
        </is>
      </c>
      <c r="G367" s="30" t="inlineStr">
        <is>
          <t>largecap</t>
        </is>
      </c>
      <c r="H367" s="31" t="n">
        <v>74204.53999999999</v>
      </c>
      <c r="I367" s="31" t="n">
        <v>1288</v>
      </c>
      <c r="J367" s="31" t="n">
        <v>0.23</v>
      </c>
      <c r="K367" s="31" t="n">
        <v>1562266</v>
      </c>
      <c r="L367" s="30" t="n">
        <v>25</v>
      </c>
      <c r="M367" s="30" t="inlineStr">
        <is>
          <t>Underperforming</t>
        </is>
      </c>
      <c r="N367" s="31">
        <f>IF(M367="Underperforming",-5,IF(L367&gt;=95,15,IF(L367&gt;=90,10,IF(L367&gt;=80,5,0))))</f>
        <v/>
      </c>
      <c r="O367" s="31" t="n">
        <v>63.76</v>
      </c>
      <c r="P367" s="31" t="n">
        <v>18.15</v>
      </c>
      <c r="Q367" s="31" t="inlineStr"/>
      <c r="R367" s="30" t="inlineStr">
        <is>
          <t>Earnings / Momentum Support</t>
        </is>
      </c>
      <c r="S367" s="30" t="inlineStr">
        <is>
          <t>Nifty Auto</t>
        </is>
      </c>
      <c r="T367" s="31" t="n">
        <v>13.41</v>
      </c>
      <c r="U367" s="31" t="n">
        <v>6.28</v>
      </c>
      <c r="V367" s="31" t="n">
        <v>-6.29</v>
      </c>
      <c r="W367" s="31" t="n">
        <v>2.51</v>
      </c>
      <c r="X367" s="30" t="inlineStr">
        <is>
          <t>Growing Industry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No</t>
        </is>
      </c>
      <c r="AC367" s="30">
        <f>IF(AB367="No",5,0)</f>
        <v/>
      </c>
      <c r="AD367" s="30" t="inlineStr">
        <is>
          <t>Headwind</t>
        </is>
      </c>
      <c r="AE367" s="30">
        <f>IF(AD367="Tailwind",10,0)</f>
        <v/>
      </c>
      <c r="AF367" s="30" t="inlineStr">
        <is>
          <t>Structural (10 Years Consistency)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Stable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3</t>
        </is>
      </c>
      <c r="BC367" s="30">
        <f>IF(BB367="Stage 2",20,IF(BB367="Stage 1",0,IF(BB367="Stage 3",5,IF(BB367="Stage 4",-5,0))))</f>
        <v/>
      </c>
      <c r="BD367" s="30" t="inlineStr">
        <is>
          <t>Negative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Less than 12%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Yes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Above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Less than 0.7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IF(B368=0,"",RANK(B368,$B$2:$B$400,0))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2" t="inlineStr">
        <is>
          <t>ARIHANT</t>
        </is>
      </c>
      <c r="D368" s="32" t="inlineStr">
        <is>
          <t>Arihant Foundations &amp; Housing Limited</t>
        </is>
      </c>
      <c r="E368" s="30" t="inlineStr">
        <is>
          <t>realty</t>
        </is>
      </c>
      <c r="F368" s="30" t="inlineStr">
        <is>
          <t>construction</t>
        </is>
      </c>
      <c r="G368" s="30" t="inlineStr">
        <is>
          <t>smallcap</t>
        </is>
      </c>
      <c r="H368" s="31" t="n">
        <v>1120.73</v>
      </c>
      <c r="I368" s="31" t="n">
        <v>1126</v>
      </c>
      <c r="J368" s="31" t="n">
        <v>0.12</v>
      </c>
      <c r="K368" s="31" t="n">
        <v>774</v>
      </c>
      <c r="L368" s="30" t="n">
        <v>1</v>
      </c>
      <c r="M368" s="30" t="inlineStr">
        <is>
          <t>Underperforming</t>
        </is>
      </c>
      <c r="N368" s="31">
        <f>IF(M368="Underperforming",-5,IF(L368&gt;=95,15,IF(L368&gt;=90,10,IF(L368&gt;=80,5,0))))</f>
        <v/>
      </c>
      <c r="O368" s="31" t="n">
        <v>61.6</v>
      </c>
      <c r="P368" s="31" t="n">
        <v>23.74</v>
      </c>
      <c r="Q368" s="31" t="inlineStr"/>
      <c r="R368" s="30" t="inlineStr">
        <is>
          <t>Earnings / Momentum Support</t>
        </is>
      </c>
      <c r="S368" s="30" t="inlineStr">
        <is>
          <t>Nifty Realty</t>
        </is>
      </c>
      <c r="T368" s="31" t="n">
        <v>-8.119999999999999</v>
      </c>
      <c r="U368" s="31" t="n">
        <v>-36.76</v>
      </c>
      <c r="V368" s="31" t="n">
        <v>-31.17</v>
      </c>
      <c r="W368" s="31" t="n">
        <v>-11.87</v>
      </c>
      <c r="X368" s="30" t="inlineStr">
        <is>
          <t>Growing Industry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No</t>
        </is>
      </c>
      <c r="AC368" s="30">
        <f>IF(AB368="No",5,0)</f>
        <v/>
      </c>
      <c r="AD368" s="30" t="inlineStr">
        <is>
          <t>Headwind</t>
        </is>
      </c>
      <c r="AE368" s="30">
        <f>IF(AD368="Tailwind",10,0)</f>
        <v/>
      </c>
      <c r="AF368" s="30" t="inlineStr">
        <is>
          <t>Structural (10 Years Consistency)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Stable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No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20 to 40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3</t>
        </is>
      </c>
      <c r="BC368" s="30">
        <f>IF(BB368="Stage 2",20,IF(BB368="Stage 1",0,IF(BB368="Stage 3",5,IF(BB368="Stage 4",-5,0))))</f>
        <v/>
      </c>
      <c r="BD368" s="30" t="inlineStr">
        <is>
          <t>Negative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Less than 12%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No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Above 70%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More than 1.2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IF(B369=0,"",RANK(B369,$B$2:$B$400,0))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2" t="inlineStr">
        <is>
          <t>WINDMACHIN</t>
        </is>
      </c>
      <c r="D369" s="32" t="inlineStr">
        <is>
          <t>Windsor Machines Limited</t>
        </is>
      </c>
      <c r="E369" s="30" t="inlineStr">
        <is>
          <t>industrials</t>
        </is>
      </c>
      <c r="F369" s="30" t="inlineStr">
        <is>
          <t>engineering</t>
        </is>
      </c>
      <c r="G369" s="30" t="inlineStr">
        <is>
          <t>smallcap</t>
        </is>
      </c>
      <c r="H369" s="31" t="n">
        <v>3087.92</v>
      </c>
      <c r="I369" s="31" t="n">
        <v>303.65</v>
      </c>
      <c r="J369" s="31" t="n">
        <v>0.03</v>
      </c>
      <c r="K369" s="31" t="n">
        <v>324957</v>
      </c>
      <c r="L369" s="30" t="n">
        <v>5</v>
      </c>
      <c r="M369" s="30" t="inlineStr">
        <is>
          <t>Underperforming</t>
        </is>
      </c>
      <c r="N369" s="31">
        <f>IF(M369="Underperforming",-5,IF(L369&gt;=95,15,IF(L369&gt;=90,10,IF(L369&gt;=80,5,0))))</f>
        <v/>
      </c>
      <c r="O369" s="31" t="n">
        <v>54.39</v>
      </c>
      <c r="P369" s="31" t="n">
        <v>22.19</v>
      </c>
      <c r="Q369" s="31" t="inlineStr"/>
      <c r="R369" s="30" t="inlineStr">
        <is>
          <t>Earnings / Momentum Support</t>
        </is>
      </c>
      <c r="S369" s="30" t="inlineStr">
        <is>
          <t>Nifty Infra</t>
        </is>
      </c>
      <c r="T369" s="31" t="n">
        <v>1.74</v>
      </c>
      <c r="U369" s="31" t="n">
        <v>-16.34</v>
      </c>
      <c r="V369" s="31" t="n">
        <v>-17.77</v>
      </c>
      <c r="W369" s="31" t="n">
        <v>-3.19</v>
      </c>
      <c r="X369" s="30" t="inlineStr">
        <is>
          <t>Cyclical in an Upturn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Headwind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No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20 to 40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3</t>
        </is>
      </c>
      <c r="BC369" s="30">
        <f>IF(BB369="Stage 2",20,IF(BB369="Stage 1",0,IF(BB369="Stage 3",5,IF(BB369="Stage 4",-5,0))))</f>
        <v/>
      </c>
      <c r="BD369" s="30" t="inlineStr">
        <is>
          <t>Negative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More than 20%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Yes</t>
        </is>
      </c>
      <c r="BS369" s="30">
        <f>IF(BR369="NO",5,0)</f>
        <v/>
      </c>
      <c r="BT369" s="30" t="inlineStr">
        <is>
          <t>Above 2</t>
        </is>
      </c>
      <c r="BU369" s="30">
        <f>IF(BT369="Above 2",0,IF(BT369="Between 1.5 to 2",5,IF(BT369="Less than 1.5",10,0)))</f>
        <v/>
      </c>
      <c r="BV369" s="30" t="inlineStr">
        <is>
          <t>Negative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Less than 0.7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IF(B370=0,"",RANK(B370,$B$2:$B$400,0))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0" t="inlineStr">
        <is>
          <t>DYNAMATECH</t>
        </is>
      </c>
      <c r="D370" s="30" t="inlineStr">
        <is>
          <t>Dynamatic Technologies Limited</t>
        </is>
      </c>
      <c r="E370" s="30" t="inlineStr">
        <is>
          <t>industrials</t>
        </is>
      </c>
      <c r="F370" s="30" t="inlineStr">
        <is>
          <t>engineering</t>
        </is>
      </c>
      <c r="G370" s="30" t="inlineStr">
        <is>
          <t>midcap</t>
        </is>
      </c>
      <c r="H370" s="31" t="n">
        <v>7742.92</v>
      </c>
      <c r="I370" s="31" t="n">
        <v>11148</v>
      </c>
      <c r="J370" s="31" t="n">
        <v>-2.22</v>
      </c>
      <c r="K370" s="31" t="n">
        <v>51887</v>
      </c>
      <c r="L370" s="30" t="n">
        <v>61</v>
      </c>
      <c r="M370" s="30" t="inlineStr">
        <is>
          <t>Outperforming</t>
        </is>
      </c>
      <c r="N370" s="31">
        <f>IF(M370="Underperforming",-5,IF(L370&gt;=95,15,IF(L370&gt;=90,10,IF(L370&gt;=80,5,0))))</f>
        <v/>
      </c>
      <c r="O370" s="31" t="n">
        <v>58.31</v>
      </c>
      <c r="P370" s="31" t="n">
        <v>19.97</v>
      </c>
      <c r="Q370" s="31" t="inlineStr"/>
      <c r="R370" s="30" t="inlineStr">
        <is>
          <t>Earnings / Momentum Support</t>
        </is>
      </c>
      <c r="S370" s="30" t="inlineStr">
        <is>
          <t>Nifty 50</t>
        </is>
      </c>
      <c r="T370" s="31" t="n">
        <v>0.85</v>
      </c>
      <c r="U370" s="31" t="n">
        <v>70.40000000000001</v>
      </c>
      <c r="V370" s="31" t="n">
        <v>68.97</v>
      </c>
      <c r="W370" s="31" t="n">
        <v>11.25</v>
      </c>
      <c r="X370" s="30" t="inlineStr">
        <is>
          <t>Cyclical in an Upturn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No</t>
        </is>
      </c>
      <c r="AC370" s="30">
        <f>IF(AB370="No",5,0)</f>
        <v/>
      </c>
      <c r="AD370" s="30" t="inlineStr">
        <is>
          <t>Headwind</t>
        </is>
      </c>
      <c r="AE370" s="30">
        <f>IF(AD370="Tailwind",10,0)</f>
        <v/>
      </c>
      <c r="AF370" s="30" t="inlineStr">
        <is>
          <t>Structural (10 Years Consistency)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Stable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0 to 20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3</t>
        </is>
      </c>
      <c r="BC370" s="30">
        <f>IF(BB370="Stage 2",20,IF(BB370="Stage 1",0,IF(BB370="Stage 3",5,IF(BB370="Stage 4",-5,0))))</f>
        <v/>
      </c>
      <c r="BD370" s="30" t="inlineStr">
        <is>
          <t>Negative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More than 20%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Yes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Above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Between 0.7 to 1.2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IF(B371=0,"",RANK(B371,$B$2:$B$400,0))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2" t="inlineStr">
        <is>
          <t>SILVERTUC</t>
        </is>
      </c>
      <c r="D371" s="32" t="inlineStr">
        <is>
          <t>Silver Touch Technologies Ltd</t>
        </is>
      </c>
      <c r="E371" s="30" t="inlineStr">
        <is>
          <t>i.t</t>
        </is>
      </c>
      <c r="F371" s="30" t="inlineStr">
        <is>
          <t>computers - software - medium / small</t>
        </is>
      </c>
      <c r="G371" s="30" t="inlineStr">
        <is>
          <t>smallcap</t>
        </is>
      </c>
      <c r="H371" s="31" t="n">
        <v>2483.95</v>
      </c>
      <c r="I371" s="31" t="n">
        <v>203.18</v>
      </c>
      <c r="J371" s="31" t="n">
        <v>3.73</v>
      </c>
      <c r="K371" s="31" t="n">
        <v>574968</v>
      </c>
      <c r="L371" s="30" t="n">
        <v>6</v>
      </c>
      <c r="M371" s="30" t="inlineStr">
        <is>
          <t>Underperforming</t>
        </is>
      </c>
      <c r="N371" s="31">
        <f>IF(M371="Underperforming",-5,IF(L371&gt;=95,15,IF(L371&gt;=90,10,IF(L371&gt;=80,5,0))))</f>
        <v/>
      </c>
      <c r="O371" s="31" t="n">
        <v>42.95</v>
      </c>
      <c r="P371" s="31" t="n">
        <v>18.07</v>
      </c>
      <c r="Q371" s="31" t="inlineStr"/>
      <c r="R371" s="30" t="inlineStr">
        <is>
          <t>Earnings / Momentum Support</t>
        </is>
      </c>
      <c r="S371" s="30" t="inlineStr">
        <is>
          <t>Nifty IT</t>
        </is>
      </c>
      <c r="T371" s="31" t="n">
        <v>-8.289999999999999</v>
      </c>
      <c r="U371" s="31" t="n">
        <v>-73.48</v>
      </c>
      <c r="V371" s="31" t="n">
        <v>-71.08</v>
      </c>
      <c r="W371" s="31" t="n">
        <v>-2.53</v>
      </c>
      <c r="X371" s="30" t="inlineStr">
        <is>
          <t>Growing Industry</t>
        </is>
      </c>
      <c r="Y371" s="30">
        <f>IF(X371="Growing Industry",10,IF(X371="Cyclical in an Upturn",5,0))</f>
        <v/>
      </c>
      <c r="Z371" s="30" t="inlineStr">
        <is>
          <t>Too Many Players with High ROCE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No</t>
        </is>
      </c>
      <c r="AC371" s="30">
        <f>IF(AB371="No",5,0)</f>
        <v/>
      </c>
      <c r="AD371" s="30" t="inlineStr">
        <is>
          <t>Headwind</t>
        </is>
      </c>
      <c r="AE371" s="30">
        <f>IF(AD371="Tailwind",10,0)</f>
        <v/>
      </c>
      <c r="AF371" s="30" t="inlineStr">
        <is>
          <t>Structural (10 Years Consistency)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Stable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No</t>
        </is>
      </c>
      <c r="AQ371" s="30">
        <f>IF(AP371="Yes",10,0)</f>
        <v/>
      </c>
      <c r="AR371" s="30" t="inlineStr">
        <is>
          <t>Higher Annuity, Lower One Time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0 to 20</t>
        </is>
      </c>
      <c r="AY371" s="30">
        <f>IF(AX371="Above 40",20,IF(AX371="20 to 40",10,IF(AX371="0 to 20",-5,0)))</f>
        <v/>
      </c>
      <c r="AZ371" s="30" t="inlineStr">
        <is>
          <t>Below 45</t>
        </is>
      </c>
      <c r="BA371" s="30">
        <f>IF(AZ371="Between 50 to 75",10,IF(AZ371="Above 75",0,0))</f>
        <v/>
      </c>
      <c r="BB371" s="30" t="inlineStr">
        <is>
          <t>Stage 4</t>
        </is>
      </c>
      <c r="BC371" s="30">
        <f>IF(BB371="Stage 2",20,IF(BB371="Stage 1",0,IF(BB371="Stage 3",5,IF(BB371="Stage 4",-5,0))))</f>
        <v/>
      </c>
      <c r="BD371" s="30" t="inlineStr">
        <is>
          <t>Negative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More than 20%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No</t>
        </is>
      </c>
      <c r="BS371" s="30">
        <f>IF(BR371="NO",5,0)</f>
        <v/>
      </c>
      <c r="BT371" s="30" t="inlineStr">
        <is>
          <t>Above 2</t>
        </is>
      </c>
      <c r="BU371" s="30">
        <f>IF(BT371="Above 2",0,IF(BT371="Between 1.5 to 2",5,IF(BT371="Less than 1.5",10,0)))</f>
        <v/>
      </c>
      <c r="BV371" s="30" t="inlineStr">
        <is>
          <t>Above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IF(B372=0,"",RANK(B372,$B$2:$B$400,0))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0" t="inlineStr">
        <is>
          <t>KAPSTON</t>
        </is>
      </c>
      <c r="D372" s="30" t="inlineStr">
        <is>
          <t>Kapston Services Ltd</t>
        </is>
      </c>
      <c r="E372" s="30" t="inlineStr">
        <is>
          <t>miscellaneous</t>
        </is>
      </c>
      <c r="F372" s="30" t="inlineStr">
        <is>
          <t>miscellaneous</t>
        </is>
      </c>
      <c r="G372" s="30" t="inlineStr">
        <is>
          <t>smallcap</t>
        </is>
      </c>
      <c r="H372" s="31" t="n">
        <v>1600.43</v>
      </c>
      <c r="I372" s="31" t="n">
        <v>566.05</v>
      </c>
      <c r="J372" s="31" t="n">
        <v>7.63</v>
      </c>
      <c r="K372" s="31" t="n">
        <v>195599</v>
      </c>
      <c r="L372" s="30" t="n">
        <v>92</v>
      </c>
      <c r="M372" s="30" t="inlineStr">
        <is>
          <t>Outperforming</t>
        </is>
      </c>
      <c r="N372" s="31">
        <f>IF(M372="Underperforming",-5,IF(L372&gt;=95,15,IF(L372&gt;=90,10,IF(L372&gt;=80,5,0))))</f>
        <v/>
      </c>
      <c r="O372" s="31" t="n">
        <v>80.45999999999999</v>
      </c>
      <c r="P372" s="31" t="n">
        <v>29.68</v>
      </c>
      <c r="Q372" s="31" t="inlineStr"/>
      <c r="R372" s="30" t="inlineStr">
        <is>
          <t>Earnings / Momentum Support</t>
        </is>
      </c>
      <c r="S372" s="30" t="inlineStr">
        <is>
          <t>Nifty 50</t>
        </is>
      </c>
      <c r="T372" s="31" t="n">
        <v>0.85</v>
      </c>
      <c r="U372" s="31" t="n">
        <v>109.04</v>
      </c>
      <c r="V372" s="31" t="n">
        <v>107.27</v>
      </c>
      <c r="W372" s="31" t="n">
        <v>29.39</v>
      </c>
      <c r="X372" s="30" t="inlineStr">
        <is>
          <t>Growing Industry</t>
        </is>
      </c>
      <c r="Y372" s="30">
        <f>IF(X372="Growing Industry",10,IF(X372="Cyclical in an Upturn",5,0))</f>
        <v/>
      </c>
      <c r="Z372" s="30" t="inlineStr">
        <is>
          <t>Too Many Players with High ROCE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No</t>
        </is>
      </c>
      <c r="AC372" s="30">
        <f>IF(AB372="No",5,0)</f>
        <v/>
      </c>
      <c r="AD372" s="30" t="inlineStr">
        <is>
          <t>Headwind</t>
        </is>
      </c>
      <c r="AE372" s="30">
        <f>IF(AD372="Tailwind",10,0)</f>
        <v/>
      </c>
      <c r="AF372" s="30" t="inlineStr">
        <is>
          <t>Structural (10 Years Consistency)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Stable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No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20 to 40</t>
        </is>
      </c>
      <c r="AY372" s="30">
        <f>IF(AX372="Above 40",20,IF(AX372="20 to 40",10,IF(AX372="0 to 20",-5,0)))</f>
        <v/>
      </c>
      <c r="AZ372" s="30" t="inlineStr">
        <is>
          <t>Above 75</t>
        </is>
      </c>
      <c r="BA372" s="30">
        <f>IF(AZ372="Between 50 to 75",10,IF(AZ372="Above 75",0,0))</f>
        <v/>
      </c>
      <c r="BB372" s="30" t="inlineStr">
        <is>
          <t>Stage 3</t>
        </is>
      </c>
      <c r="BC372" s="30">
        <f>IF(BB372="Stage 2",20,IF(BB372="Stage 1",0,IF(BB372="Stage 3",5,IF(BB372="Stage 4",-5,0))))</f>
        <v/>
      </c>
      <c r="BD372" s="30" t="inlineStr">
        <is>
          <t>Negative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Close to 52 week high or retracement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More than 20%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Yes</t>
        </is>
      </c>
      <c r="BS372" s="30">
        <f>IF(BR372="NO",5,0)</f>
        <v/>
      </c>
      <c r="BT372" s="30" t="inlineStr">
        <is>
          <t>Above 2</t>
        </is>
      </c>
      <c r="BU372" s="30">
        <f>IF(BT372="Above 2",0,IF(BT372="Between 1.5 to 2",5,IF(BT372="Less than 1.5",10,0)))</f>
        <v/>
      </c>
      <c r="BV372" s="30" t="inlineStr">
        <is>
          <t>Less than 50% and Borrowings are increasing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More than 1.2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IF(B373=0,"",RANK(B373,$B$2:$B$400,0))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2" t="inlineStr">
        <is>
          <t>MAHSEAMLES</t>
        </is>
      </c>
      <c r="D373" s="32" t="inlineStr">
        <is>
          <t>Maharashtra Seamless Limited</t>
        </is>
      </c>
      <c r="E373" s="30" t="inlineStr">
        <is>
          <t>industrials</t>
        </is>
      </c>
      <c r="F373" s="30" t="inlineStr">
        <is>
          <t>steel - large</t>
        </is>
      </c>
      <c r="G373" s="30" t="inlineStr">
        <is>
          <t>midcap</t>
        </is>
      </c>
      <c r="H373" s="31" t="n">
        <v>7901.94</v>
      </c>
      <c r="I373" s="31" t="n">
        <v>607.85</v>
      </c>
      <c r="J373" s="31" t="n">
        <v>3.08</v>
      </c>
      <c r="K373" s="31" t="n">
        <v>371775</v>
      </c>
      <c r="L373" s="30" t="n">
        <v>2</v>
      </c>
      <c r="M373" s="30" t="inlineStr">
        <is>
          <t>Underperforming</t>
        </is>
      </c>
      <c r="N373" s="31">
        <f>IF(M373="Underperforming",-5,IF(L373&gt;=95,15,IF(L373&gt;=90,10,IF(L373&gt;=80,5,0))))</f>
        <v/>
      </c>
      <c r="O373" s="31" t="n">
        <v>47.52</v>
      </c>
      <c r="P373" s="31" t="n">
        <v>18.26</v>
      </c>
      <c r="Q373" s="31" t="inlineStr"/>
      <c r="R373" s="30" t="inlineStr">
        <is>
          <t>Earnings / Momentum Support</t>
        </is>
      </c>
      <c r="S373" s="30" t="inlineStr">
        <is>
          <t>Nifty Metal</t>
        </is>
      </c>
      <c r="T373" s="31" t="n">
        <v>31.49</v>
      </c>
      <c r="U373" s="31" t="n">
        <v>-17.38</v>
      </c>
      <c r="V373" s="31" t="n">
        <v>-37.17</v>
      </c>
      <c r="W373" s="31" t="n">
        <v>-4.66</v>
      </c>
      <c r="X373" s="30" t="inlineStr">
        <is>
          <t>Cyclical in an Upturn</t>
        </is>
      </c>
      <c r="Y373" s="30">
        <f>IF(X373="Growing Industry",10,IF(X373="Cyclical in an Upturn",5,0))</f>
        <v/>
      </c>
      <c r="Z373" s="30" t="inlineStr">
        <is>
          <t>Too Many Players with High ROCE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No</t>
        </is>
      </c>
      <c r="AC373" s="30">
        <f>IF(AB373="No",5,0)</f>
        <v/>
      </c>
      <c r="AD373" s="30" t="inlineStr">
        <is>
          <t>Headwind</t>
        </is>
      </c>
      <c r="AE373" s="30">
        <f>IF(AD373="Tailwind",10,0)</f>
        <v/>
      </c>
      <c r="AF373" s="30" t="inlineStr">
        <is>
          <t>Structural (10 Years Consistency)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Stable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No</t>
        </is>
      </c>
      <c r="AQ373" s="30">
        <f>IF(AP373="Yes",10,0)</f>
        <v/>
      </c>
      <c r="AR373" s="30" t="inlineStr">
        <is>
          <t>Higher One Time, Lower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Good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0 to 20</t>
        </is>
      </c>
      <c r="AY373" s="30">
        <f>IF(AX373="Above 40",20,IF(AX373="20 to 40",10,IF(AX373="0 to 20",-5,0)))</f>
        <v/>
      </c>
      <c r="AZ373" s="30" t="inlineStr">
        <is>
          <t>Below 45</t>
        </is>
      </c>
      <c r="BA373" s="30">
        <f>IF(AZ373="Between 50 to 75",10,IF(AZ373="Above 75",0,0))</f>
        <v/>
      </c>
      <c r="BB373" s="30" t="inlineStr">
        <is>
          <t>Stage 4</t>
        </is>
      </c>
      <c r="BC373" s="30">
        <f>IF(BB373="Stage 2",20,IF(BB373="Stage 1",0,IF(BB373="Stage 3",5,IF(BB373="Stage 4",-5,0))))</f>
        <v/>
      </c>
      <c r="BD373" s="30" t="inlineStr">
        <is>
          <t>Negative Trend</t>
        </is>
      </c>
      <c r="BE373" s="30">
        <f>IF(BD373="Positive Trend",20,IF(BD373="Negative Trend",-10,0))</f>
        <v/>
      </c>
      <c r="BF373" s="30" t="inlineStr">
        <is>
          <t>Uptrend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Close to 52 week high or retracement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Between 12 to 20%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No</t>
        </is>
      </c>
      <c r="BS373" s="30">
        <f>IF(BR373="NO",5,0)</f>
        <v/>
      </c>
      <c r="BT373" s="30" t="inlineStr">
        <is>
          <t>Less than 1.5</t>
        </is>
      </c>
      <c r="BU373" s="30">
        <f>IF(BT373="Above 2",0,IF(BT373="Between 1.5 to 2",5,IF(BT373="Less than 1.5",10,0)))</f>
        <v/>
      </c>
      <c r="BV373" s="30" t="inlineStr">
        <is>
          <t>Above 70%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Less than 0.7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IF(B374=0,"",RANK(B374,$B$2:$B$400,0))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2" t="inlineStr">
        <is>
          <t>GODREJPROP</t>
        </is>
      </c>
      <c r="D374" s="32" t="inlineStr">
        <is>
          <t>Godrej Properties Limited</t>
        </is>
      </c>
      <c r="E374" s="30" t="inlineStr">
        <is>
          <t>realty</t>
        </is>
      </c>
      <c r="F374" s="30" t="inlineStr">
        <is>
          <t>construction</t>
        </is>
      </c>
      <c r="G374" s="30" t="inlineStr">
        <is>
          <t>largecap</t>
        </is>
      </c>
      <c r="H374" s="31" t="n">
        <v>62353.77</v>
      </c>
      <c r="I374" s="31" t="n">
        <v>2108.4</v>
      </c>
      <c r="J374" s="31" t="n">
        <v>1.86</v>
      </c>
      <c r="K374" s="31" t="n">
        <v>719473</v>
      </c>
      <c r="L374" s="30" t="n">
        <v>23</v>
      </c>
      <c r="M374" s="30" t="inlineStr">
        <is>
          <t>Underperforming</t>
        </is>
      </c>
      <c r="N374" s="31">
        <f>IF(M374="Underperforming",-5,IF(L374&gt;=95,15,IF(L374&gt;=90,10,IF(L374&gt;=80,5,0))))</f>
        <v/>
      </c>
      <c r="O374" s="31" t="n">
        <v>59.62</v>
      </c>
      <c r="P374" s="31" t="n">
        <v>11.77</v>
      </c>
      <c r="Q374" s="31" t="inlineStr"/>
      <c r="R374" s="30" t="inlineStr">
        <is>
          <t>Earnings / Momentum Support</t>
        </is>
      </c>
      <c r="S374" s="30" t="inlineStr">
        <is>
          <t>Nifty Realty</t>
        </is>
      </c>
      <c r="T374" s="31" t="n">
        <v>-8.119999999999999</v>
      </c>
      <c r="U374" s="31" t="n">
        <v>-11.13</v>
      </c>
      <c r="V374" s="31" t="n">
        <v>-3.28</v>
      </c>
      <c r="W374" s="31" t="n">
        <v>2.23</v>
      </c>
      <c r="X374" s="30" t="inlineStr">
        <is>
          <t>Growing Industry</t>
        </is>
      </c>
      <c r="Y374" s="30">
        <f>IF(X374="Growing Industry",10,IF(X374="Cyclical in an Upturn",5,0))</f>
        <v/>
      </c>
      <c r="Z374" s="30" t="inlineStr">
        <is>
          <t>Too Many Players with High ROCE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No</t>
        </is>
      </c>
      <c r="AC374" s="30">
        <f>IF(AB374="No",5,0)</f>
        <v/>
      </c>
      <c r="AD374" s="30" t="inlineStr">
        <is>
          <t>Headwind</t>
        </is>
      </c>
      <c r="AE374" s="30">
        <f>IF(AD374="Tailwind",10,0)</f>
        <v/>
      </c>
      <c r="AF374" s="30" t="inlineStr">
        <is>
          <t>Structural (10 Years Consistency)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Stable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No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0 to 20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3</t>
        </is>
      </c>
      <c r="BC374" s="30">
        <f>IF(BB374="Stage 2",20,IF(BB374="Stage 1",0,IF(BB374="Stage 3",5,IF(BB374="Stage 4",-5,0))))</f>
        <v/>
      </c>
      <c r="BD374" s="30" t="inlineStr">
        <is>
          <t>Negative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Less than 12%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Above 70%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Between 0.7 to 1.2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IF(B375=0,"",RANK(B375,$B$2:$B$400,0))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2" t="inlineStr">
        <is>
          <t>KANSAINER</t>
        </is>
      </c>
      <c r="D375" s="32" t="inlineStr">
        <is>
          <t>Kansai Nerolac Paints Limited</t>
        </is>
      </c>
      <c r="E375" s="30" t="inlineStr">
        <is>
          <t>building materials</t>
        </is>
      </c>
      <c r="F375" s="30" t="inlineStr">
        <is>
          <t>paints / varnishes</t>
        </is>
      </c>
      <c r="G375" s="30" t="inlineStr">
        <is>
          <t>midcap</t>
        </is>
      </c>
      <c r="H375" s="31" t="n">
        <v>17173.05</v>
      </c>
      <c r="I375" s="31" t="n">
        <v>215.65</v>
      </c>
      <c r="J375" s="31" t="n">
        <v>1.55</v>
      </c>
      <c r="K375" s="31" t="n">
        <v>547826</v>
      </c>
      <c r="L375" s="30" t="n">
        <v>4</v>
      </c>
      <c r="M375" s="30" t="inlineStr">
        <is>
          <t>Underperforming</t>
        </is>
      </c>
      <c r="N375" s="31">
        <f>IF(M375="Underperforming",-5,IF(L375&gt;=95,15,IF(L375&gt;=90,10,IF(L375&gt;=80,5,0))))</f>
        <v/>
      </c>
      <c r="O375" s="31" t="n">
        <v>53.08</v>
      </c>
      <c r="P375" s="31" t="n">
        <v>7.96</v>
      </c>
      <c r="Q375" s="31" t="inlineStr"/>
      <c r="R375" s="30" t="inlineStr">
        <is>
          <t>Earnings / Momentum Support</t>
        </is>
      </c>
      <c r="S375" s="30" t="inlineStr">
        <is>
          <t>Nifty Infra</t>
        </is>
      </c>
      <c r="T375" s="31" t="n">
        <v>1.74</v>
      </c>
      <c r="U375" s="31" t="n">
        <v>-17.91</v>
      </c>
      <c r="V375" s="31" t="n">
        <v>-19.31</v>
      </c>
      <c r="W375" s="31" t="n">
        <v>-3.64</v>
      </c>
      <c r="X375" s="30" t="inlineStr">
        <is>
          <t>Growing Industry</t>
        </is>
      </c>
      <c r="Y375" s="30">
        <f>IF(X375="Growing Industry",10,IF(X375="Cyclical in an Upturn",5,0))</f>
        <v/>
      </c>
      <c r="Z375" s="30" t="inlineStr">
        <is>
          <t>Too Many Players with High ROCE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Headwind</t>
        </is>
      </c>
      <c r="AE375" s="30">
        <f>IF(AD375="Tailwind",10,0)</f>
        <v/>
      </c>
      <c r="AF375" s="30" t="inlineStr">
        <is>
          <t>Structural (10 Years Consistency)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Stable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No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0 to 20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4</t>
        </is>
      </c>
      <c r="BC375" s="30">
        <f>IF(BB375="Stage 2",20,IF(BB375="Stage 1",0,IF(BB375="Stage 3",5,IF(BB375="Stage 4",-5,0))))</f>
        <v/>
      </c>
      <c r="BD375" s="30" t="inlineStr">
        <is>
          <t>Negative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Less than 12%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No</t>
        </is>
      </c>
      <c r="BS375" s="30">
        <f>IF(BR375="NO",5,0)</f>
        <v/>
      </c>
      <c r="BT375" s="30" t="inlineStr">
        <is>
          <t>Above 2</t>
        </is>
      </c>
      <c r="BU375" s="30">
        <f>IF(BT375="Above 2",0,IF(BT375="Between 1.5 to 2",5,IF(BT375="Less than 1.5",10,0)))</f>
        <v/>
      </c>
      <c r="BV375" s="30" t="inlineStr">
        <is>
          <t>Above 70%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Less than 0.7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  <row r="376">
      <c r="A376" s="30">
        <f>IF(B376=0,"",RANK(B376,$B$2:$B$400,0))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2" t="inlineStr">
        <is>
          <t>DEEPINDS</t>
        </is>
      </c>
      <c r="D376" s="32" t="inlineStr">
        <is>
          <t>Deep Industries Ltd</t>
        </is>
      </c>
      <c r="E376" s="30" t="inlineStr">
        <is>
          <t>energy</t>
        </is>
      </c>
      <c r="F376" s="30" t="inlineStr">
        <is>
          <t>oil drilling / allied services</t>
        </is>
      </c>
      <c r="G376" s="30" t="inlineStr">
        <is>
          <t>smallcap</t>
        </is>
      </c>
      <c r="H376" s="31" t="n">
        <v>4088.96</v>
      </c>
      <c r="I376" s="31" t="n">
        <v>647.95</v>
      </c>
      <c r="J376" s="31" t="n">
        <v>1.42</v>
      </c>
      <c r="K376" s="31" t="n">
        <v>248088</v>
      </c>
      <c r="L376" s="30" t="n">
        <v>18</v>
      </c>
      <c r="M376" s="30" t="inlineStr">
        <is>
          <t>Underperforming</t>
        </is>
      </c>
      <c r="N376" s="31">
        <f>IF(M376="Underperforming",-5,IF(L376&gt;=95,15,IF(L376&gt;=90,10,IF(L376&gt;=80,5,0))))</f>
        <v/>
      </c>
      <c r="O376" s="31" t="n">
        <v>73.17</v>
      </c>
      <c r="P376" s="31" t="n">
        <v>19.13</v>
      </c>
      <c r="Q376" s="31" t="inlineStr"/>
      <c r="R376" s="30" t="inlineStr">
        <is>
          <t>Earnings / Momentum Support</t>
        </is>
      </c>
      <c r="S376" s="30" t="inlineStr">
        <is>
          <t>Nifty Energy</t>
        </is>
      </c>
      <c r="T376" s="31" t="n">
        <v>8.41</v>
      </c>
      <c r="U376" s="31" t="n">
        <v>0.27</v>
      </c>
      <c r="V376" s="31" t="n">
        <v>-7.51</v>
      </c>
      <c r="W376" s="31" t="n">
        <v>1.2</v>
      </c>
      <c r="X376" s="30" t="inlineStr">
        <is>
          <t>Cyclical in an Upturn</t>
        </is>
      </c>
      <c r="Y376" s="30">
        <f>IF(X376="Growing Industry",10,IF(X376="Cyclical in an Upturn",5,0))</f>
        <v/>
      </c>
      <c r="Z376" s="30" t="inlineStr">
        <is>
          <t>Oligopoly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Yes</t>
        </is>
      </c>
      <c r="AC376" s="30">
        <f>IF(AB376="No",5,0)</f>
        <v/>
      </c>
      <c r="AD376" s="30" t="inlineStr">
        <is>
          <t>Headwind</t>
        </is>
      </c>
      <c r="AE376" s="30">
        <f>IF(AD376="Tailwind",10,0)</f>
        <v/>
      </c>
      <c r="AF376" s="30" t="inlineStr">
        <is>
          <t>Cyclical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Volatile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No</t>
        </is>
      </c>
      <c r="AQ376" s="30">
        <f>IF(AP376="Yes",10,0)</f>
        <v/>
      </c>
      <c r="AR376" s="30" t="inlineStr">
        <is>
          <t>Higher One Time, Lower Annuity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0 to 20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3</t>
        </is>
      </c>
      <c r="BC376" s="30">
        <f>IF(BB376="Stage 2",20,IF(BB376="Stage 1",0,IF(BB376="Stage 3",5,IF(BB376="Stage 4",-5,0))))</f>
        <v/>
      </c>
      <c r="BD376" s="30" t="inlineStr">
        <is>
          <t>Negative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More than 20%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No</t>
        </is>
      </c>
      <c r="BS376" s="30">
        <f>IF(BR376="NO",5,0)</f>
        <v/>
      </c>
      <c r="BT376" s="30" t="inlineStr">
        <is>
          <t>Less than 1.5</t>
        </is>
      </c>
      <c r="BU376" s="30">
        <f>IF(BT376="Above 2",0,IF(BT376="Between 1.5 to 2",5,IF(BT376="Less than 1.5",10,0)))</f>
        <v/>
      </c>
      <c r="BV376" s="30" t="inlineStr">
        <is>
          <t>Above 70%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Less than 0.7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IF(B377=0,"",RANK(B377,$B$2:$B$400,0))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0" t="inlineStr">
        <is>
          <t>SANATHAN</t>
        </is>
      </c>
      <c r="D377" s="30" t="inlineStr">
        <is>
          <t>Sanathan Textiles Ltd</t>
        </is>
      </c>
      <c r="E377" s="30" t="inlineStr">
        <is>
          <t>textiles</t>
        </is>
      </c>
      <c r="F377" s="30" t="inlineStr">
        <is>
          <t>textiles - cotton/blended</t>
        </is>
      </c>
      <c r="G377" s="30" t="inlineStr">
        <is>
          <t>smallcap</t>
        </is>
      </c>
      <c r="H377" s="31" t="n">
        <v>4032.83</v>
      </c>
      <c r="I377" s="31" t="n">
        <v>480.5</v>
      </c>
      <c r="J377" s="31" t="n">
        <v>0.57</v>
      </c>
      <c r="K377" s="31" t="n">
        <v>41336</v>
      </c>
      <c r="L377" s="30" t="n">
        <v>20</v>
      </c>
      <c r="M377" s="30" t="inlineStr">
        <is>
          <t>Outperforming</t>
        </is>
      </c>
      <c r="N377" s="31">
        <f>IF(M377="Underperforming",-5,IF(L377&gt;=95,15,IF(L377&gt;=90,10,IF(L377&gt;=80,5,0))))</f>
        <v/>
      </c>
      <c r="O377" s="31" t="n">
        <v>61.14</v>
      </c>
      <c r="P377" s="31" t="n">
        <v>15.12</v>
      </c>
      <c r="Q377" s="31" t="inlineStr"/>
      <c r="R377" s="30" t="inlineStr">
        <is>
          <t>Earnings / Momentum Support</t>
        </is>
      </c>
      <c r="S377" s="30" t="inlineStr">
        <is>
          <t>Nifty 50</t>
        </is>
      </c>
      <c r="T377" s="31" t="n">
        <v>0.85</v>
      </c>
      <c r="U377" s="31" t="n">
        <v>2.17</v>
      </c>
      <c r="V377" s="31" t="n">
        <v>1.31</v>
      </c>
      <c r="W377" s="31" t="n">
        <v>1.68</v>
      </c>
      <c r="X377" s="30" t="inlineStr">
        <is>
          <t>Growing Industry</t>
        </is>
      </c>
      <c r="Y377" s="30">
        <f>IF(X377="Growing Industry",10,IF(X377="Cyclical in an Upturn",5,0))</f>
        <v/>
      </c>
      <c r="Z377" s="30" t="inlineStr">
        <is>
          <t>Too Many Players with High ROCE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No</t>
        </is>
      </c>
      <c r="AC377" s="30">
        <f>IF(AB377="No",5,0)</f>
        <v/>
      </c>
      <c r="AD377" s="30" t="inlineStr">
        <is>
          <t>Headwind</t>
        </is>
      </c>
      <c r="AE377" s="30">
        <f>IF(AD377="Tailwind",10,0)</f>
        <v/>
      </c>
      <c r="AF377" s="30" t="inlineStr">
        <is>
          <t>Structural (10 Years Consistency)</t>
        </is>
      </c>
      <c r="AG377" s="30">
        <f>IF(AF377="Structural (10 Years Consistency)",10,IF(AF377="Shallow Cyclical (2 to 3 years growth)",5,0))</f>
        <v/>
      </c>
      <c r="AH377" s="30" t="inlineStr">
        <is>
          <t>No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Stable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No</t>
        </is>
      </c>
      <c r="AQ377" s="30">
        <f>IF(AP377="Yes",10,0)</f>
        <v/>
      </c>
      <c r="AR377" s="30" t="inlineStr">
        <is>
          <t>Higher One Time, Lower Annuity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Good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0 to 20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3</t>
        </is>
      </c>
      <c r="BC377" s="30">
        <f>IF(BB377="Stage 2",20,IF(BB377="Stage 1",0,IF(BB377="Stage 3",5,IF(BB377="Stage 4",-5,0))))</f>
        <v/>
      </c>
      <c r="BD377" s="30" t="inlineStr">
        <is>
          <t>Negative Trend</t>
        </is>
      </c>
      <c r="BE377" s="30">
        <f>IF(BD377="Positive Trend",20,IF(BD377="Negative Trend",-10,0))</f>
        <v/>
      </c>
      <c r="BF377" s="30" t="inlineStr">
        <is>
          <t>Uptrend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Close to 52 week high or retracement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Less than 12%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Yes</t>
        </is>
      </c>
      <c r="BS377" s="30">
        <f>IF(BR377="NO",5,0)</f>
        <v/>
      </c>
      <c r="BT377" s="30" t="inlineStr">
        <is>
          <t>Above 2</t>
        </is>
      </c>
      <c r="BU377" s="30">
        <f>IF(BT377="Above 2",0,IF(BT377="Between 1.5 to 2",5,IF(BT377="Less than 1.5",10,0)))</f>
        <v/>
      </c>
      <c r="BV377" s="30" t="inlineStr">
        <is>
          <t>Above 70%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Between 0.7 to 1.2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Less than 15%</t>
        </is>
      </c>
      <c r="CC377" s="30">
        <f>IF(CB377="More than 15%",-10,IF(CB377="Less than 15%",10,0))</f>
        <v/>
      </c>
      <c r="CD377" s="30" t="inlineStr">
        <is>
          <t>No</t>
        </is>
      </c>
      <c r="CE377" s="30">
        <f>IF(CD377="Yes, more than 10%",-10,IF(CD377="No",10,0))</f>
        <v/>
      </c>
    </row>
    <row r="378">
      <c r="A378" s="30">
        <f>IF(B378=0,"",RANK(B378,$B$2:$B$400,0))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2" t="inlineStr">
        <is>
          <t>JSWSTEEL</t>
        </is>
      </c>
      <c r="D378" s="32" t="inlineStr">
        <is>
          <t>Jsw Steel Limited</t>
        </is>
      </c>
      <c r="E378" s="30" t="inlineStr">
        <is>
          <t>metals &amp; mining</t>
        </is>
      </c>
      <c r="F378" s="30" t="inlineStr">
        <is>
          <t>steel - large</t>
        </is>
      </c>
      <c r="G378" s="30" t="inlineStr">
        <is>
          <t>largecap</t>
        </is>
      </c>
      <c r="H378" s="31" t="n">
        <v>317786.74</v>
      </c>
      <c r="I378" s="31" t="n">
        <v>1302</v>
      </c>
      <c r="J378" s="31" t="n">
        <v>0.19</v>
      </c>
      <c r="K378" s="31" t="n">
        <v>3012479</v>
      </c>
      <c r="L378" s="30" t="n">
        <v>32</v>
      </c>
      <c r="M378" s="30" t="inlineStr">
        <is>
          <t>Underperforming</t>
        </is>
      </c>
      <c r="N378" s="31">
        <f>IF(M378="Underperforming",-5,IF(L378&gt;=95,15,IF(L378&gt;=90,10,IF(L378&gt;=80,5,0))))</f>
        <v/>
      </c>
      <c r="O378" s="31" t="n">
        <v>62.53</v>
      </c>
      <c r="P378" s="31" t="n">
        <v>29.77</v>
      </c>
      <c r="Q378" s="31" t="inlineStr"/>
      <c r="R378" s="30" t="inlineStr">
        <is>
          <t>Earnings / Momentum Support</t>
        </is>
      </c>
      <c r="S378" s="30" t="inlineStr">
        <is>
          <t>Nifty Metal</t>
        </is>
      </c>
      <c r="T378" s="31" t="n">
        <v>31.49</v>
      </c>
      <c r="U378" s="31" t="n">
        <v>20.3</v>
      </c>
      <c r="V378" s="31" t="n">
        <v>-8.51</v>
      </c>
      <c r="W378" s="31" t="n">
        <v>3.93</v>
      </c>
      <c r="X378" s="30" t="inlineStr">
        <is>
          <t>Cyclical in an Upturn</t>
        </is>
      </c>
      <c r="Y378" s="30">
        <f>IF(X378="Growing Industry",10,IF(X378="Cyclical in an Upturn",5,0))</f>
        <v/>
      </c>
      <c r="Z378" s="30" t="inlineStr">
        <is>
          <t>Too Many Players with High ROCE</t>
        </is>
      </c>
      <c r="AA378" s="30">
        <f>IF(Z378="Monopoly",10,IF(Z378="Oligopoly",5,IF(Z378="Duopoly that cooperate",10,IF(Z378="Duopoly that compete",5,IF(Z378="Too many players with High ROCE",5,0)))))</f>
        <v/>
      </c>
      <c r="AB378" s="30" t="inlineStr">
        <is>
          <t>No</t>
        </is>
      </c>
      <c r="AC378" s="30">
        <f>IF(AB378="No",5,0)</f>
        <v/>
      </c>
      <c r="AD378" s="30" t="inlineStr">
        <is>
          <t>Headwind</t>
        </is>
      </c>
      <c r="AE378" s="30">
        <f>IF(AD378="Tailwind",10,0)</f>
        <v/>
      </c>
      <c r="AF378" s="30" t="inlineStr">
        <is>
          <t>Cyclical</t>
        </is>
      </c>
      <c r="AG378" s="30">
        <f>IF(AF378="Structural (10 Years Consistency)",10,IF(AF378="Shallow Cyclical (2 to 3 years growth)",5,0))</f>
        <v/>
      </c>
      <c r="AH378" s="30" t="inlineStr">
        <is>
          <t>No</t>
        </is>
      </c>
      <c r="AI378" s="30">
        <f>IF(AH378="Yes due to Product Mix change or Operating Leverage",10,IF(AH378="Yes, these are peak margins",-5,IF(AH378="No",5,0)))</f>
        <v/>
      </c>
      <c r="AJ378" s="30" t="inlineStr">
        <is>
          <t>Volatile</t>
        </is>
      </c>
      <c r="AK378" s="30">
        <f>IF(AJ378="Stable",10,0)</f>
        <v/>
      </c>
      <c r="AL378" s="30" t="inlineStr">
        <is>
          <t>Yes</t>
        </is>
      </c>
      <c r="AM378" s="30">
        <f>IF(AL378="Yes",10,0)</f>
        <v/>
      </c>
      <c r="AN378" s="30" t="inlineStr">
        <is>
          <t>B2B</t>
        </is>
      </c>
      <c r="AO378" s="30">
        <f>IF(AN378="B2C",10,IF(AN378="B2B",5,0))</f>
        <v/>
      </c>
      <c r="AP378" s="30" t="inlineStr">
        <is>
          <t>No</t>
        </is>
      </c>
      <c r="AQ378" s="30">
        <f>IF(AP378="Yes",10,0)</f>
        <v/>
      </c>
      <c r="AR378" s="30" t="inlineStr">
        <is>
          <t>Higher One Time, Lower Annuity</t>
        </is>
      </c>
      <c r="AS378" s="30">
        <f>IF(AR378="Fully Annuity",10,IF(AR378="Higher Annuity, Lower One Time",5,IF(AR378="Higher One Time, Lower Annuity",3,0)))</f>
        <v/>
      </c>
      <c r="AT378" s="30" t="inlineStr">
        <is>
          <t>Good</t>
        </is>
      </c>
      <c r="AU378" s="30">
        <f>IF(AT378="Good",10,0)</f>
        <v/>
      </c>
      <c r="AV378" s="30" t="inlineStr">
        <is>
          <t>Yes for more than 2 years</t>
        </is>
      </c>
      <c r="AW378" s="30">
        <f>IF(AV378="Yes for more than 2 years",10,IF(AV378="Yes only for next 1 to 2 years",5,0))</f>
        <v/>
      </c>
      <c r="AX378" s="30" t="inlineStr">
        <is>
          <t>20 to 40</t>
        </is>
      </c>
      <c r="AY378" s="30">
        <f>IF(AX378="Above 40",20,IF(AX378="20 to 40",10,IF(AX378="0 to 20",-5,0)))</f>
        <v/>
      </c>
      <c r="AZ378" s="30" t="inlineStr">
        <is>
          <t>Between 50 to 75</t>
        </is>
      </c>
      <c r="BA378" s="30">
        <f>IF(AZ378="Between 50 to 75",10,IF(AZ378="Above 75",0,0))</f>
        <v/>
      </c>
      <c r="BB378" s="30" t="inlineStr">
        <is>
          <t>Stage 3</t>
        </is>
      </c>
      <c r="BC378" s="30">
        <f>IF(BB378="Stage 2",20,IF(BB378="Stage 1",0,IF(BB378="Stage 3",5,IF(BB378="Stage 4",-5,0))))</f>
        <v/>
      </c>
      <c r="BD378" s="30" t="inlineStr">
        <is>
          <t>Negative Trend</t>
        </is>
      </c>
      <c r="BE378" s="30">
        <f>IF(BD378="Positive Trend",20,IF(BD378="Negative Trend",-10,0))</f>
        <v/>
      </c>
      <c r="BF378" s="30" t="inlineStr">
        <is>
          <t>Uptrend</t>
        </is>
      </c>
      <c r="BG378" s="30">
        <f>IF(BF378="Uptrend",10,IF(BF378="Sideways",5,0))</f>
        <v/>
      </c>
      <c r="BH378" s="30" t="inlineStr">
        <is>
          <t>Uptrend</t>
        </is>
      </c>
      <c r="BI378" s="30">
        <f>IF(BH378="Uptrend",10,IF(BH378="Sideways",5,0))</f>
        <v/>
      </c>
      <c r="BJ378" s="30" t="inlineStr">
        <is>
          <t>Close to 52 week high or retracement</t>
        </is>
      </c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inlineStr">
        <is>
          <t>Yes</t>
        </is>
      </c>
      <c r="BM378" s="30">
        <f>IF(BL378="Yes",10,0)</f>
        <v/>
      </c>
      <c r="BN378" s="30" t="inlineStr">
        <is>
          <t>More than 20%</t>
        </is>
      </c>
      <c r="BO378" s="30">
        <f>IF(BN378="More than 20%",10,IF(BN378="Between 12 to 20%",5,IF(BN378="Less than 12%",0,0)))</f>
        <v/>
      </c>
      <c r="BP378" s="30" t="inlineStr">
        <is>
          <t>No</t>
        </is>
      </c>
      <c r="BQ378" s="30">
        <f>IF(BP378="No",10,0)</f>
        <v/>
      </c>
      <c r="BR378" s="30" t="inlineStr">
        <is>
          <t>No</t>
        </is>
      </c>
      <c r="BS378" s="30">
        <f>IF(BR378="NO",5,0)</f>
        <v/>
      </c>
      <c r="BT378" s="30" t="inlineStr">
        <is>
          <t>Above 2</t>
        </is>
      </c>
      <c r="BU378" s="30">
        <f>IF(BT378="Above 2",0,IF(BT378="Between 1.5 to 2",5,IF(BT378="Less than 1.5",10,0)))</f>
        <v/>
      </c>
      <c r="BV378" s="30" t="inlineStr">
        <is>
          <t>Above 70%</t>
        </is>
      </c>
      <c r="BW378" s="30">
        <f>IF(BV378="Above 70%",10,IF(BV378="Between 50% to 70%",5,IF(BV378="Less than 50%",0,IF(BV378="Negative",-10,IF(BV378="Less than 50% and Borrowings are increasing",-5,0)))))</f>
        <v/>
      </c>
      <c r="BX378" s="30" t="inlineStr">
        <is>
          <t>Between 0.7 to 1.2</t>
        </is>
      </c>
      <c r="BY378" s="30">
        <f>IF(BX378="More than 1.2",-10,IF(BX378="Between 0.7 to 1.2",0,IF(BX378="Less than 0.7",10,0)))</f>
        <v/>
      </c>
      <c r="BZ378" s="30" t="inlineStr">
        <is>
          <t>No</t>
        </is>
      </c>
      <c r="CA378" s="30">
        <f>IF(BZ378="Yes",-10,0)</f>
        <v/>
      </c>
      <c r="CB378" s="30" t="inlineStr">
        <is>
          <t>Less than 15%</t>
        </is>
      </c>
      <c r="CC378" s="30">
        <f>IF(CB378="More than 15%",-10,IF(CB378="Less than 15%",10,0))</f>
        <v/>
      </c>
      <c r="CD378" s="30" t="inlineStr">
        <is>
          <t>No</t>
        </is>
      </c>
      <c r="CE378" s="30">
        <f>IF(CD378="Yes, more than 10%",-10,IF(CD378="No",10,0))</f>
        <v/>
      </c>
    </row>
    <row r="379">
      <c r="A379" s="30">
        <f>IF(B379=0,"",RANK(B379,$B$2:$B$400,0))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0" t="inlineStr">
        <is>
          <t>SIEMENS</t>
        </is>
      </c>
      <c r="D379" s="30" t="inlineStr">
        <is>
          <t>Siemens Limited</t>
        </is>
      </c>
      <c r="E379" s="30" t="inlineStr">
        <is>
          <t>industrials</t>
        </is>
      </c>
      <c r="F379" s="30" t="inlineStr">
        <is>
          <t>electric equipment</t>
        </is>
      </c>
      <c r="G379" s="30" t="inlineStr">
        <is>
          <t>largecap</t>
        </is>
      </c>
      <c r="H379" s="31" t="n">
        <v>140315.04</v>
      </c>
      <c r="I379" s="31" t="n">
        <v>3914.3</v>
      </c>
      <c r="J379" s="31" t="n">
        <v>-0.65</v>
      </c>
      <c r="K379" s="31" t="n">
        <v>519989</v>
      </c>
      <c r="L379" s="30" t="n">
        <v>44</v>
      </c>
      <c r="M379" s="30" t="inlineStr">
        <is>
          <t>Outperforming</t>
        </is>
      </c>
      <c r="N379" s="31">
        <f>IF(M379="Underperforming",-5,IF(L379&gt;=95,15,IF(L379&gt;=90,10,IF(L379&gt;=80,5,0))))</f>
        <v/>
      </c>
      <c r="O379" s="31" t="n">
        <v>63.39</v>
      </c>
      <c r="P379" s="31" t="n">
        <v>23.36</v>
      </c>
      <c r="Q379" s="31" t="inlineStr"/>
      <c r="R379" s="30" t="inlineStr">
        <is>
          <t>Earnings / Momentum Support</t>
        </is>
      </c>
      <c r="S379" s="30" t="inlineStr">
        <is>
          <t>Nifty 500</t>
        </is>
      </c>
      <c r="T379" s="31" t="n">
        <v>5.65</v>
      </c>
      <c r="U379" s="31" t="n">
        <v>30.6</v>
      </c>
      <c r="V379" s="31" t="n">
        <v>23.61</v>
      </c>
      <c r="W379" s="31" t="n">
        <v>6.45</v>
      </c>
      <c r="X379" s="30" t="inlineStr">
        <is>
          <t>Cyclical in an Upturn</t>
        </is>
      </c>
      <c r="Y379" s="30">
        <f>IF(X379="Growing Industry",10,IF(X379="Cyclical in an Upturn",5,0))</f>
        <v/>
      </c>
      <c r="Z379" s="30" t="inlineStr">
        <is>
          <t>Too Many Players with High ROCE</t>
        </is>
      </c>
      <c r="AA379" s="30">
        <f>IF(Z379="Monopoly",10,IF(Z379="Oligopoly",5,IF(Z379="Duopoly that cooperate",10,IF(Z379="Duopoly that compete",5,IF(Z379="Too many players with High ROCE",5,0)))))</f>
        <v/>
      </c>
      <c r="AB379" s="30" t="inlineStr">
        <is>
          <t>No</t>
        </is>
      </c>
      <c r="AC379" s="30">
        <f>IF(AB379="No",5,0)</f>
        <v/>
      </c>
      <c r="AD379" s="30" t="inlineStr">
        <is>
          <t>Headwind</t>
        </is>
      </c>
      <c r="AE379" s="30">
        <f>IF(AD379="Tailwind",10,0)</f>
        <v/>
      </c>
      <c r="AF379" s="30" t="inlineStr">
        <is>
          <t>Structural (10 Years Consistency)</t>
        </is>
      </c>
      <c r="AG379" s="30">
        <f>IF(AF379="Structural (10 Years Consistency)",10,IF(AF379="Shallow Cyclical (2 to 3 years growth)",5,0))</f>
        <v/>
      </c>
      <c r="AH379" s="30" t="inlineStr">
        <is>
          <t>No</t>
        </is>
      </c>
      <c r="AI379" s="30">
        <f>IF(AH379="Yes due to Product Mix change or Operating Leverage",10,IF(AH379="Yes, these are peak margins",-5,IF(AH379="No",5,0)))</f>
        <v/>
      </c>
      <c r="AJ379" s="30" t="inlineStr">
        <is>
          <t>Stable</t>
        </is>
      </c>
      <c r="AK379" s="30">
        <f>IF(AJ379="Stable",10,0)</f>
        <v/>
      </c>
      <c r="AL379" s="30" t="inlineStr">
        <is>
          <t>Yes</t>
        </is>
      </c>
      <c r="AM379" s="30">
        <f>IF(AL379="Yes",10,0)</f>
        <v/>
      </c>
      <c r="AN379" s="30" t="inlineStr">
        <is>
          <t>B2B</t>
        </is>
      </c>
      <c r="AO379" s="30">
        <f>IF(AN379="B2C",10,IF(AN379="B2B",5,0))</f>
        <v/>
      </c>
      <c r="AP379" s="30" t="inlineStr">
        <is>
          <t>No</t>
        </is>
      </c>
      <c r="AQ379" s="30">
        <f>IF(AP379="Yes",10,0)</f>
        <v/>
      </c>
      <c r="AR379" s="30" t="inlineStr">
        <is>
          <t>Higher One Time, Lower Annuity</t>
        </is>
      </c>
      <c r="AS379" s="30">
        <f>IF(AR379="Fully Annuity",10,IF(AR379="Higher Annuity, Lower One Time",5,IF(AR379="Higher One Time, Lower Annuity",3,0)))</f>
        <v/>
      </c>
      <c r="AT379" s="30" t="inlineStr">
        <is>
          <t>Good</t>
        </is>
      </c>
      <c r="AU379" s="30">
        <f>IF(AT379="Good",10,0)</f>
        <v/>
      </c>
      <c r="AV379" s="30" t="inlineStr">
        <is>
          <t>Yes for more than 2 years</t>
        </is>
      </c>
      <c r="AW379" s="30">
        <f>IF(AV379="Yes for more than 2 years",10,IF(AV379="Yes only for next 1 to 2 years",5,0))</f>
        <v/>
      </c>
      <c r="AX379" s="30" t="inlineStr">
        <is>
          <t>20 to 40</t>
        </is>
      </c>
      <c r="AY379" s="30">
        <f>IF(AX379="Above 40",20,IF(AX379="20 to 40",10,IF(AX379="0 to 20",-5,0)))</f>
        <v/>
      </c>
      <c r="AZ379" s="30" t="inlineStr">
        <is>
          <t>Between 50 to 75</t>
        </is>
      </c>
      <c r="BA379" s="30">
        <f>IF(AZ379="Between 50 to 75",10,IF(AZ379="Above 75",0,0))</f>
        <v/>
      </c>
      <c r="BB379" s="30" t="inlineStr">
        <is>
          <t>Stage 3</t>
        </is>
      </c>
      <c r="BC379" s="30">
        <f>IF(BB379="Stage 2",20,IF(BB379="Stage 1",0,IF(BB379="Stage 3",5,IF(BB379="Stage 4",-5,0))))</f>
        <v/>
      </c>
      <c r="BD379" s="30" t="inlineStr">
        <is>
          <t>Negative Trend</t>
        </is>
      </c>
      <c r="BE379" s="30">
        <f>IF(BD379="Positive Trend",20,IF(BD379="Negative Trend",-10,0))</f>
        <v/>
      </c>
      <c r="BF379" s="30" t="inlineStr">
        <is>
          <t>Uptrend</t>
        </is>
      </c>
      <c r="BG379" s="30">
        <f>IF(BF379="Uptrend",10,IF(BF379="Sideways",5,0))</f>
        <v/>
      </c>
      <c r="BH379" s="30" t="inlineStr">
        <is>
          <t>Uptrend</t>
        </is>
      </c>
      <c r="BI379" s="30">
        <f>IF(BH379="Uptrend",10,IF(BH379="Sideways",5,0))</f>
        <v/>
      </c>
      <c r="BJ379" s="30" t="inlineStr">
        <is>
          <t>Close to 52 week high or retracement</t>
        </is>
      </c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inlineStr">
        <is>
          <t>Yes</t>
        </is>
      </c>
      <c r="BM379" s="30">
        <f>IF(BL379="Yes",10,0)</f>
        <v/>
      </c>
      <c r="BN379" s="30" t="inlineStr">
        <is>
          <t>Less than 12%</t>
        </is>
      </c>
      <c r="BO379" s="30">
        <f>IF(BN379="More than 20%",10,IF(BN379="Between 12 to 20%",5,IF(BN379="Less than 12%",0,0)))</f>
        <v/>
      </c>
      <c r="BP379" s="30" t="inlineStr">
        <is>
          <t>No</t>
        </is>
      </c>
      <c r="BQ379" s="30">
        <f>IF(BP379="No",10,0)</f>
        <v/>
      </c>
      <c r="BR379" s="30" t="inlineStr">
        <is>
          <t>Yes</t>
        </is>
      </c>
      <c r="BS379" s="30">
        <f>IF(BR379="NO",5,0)</f>
        <v/>
      </c>
      <c r="BT379" s="30" t="inlineStr">
        <is>
          <t>Above 2</t>
        </is>
      </c>
      <c r="BU379" s="30">
        <f>IF(BT379="Above 2",0,IF(BT379="Between 1.5 to 2",5,IF(BT379="Less than 1.5",10,0)))</f>
        <v/>
      </c>
      <c r="BV379" s="30" t="inlineStr">
        <is>
          <t>Negative</t>
        </is>
      </c>
      <c r="BW379" s="30">
        <f>IF(BV379="Above 70%",10,IF(BV379="Between 50% to 70%",5,IF(BV379="Less than 50%",0,IF(BV379="Negative",-10,IF(BV379="Less than 50% and Borrowings are increasing",-5,0)))))</f>
        <v/>
      </c>
      <c r="BX379" s="30" t="inlineStr">
        <is>
          <t>Less than 0.7</t>
        </is>
      </c>
      <c r="BY379" s="30">
        <f>IF(BX379="More than 1.2",-10,IF(BX379="Between 0.7 to 1.2",0,IF(BX379="Less than 0.7",10,0)))</f>
        <v/>
      </c>
      <c r="BZ379" s="30" t="inlineStr">
        <is>
          <t>No</t>
        </is>
      </c>
      <c r="CA379" s="30">
        <f>IF(BZ379="Yes",-10,0)</f>
        <v/>
      </c>
      <c r="CB379" s="30" t="inlineStr">
        <is>
          <t>Less than 15%</t>
        </is>
      </c>
      <c r="CC379" s="30">
        <f>IF(CB379="More than 15%",-10,IF(CB379="Less than 15%",10,0))</f>
        <v/>
      </c>
      <c r="CD379" s="30" t="inlineStr">
        <is>
          <t>No</t>
        </is>
      </c>
      <c r="CE379" s="30">
        <f>IF(CD379="Yes, more than 10%",-10,IF(CD379="No",10,0))</f>
        <v/>
      </c>
    </row>
    <row r="380">
      <c r="A380" s="30">
        <f>IF(B380=0,"",RANK(B380,$B$2:$B$400,0))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0" t="inlineStr">
        <is>
          <t>IMFA</t>
        </is>
      </c>
      <c r="D380" s="30" t="inlineStr">
        <is>
          <t>Indian Metals &amp; Ferro Alloys Limited</t>
        </is>
      </c>
      <c r="E380" s="30" t="inlineStr">
        <is>
          <t>metals &amp; mining</t>
        </is>
      </c>
      <c r="F380" s="30" t="inlineStr">
        <is>
          <t>mining / minerals / metals</t>
        </is>
      </c>
      <c r="G380" s="30" t="inlineStr">
        <is>
          <t>midcap</t>
        </is>
      </c>
      <c r="H380" s="31" t="n">
        <v>7943.12</v>
      </c>
      <c r="I380" s="31" t="n">
        <v>1459.3</v>
      </c>
      <c r="J380" s="31" t="n">
        <v>-0.88</v>
      </c>
      <c r="K380" s="31" t="n">
        <v>136793</v>
      </c>
      <c r="L380" s="30" t="n">
        <v>64</v>
      </c>
      <c r="M380" s="30" t="inlineStr">
        <is>
          <t>Outperforming</t>
        </is>
      </c>
      <c r="N380" s="31">
        <f>IF(M380="Underperforming",-5,IF(L380&gt;=95,15,IF(L380&gt;=90,10,IF(L380&gt;=80,5,0))))</f>
        <v/>
      </c>
      <c r="O380" s="31" t="n">
        <v>57.34</v>
      </c>
      <c r="P380" s="31" t="n">
        <v>14.05</v>
      </c>
      <c r="Q380" s="31" t="inlineStr"/>
      <c r="R380" s="30" t="inlineStr">
        <is>
          <t>Earnings / Momentum Support</t>
        </is>
      </c>
      <c r="S380" s="30" t="inlineStr">
        <is>
          <t>Nifty Metal</t>
        </is>
      </c>
      <c r="T380" s="31" t="n">
        <v>31.49</v>
      </c>
      <c r="U380" s="31" t="n">
        <v>80.06</v>
      </c>
      <c r="V380" s="31" t="n">
        <v>36.93</v>
      </c>
      <c r="W380" s="31" t="n">
        <v>11.83</v>
      </c>
      <c r="X380" s="30" t="inlineStr">
        <is>
          <t>Cyclical in an Upturn</t>
        </is>
      </c>
      <c r="Y380" s="30">
        <f>IF(X380="Growing Industry",10,IF(X380="Cyclical in an Upturn",5,0))</f>
        <v/>
      </c>
      <c r="Z380" s="30" t="inlineStr">
        <is>
          <t>Too Many Players with High ROCE</t>
        </is>
      </c>
      <c r="AA380" s="30">
        <f>IF(Z380="Monopoly",10,IF(Z380="Oligopoly",5,IF(Z380="Duopoly that cooperate",10,IF(Z380="Duopoly that compete",5,IF(Z380="Too many players with High ROCE",5,0)))))</f>
        <v/>
      </c>
      <c r="AB380" s="30" t="inlineStr">
        <is>
          <t>No</t>
        </is>
      </c>
      <c r="AC380" s="30">
        <f>IF(AB380="No",5,0)</f>
        <v/>
      </c>
      <c r="AD380" s="30" t="inlineStr">
        <is>
          <t>Headwind</t>
        </is>
      </c>
      <c r="AE380" s="30">
        <f>IF(AD380="Tailwind",10,0)</f>
        <v/>
      </c>
      <c r="AF380" s="30" t="inlineStr">
        <is>
          <t>Cyclical</t>
        </is>
      </c>
      <c r="AG380" s="30">
        <f>IF(AF380="Structural (10 Years Consistency)",10,IF(AF380="Shallow Cyclical (2 to 3 years growth)",5,0))</f>
        <v/>
      </c>
      <c r="AH380" s="30" t="inlineStr">
        <is>
          <t>No</t>
        </is>
      </c>
      <c r="AI380" s="30">
        <f>IF(AH380="Yes due to Product Mix change or Operating Leverage",10,IF(AH380="Yes, these are peak margins",-5,IF(AH380="No",5,0)))</f>
        <v/>
      </c>
      <c r="AJ380" s="30" t="inlineStr">
        <is>
          <t>Volatile</t>
        </is>
      </c>
      <c r="AK380" s="30">
        <f>IF(AJ380="Stable",10,0)</f>
        <v/>
      </c>
      <c r="AL380" s="30" t="inlineStr">
        <is>
          <t>Yes</t>
        </is>
      </c>
      <c r="AM380" s="30">
        <f>IF(AL380="Yes",10,0)</f>
        <v/>
      </c>
      <c r="AN380" s="30" t="inlineStr">
        <is>
          <t>B2B</t>
        </is>
      </c>
      <c r="AO380" s="30">
        <f>IF(AN380="B2C",10,IF(AN380="B2B",5,0))</f>
        <v/>
      </c>
      <c r="AP380" s="30" t="inlineStr">
        <is>
          <t>No</t>
        </is>
      </c>
      <c r="AQ380" s="30">
        <f>IF(AP380="Yes",10,0)</f>
        <v/>
      </c>
      <c r="AR380" s="30" t="inlineStr">
        <is>
          <t>Higher One Time, Lower Annuity</t>
        </is>
      </c>
      <c r="AS380" s="30">
        <f>IF(AR380="Fully Annuity",10,IF(AR380="Higher Annuity, Lower One Time",5,IF(AR380="Higher One Time, Lower Annuity",3,0)))</f>
        <v/>
      </c>
      <c r="AT380" s="30" t="inlineStr">
        <is>
          <t>Good</t>
        </is>
      </c>
      <c r="AU380" s="30">
        <f>IF(AT380="Good",10,0)</f>
        <v/>
      </c>
      <c r="AV380" s="30" t="inlineStr">
        <is>
          <t>Yes for more than 2 years</t>
        </is>
      </c>
      <c r="AW380" s="30">
        <f>IF(AV380="Yes for more than 2 years",10,IF(AV380="Yes only for next 1 to 2 years",5,0))</f>
        <v/>
      </c>
      <c r="AX380" s="30" t="inlineStr">
        <is>
          <t>0 to 20</t>
        </is>
      </c>
      <c r="AY380" s="30">
        <f>IF(AX380="Above 40",20,IF(AX380="20 to 40",10,IF(AX380="0 to 20",-5,0)))</f>
        <v/>
      </c>
      <c r="AZ380" s="30" t="inlineStr">
        <is>
          <t>Between 50 to 75</t>
        </is>
      </c>
      <c r="BA380" s="30">
        <f>IF(AZ380="Between 50 to 75",10,IF(AZ380="Above 75",0,0))</f>
        <v/>
      </c>
      <c r="BB380" s="30" t="inlineStr">
        <is>
          <t>Stage 3</t>
        </is>
      </c>
      <c r="BC380" s="30">
        <f>IF(BB380="Stage 2",20,IF(BB380="Stage 1",0,IF(BB380="Stage 3",5,IF(BB380="Stage 4",-5,0))))</f>
        <v/>
      </c>
      <c r="BD380" s="30" t="inlineStr">
        <is>
          <t>Negative Trend</t>
        </is>
      </c>
      <c r="BE380" s="30">
        <f>IF(BD380="Positive Trend",20,IF(BD380="Negative Trend",-10,0))</f>
        <v/>
      </c>
      <c r="BF380" s="30" t="inlineStr">
        <is>
          <t>Uptrend</t>
        </is>
      </c>
      <c r="BG380" s="30">
        <f>IF(BF380="Uptrend",10,IF(BF380="Sideways",5,0))</f>
        <v/>
      </c>
      <c r="BH380" s="30" t="inlineStr">
        <is>
          <t>Uptrend</t>
        </is>
      </c>
      <c r="BI380" s="30">
        <f>IF(BH380="Uptrend",10,IF(BH380="Sideways",5,0))</f>
        <v/>
      </c>
      <c r="BJ380" s="30" t="inlineStr">
        <is>
          <t>Close to 52 week high or retracement</t>
        </is>
      </c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inlineStr">
        <is>
          <t>Yes</t>
        </is>
      </c>
      <c r="BM380" s="30">
        <f>IF(BL380="Yes",10,0)</f>
        <v/>
      </c>
      <c r="BN380" s="30" t="inlineStr">
        <is>
          <t>More than 20%</t>
        </is>
      </c>
      <c r="BO380" s="30">
        <f>IF(BN380="More than 20%",10,IF(BN380="Between 12 to 20%",5,IF(BN380="Less than 12%",0,0)))</f>
        <v/>
      </c>
      <c r="BP380" s="30" t="inlineStr">
        <is>
          <t>No</t>
        </is>
      </c>
      <c r="BQ380" s="30">
        <f>IF(BP380="No",10,0)</f>
        <v/>
      </c>
      <c r="BR380" s="30" t="inlineStr">
        <is>
          <t>No</t>
        </is>
      </c>
      <c r="BS380" s="30">
        <f>IF(BR380="NO",5,0)</f>
        <v/>
      </c>
      <c r="BT380" s="30" t="inlineStr">
        <is>
          <t>Above 2</t>
        </is>
      </c>
      <c r="BU380" s="30">
        <f>IF(BT380="Above 2",0,IF(BT380="Between 1.5 to 2",5,IF(BT380="Less than 1.5",10,0)))</f>
        <v/>
      </c>
      <c r="BV380" s="30" t="inlineStr">
        <is>
          <t>Above 70%</t>
        </is>
      </c>
      <c r="BW380" s="30">
        <f>IF(BV380="Above 70%",10,IF(BV380="Between 50% to 70%",5,IF(BV380="Less than 50%",0,IF(BV380="Negative",-10,IF(BV380="Less than 50% and Borrowings are increasing",-5,0)))))</f>
        <v/>
      </c>
      <c r="BX380" s="30" t="inlineStr">
        <is>
          <t>Less than 0.7</t>
        </is>
      </c>
      <c r="BY380" s="30">
        <f>IF(BX380="More than 1.2",-10,IF(BX380="Between 0.7 to 1.2",0,IF(BX380="Less than 0.7",10,0)))</f>
        <v/>
      </c>
      <c r="BZ380" s="30" t="inlineStr">
        <is>
          <t>No</t>
        </is>
      </c>
      <c r="CA380" s="30">
        <f>IF(BZ380="Yes",-10,0)</f>
        <v/>
      </c>
      <c r="CB380" s="30" t="inlineStr">
        <is>
          <t>Less than 15%</t>
        </is>
      </c>
      <c r="CC380" s="30">
        <f>IF(CB380="More than 15%",-10,IF(CB380="Less than 15%",10,0))</f>
        <v/>
      </c>
      <c r="CD380" s="30" t="inlineStr">
        <is>
          <t>No</t>
        </is>
      </c>
      <c r="CE380" s="30">
        <f>IF(CD380="Yes, more than 10%",-10,IF(CD380="No",10,0))</f>
        <v/>
      </c>
    </row>
    <row r="381">
      <c r="A381" s="30">
        <f>IF(B381=0,"",RANK(B381,$B$2:$B$400,0))</f>
        <v/>
      </c>
      <c r="B381" s="31">
        <f>SUM(N381,Y381,AA381,AC381,AE381,AG381,AI381,AK381,AM381,AO381,AQ381,AS381,AU381,AW381,AY381,BA381,BC381,BE381,BG381,BI381,BK381,BM381,BO381,BQ381,BS381,BU381,BW381,BY381,CA381,CC381,CE381)</f>
        <v/>
      </c>
      <c r="C381" s="30" t="inlineStr">
        <is>
          <t>ASIANENE</t>
        </is>
      </c>
      <c r="D381" s="30" t="inlineStr">
        <is>
          <t>Asian Energy Services Ltd</t>
        </is>
      </c>
      <c r="E381" s="30" t="inlineStr">
        <is>
          <t>energy</t>
        </is>
      </c>
      <c r="F381" s="30" t="inlineStr">
        <is>
          <t>oil drilling / allied services</t>
        </is>
      </c>
      <c r="G381" s="30" t="inlineStr">
        <is>
          <t>smallcap</t>
        </is>
      </c>
      <c r="H381" s="31" t="n">
        <v>1986.76</v>
      </c>
      <c r="I381" s="31" t="n">
        <v>402.7</v>
      </c>
      <c r="J381" s="31" t="n">
        <v>-1.43</v>
      </c>
      <c r="K381" s="31" t="n">
        <v>225813</v>
      </c>
      <c r="L381" s="30" t="n">
        <v>51</v>
      </c>
      <c r="M381" s="30" t="inlineStr">
        <is>
          <t>Outperforming</t>
        </is>
      </c>
      <c r="N381" s="31">
        <f>IF(M381="Underperforming",-5,IF(L381&gt;=95,15,IF(L381&gt;=90,10,IF(L381&gt;=80,5,0))))</f>
        <v/>
      </c>
      <c r="O381" s="31" t="n">
        <v>66.69</v>
      </c>
      <c r="P381" s="31" t="n">
        <v>17.31</v>
      </c>
      <c r="Q381" s="31" t="inlineStr"/>
      <c r="R381" s="30" t="inlineStr">
        <is>
          <t>Earnings / Momentum Support</t>
        </is>
      </c>
      <c r="S381" s="30" t="inlineStr">
        <is>
          <t>Nifty Energy</t>
        </is>
      </c>
      <c r="T381" s="31" t="n">
        <v>8.41</v>
      </c>
      <c r="U381" s="31" t="n">
        <v>17.9</v>
      </c>
      <c r="V381" s="31" t="n">
        <v>8.76</v>
      </c>
      <c r="W381" s="31" t="n">
        <v>8.279999999999999</v>
      </c>
      <c r="X381" s="30" t="inlineStr">
        <is>
          <t>Cyclical in an Upturn</t>
        </is>
      </c>
      <c r="Y381" s="30">
        <f>IF(X381="Growing Industry",10,IF(X381="Cyclical in an Upturn",5,0))</f>
        <v/>
      </c>
      <c r="Z381" s="30" t="inlineStr">
        <is>
          <t>Oligopoly</t>
        </is>
      </c>
      <c r="AA381" s="30">
        <f>IF(Z381="Monopoly",10,IF(Z381="Oligopoly",5,IF(Z381="Duopoly that cooperate",10,IF(Z381="Duopoly that compete",5,IF(Z381="Too many players with High ROCE",5,0)))))</f>
        <v/>
      </c>
      <c r="AB381" s="30" t="inlineStr">
        <is>
          <t>Yes</t>
        </is>
      </c>
      <c r="AC381" s="30">
        <f>IF(AB381="No",5,0)</f>
        <v/>
      </c>
      <c r="AD381" s="30" t="inlineStr">
        <is>
          <t>Headwind</t>
        </is>
      </c>
      <c r="AE381" s="30">
        <f>IF(AD381="Tailwind",10,0)</f>
        <v/>
      </c>
      <c r="AF381" s="30" t="inlineStr">
        <is>
          <t>Cyclical</t>
        </is>
      </c>
      <c r="AG381" s="30">
        <f>IF(AF381="Structural (10 Years Consistency)",10,IF(AF381="Shallow Cyclical (2 to 3 years growth)",5,0))</f>
        <v/>
      </c>
      <c r="AH381" s="30" t="inlineStr">
        <is>
          <t>No</t>
        </is>
      </c>
      <c r="AI381" s="30">
        <f>IF(AH381="Yes due to Product Mix change or Operating Leverage",10,IF(AH381="Yes, these are peak margins",-5,IF(AH381="No",5,0)))</f>
        <v/>
      </c>
      <c r="AJ381" s="30" t="inlineStr">
        <is>
          <t>Volatile</t>
        </is>
      </c>
      <c r="AK381" s="30">
        <f>IF(AJ381="Stable",10,0)</f>
        <v/>
      </c>
      <c r="AL381" s="30" t="inlineStr">
        <is>
          <t>Yes</t>
        </is>
      </c>
      <c r="AM381" s="30">
        <f>IF(AL381="Yes",10,0)</f>
        <v/>
      </c>
      <c r="AN381" s="30" t="inlineStr">
        <is>
          <t>B2B</t>
        </is>
      </c>
      <c r="AO381" s="30">
        <f>IF(AN381="B2C",10,IF(AN381="B2B",5,0))</f>
        <v/>
      </c>
      <c r="AP381" s="30" t="inlineStr">
        <is>
          <t>No</t>
        </is>
      </c>
      <c r="AQ381" s="30">
        <f>IF(AP381="Yes",10,0)</f>
        <v/>
      </c>
      <c r="AR381" s="30" t="inlineStr">
        <is>
          <t>Higher One Time, Lower Annuity</t>
        </is>
      </c>
      <c r="AS381" s="30">
        <f>IF(AR381="Fully Annuity",10,IF(AR381="Higher Annuity, Lower One Time",5,IF(AR381="Higher One Time, Lower Annuity",3,0)))</f>
        <v/>
      </c>
      <c r="AT381" s="30" t="inlineStr">
        <is>
          <t>Good</t>
        </is>
      </c>
      <c r="AU381" s="30">
        <f>IF(AT381="Good",10,0)</f>
        <v/>
      </c>
      <c r="AV381" s="30" t="inlineStr">
        <is>
          <t>Yes for more than 2 years</t>
        </is>
      </c>
      <c r="AW381" s="30">
        <f>IF(AV381="Yes for more than 2 years",10,IF(AV381="Yes only for next 1 to 2 years",5,0))</f>
        <v/>
      </c>
      <c r="AX381" s="30" t="inlineStr">
        <is>
          <t>0 to 20</t>
        </is>
      </c>
      <c r="AY381" s="30">
        <f>IF(AX381="Above 40",20,IF(AX381="20 to 40",10,IF(AX381="0 to 20",-5,0)))</f>
        <v/>
      </c>
      <c r="AZ381" s="30" t="inlineStr">
        <is>
          <t>Between 50 to 75</t>
        </is>
      </c>
      <c r="BA381" s="30">
        <f>IF(AZ381="Between 50 to 75",10,IF(AZ381="Above 75",0,0))</f>
        <v/>
      </c>
      <c r="BB381" s="30" t="inlineStr">
        <is>
          <t>Stage 3</t>
        </is>
      </c>
      <c r="BC381" s="30">
        <f>IF(BB381="Stage 2",20,IF(BB381="Stage 1",0,IF(BB381="Stage 3",5,IF(BB381="Stage 4",-5,0))))</f>
        <v/>
      </c>
      <c r="BD381" s="30" t="inlineStr">
        <is>
          <t>Negative Trend</t>
        </is>
      </c>
      <c r="BE381" s="30">
        <f>IF(BD381="Positive Trend",20,IF(BD381="Negative Trend",-10,0))</f>
        <v/>
      </c>
      <c r="BF381" s="30" t="inlineStr">
        <is>
          <t>Uptrend</t>
        </is>
      </c>
      <c r="BG381" s="30">
        <f>IF(BF381="Uptrend",10,IF(BF381="Sideways",5,0))</f>
        <v/>
      </c>
      <c r="BH381" s="30" t="inlineStr">
        <is>
          <t>Uptrend</t>
        </is>
      </c>
      <c r="BI381" s="30">
        <f>IF(BH381="Uptrend",10,IF(BH381="Sideways",5,0))</f>
        <v/>
      </c>
      <c r="BJ381" s="30" t="inlineStr">
        <is>
          <t>Close to 52 week high or retracement</t>
        </is>
      </c>
      <c r="BK381" s="30">
        <f>IF(BJ381="Overhead supply in last 2 years in last 2 years",-5,IF(BJ381="Close to 52 week high or retracement",5,IF(BJ381="Blue sky scenario",10,IF(BJ381="Long term Downtrend",-10,0))))</f>
        <v/>
      </c>
      <c r="BL381" s="30" t="inlineStr">
        <is>
          <t>Yes</t>
        </is>
      </c>
      <c r="BM381" s="30">
        <f>IF(BL381="Yes",10,0)</f>
        <v/>
      </c>
      <c r="BN381" s="30" t="inlineStr">
        <is>
          <t>More than 20%</t>
        </is>
      </c>
      <c r="BO381" s="30">
        <f>IF(BN381="More than 20%",10,IF(BN381="Between 12 to 20%",5,IF(BN381="Less than 12%",0,0)))</f>
        <v/>
      </c>
      <c r="BP381" s="30" t="inlineStr">
        <is>
          <t>No</t>
        </is>
      </c>
      <c r="BQ381" s="30">
        <f>IF(BP381="No",10,0)</f>
        <v/>
      </c>
      <c r="BR381" s="30" t="inlineStr">
        <is>
          <t>No</t>
        </is>
      </c>
      <c r="BS381" s="30">
        <f>IF(BR381="NO",5,0)</f>
        <v/>
      </c>
      <c r="BT381" s="30" t="inlineStr">
        <is>
          <t>Less than 1.5</t>
        </is>
      </c>
      <c r="BU381" s="30">
        <f>IF(BT381="Above 2",0,IF(BT381="Between 1.5 to 2",5,IF(BT381="Less than 1.5",10,0)))</f>
        <v/>
      </c>
      <c r="BV381" s="30" t="inlineStr">
        <is>
          <t>Between 50% to 70%</t>
        </is>
      </c>
      <c r="BW381" s="30">
        <f>IF(BV381="Above 70%",10,IF(BV381="Between 50% to 70%",5,IF(BV381="Less than 50%",0,IF(BV381="Negative",-10,IF(BV381="Less than 50% and Borrowings are increasing",-5,0)))))</f>
        <v/>
      </c>
      <c r="BX381" s="30" t="inlineStr">
        <is>
          <t>Less than 0.7</t>
        </is>
      </c>
      <c r="BY381" s="30">
        <f>IF(BX381="More than 1.2",-10,IF(BX381="Between 0.7 to 1.2",0,IF(BX381="Less than 0.7",10,0)))</f>
        <v/>
      </c>
      <c r="BZ381" s="30" t="inlineStr">
        <is>
          <t>No</t>
        </is>
      </c>
      <c r="CA381" s="30">
        <f>IF(BZ381="Yes",-10,0)</f>
        <v/>
      </c>
      <c r="CB381" s="30" t="inlineStr">
        <is>
          <t>Less than 15%</t>
        </is>
      </c>
      <c r="CC381" s="30">
        <f>IF(CB381="More than 15%",-10,IF(CB381="Less than 15%",10,0))</f>
        <v/>
      </c>
      <c r="CD381" s="30" t="inlineStr">
        <is>
          <t>No</t>
        </is>
      </c>
      <c r="CE381" s="30">
        <f>IF(CD381="Yes, more than 10%",-10,IF(CD381="No",10,0))</f>
        <v/>
      </c>
    </row>
    <row r="382">
      <c r="A382" s="30">
        <f>IF(B382=0,"",RANK(B382,$B$2:$B$400,0))</f>
        <v/>
      </c>
      <c r="B382" s="31">
        <f>SUM(N382,Y382,AA382,AC382,AE382,AG382,AI382,AK382,AM382,AO382,AQ382,AS382,AU382,AW382,AY382,BA382,BC382,BE382,BG382,BI382,BK382,BM382,BO382,BQ382,BS382,BU382,BW382,BY382,CA382,CC382,CE382)</f>
        <v/>
      </c>
      <c r="C382" s="30" t="inlineStr">
        <is>
          <t>PITTIENG</t>
        </is>
      </c>
      <c r="D382" s="30" t="inlineStr">
        <is>
          <t>Pitti Engineering Ltd</t>
        </is>
      </c>
      <c r="E382" s="30" t="inlineStr">
        <is>
          <t>industrials</t>
        </is>
      </c>
      <c r="F382" s="30" t="inlineStr">
        <is>
          <t>engineering</t>
        </is>
      </c>
      <c r="G382" s="30" t="inlineStr">
        <is>
          <t>smallcap</t>
        </is>
      </c>
      <c r="H382" s="31" t="n">
        <v>3539.25</v>
      </c>
      <c r="I382" s="31" t="n">
        <v>970</v>
      </c>
      <c r="J382" s="31" t="n">
        <v>3.2</v>
      </c>
      <c r="K382" s="31" t="n">
        <v>45275</v>
      </c>
      <c r="L382" s="30" t="n">
        <v>14</v>
      </c>
      <c r="M382" s="30" t="inlineStr">
        <is>
          <t>Outperforming</t>
        </is>
      </c>
      <c r="N382" s="31">
        <f>IF(M382="Underperforming",-5,IF(L382&gt;=95,15,IF(L382&gt;=90,10,IF(L382&gt;=80,5,0))))</f>
        <v/>
      </c>
      <c r="O382" s="31" t="n">
        <v>52.7</v>
      </c>
      <c r="P382" s="31" t="n">
        <v>4.97</v>
      </c>
      <c r="Q382" s="31" t="inlineStr"/>
      <c r="R382" s="30" t="inlineStr">
        <is>
          <t>Earnings / Momentum Support</t>
        </is>
      </c>
      <c r="S382" s="30" t="inlineStr">
        <is>
          <t>Nifty 50</t>
        </is>
      </c>
      <c r="T382" s="31" t="n">
        <v>0.85</v>
      </c>
      <c r="U382" s="31" t="n">
        <v>2.59</v>
      </c>
      <c r="V382" s="31" t="n">
        <v>1.72</v>
      </c>
      <c r="W382" s="31" t="n">
        <v>-0.19</v>
      </c>
      <c r="X382" s="30" t="inlineStr">
        <is>
          <t>Cyclical in an Upturn</t>
        </is>
      </c>
      <c r="Y382" s="30">
        <f>IF(X382="Growing Industry",10,IF(X382="Cyclical in an Upturn",5,0))</f>
        <v/>
      </c>
      <c r="Z382" s="30" t="inlineStr">
        <is>
          <t>Too Many Players with High ROCE</t>
        </is>
      </c>
      <c r="AA382" s="30">
        <f>IF(Z382="Monopoly",10,IF(Z382="Oligopoly",5,IF(Z382="Duopoly that cooperate",10,IF(Z382="Duopoly that compete",5,IF(Z382="Too many players with High ROCE",5,0)))))</f>
        <v/>
      </c>
      <c r="AB382" s="30" t="inlineStr">
        <is>
          <t>No</t>
        </is>
      </c>
      <c r="AC382" s="30">
        <f>IF(AB382="No",5,0)</f>
        <v/>
      </c>
      <c r="AD382" s="30" t="inlineStr">
        <is>
          <t>Headwind</t>
        </is>
      </c>
      <c r="AE382" s="30">
        <f>IF(AD382="Tailwind",10,0)</f>
        <v/>
      </c>
      <c r="AF382" s="30" t="inlineStr">
        <is>
          <t>Structural (10 Years Consistency)</t>
        </is>
      </c>
      <c r="AG382" s="30">
        <f>IF(AF382="Structural (10 Years Consistency)",10,IF(AF382="Shallow Cyclical (2 to 3 years growth)",5,0))</f>
        <v/>
      </c>
      <c r="AH382" s="30" t="inlineStr">
        <is>
          <t>No</t>
        </is>
      </c>
      <c r="AI382" s="30">
        <f>IF(AH382="Yes due to Product Mix change or Operating Leverage",10,IF(AH382="Yes, these are peak margins",-5,IF(AH382="No",5,0)))</f>
        <v/>
      </c>
      <c r="AJ382" s="30" t="inlineStr">
        <is>
          <t>Stable</t>
        </is>
      </c>
      <c r="AK382" s="30">
        <f>IF(AJ382="Stable",10,0)</f>
        <v/>
      </c>
      <c r="AL382" s="30" t="inlineStr">
        <is>
          <t>Yes</t>
        </is>
      </c>
      <c r="AM382" s="30">
        <f>IF(AL382="Yes",10,0)</f>
        <v/>
      </c>
      <c r="AN382" s="30" t="inlineStr">
        <is>
          <t>B2B</t>
        </is>
      </c>
      <c r="AO382" s="30">
        <f>IF(AN382="B2C",10,IF(AN382="B2B",5,0))</f>
        <v/>
      </c>
      <c r="AP382" s="30" t="inlineStr">
        <is>
          <t>No</t>
        </is>
      </c>
      <c r="AQ382" s="30">
        <f>IF(AP382="Yes",10,0)</f>
        <v/>
      </c>
      <c r="AR382" s="30" t="inlineStr">
        <is>
          <t>Higher One Time, Lower Annuity</t>
        </is>
      </c>
      <c r="AS382" s="30">
        <f>IF(AR382="Fully Annuity",10,IF(AR382="Higher Annuity, Lower One Time",5,IF(AR382="Higher One Time, Lower Annuity",3,0)))</f>
        <v/>
      </c>
      <c r="AT382" s="30" t="inlineStr">
        <is>
          <t>Good</t>
        </is>
      </c>
      <c r="AU382" s="30">
        <f>IF(AT382="Good",10,0)</f>
        <v/>
      </c>
      <c r="AV382" s="30" t="inlineStr">
        <is>
          <t>Yes for more than 2 years</t>
        </is>
      </c>
      <c r="AW382" s="30">
        <f>IF(AV382="Yes for more than 2 years",10,IF(AV382="Yes only for next 1 to 2 years",5,0))</f>
        <v/>
      </c>
      <c r="AX382" s="30" t="inlineStr">
        <is>
          <t>0 to 20</t>
        </is>
      </c>
      <c r="AY382" s="30">
        <f>IF(AX382="Above 40",20,IF(AX382="20 to 40",10,IF(AX382="0 to 20",-5,0)))</f>
        <v/>
      </c>
      <c r="AZ382" s="30" t="inlineStr">
        <is>
          <t>Between 50 to 75</t>
        </is>
      </c>
      <c r="BA382" s="30">
        <f>IF(AZ382="Between 50 to 75",10,IF(AZ382="Above 75",0,0))</f>
        <v/>
      </c>
      <c r="BB382" s="30" t="inlineStr">
        <is>
          <t>Stage 3</t>
        </is>
      </c>
      <c r="BC382" s="30">
        <f>IF(BB382="Stage 2",20,IF(BB382="Stage 1",0,IF(BB382="Stage 3",5,IF(BB382="Stage 4",-5,0))))</f>
        <v/>
      </c>
      <c r="BD382" s="30" t="inlineStr">
        <is>
          <t>Negative Trend</t>
        </is>
      </c>
      <c r="BE382" s="30">
        <f>IF(BD382="Positive Trend",20,IF(BD382="Negative Trend",-10,0))</f>
        <v/>
      </c>
      <c r="BF382" s="30" t="inlineStr">
        <is>
          <t>Uptrend</t>
        </is>
      </c>
      <c r="BG382" s="30">
        <f>IF(BF382="Uptrend",10,IF(BF382="Sideways",5,0))</f>
        <v/>
      </c>
      <c r="BH382" s="30" t="inlineStr">
        <is>
          <t>Uptrend</t>
        </is>
      </c>
      <c r="BI382" s="30">
        <f>IF(BH382="Uptrend",10,IF(BH382="Sideways",5,0))</f>
        <v/>
      </c>
      <c r="BJ382" s="30" t="inlineStr">
        <is>
          <t>Close to 52 week high or retracement</t>
        </is>
      </c>
      <c r="BK382" s="30">
        <f>IF(BJ382="Overhead supply in last 2 years in last 2 years",-5,IF(BJ382="Close to 52 week high or retracement",5,IF(BJ382="Blue sky scenario",10,IF(BJ382="Long term Downtrend",-10,0))))</f>
        <v/>
      </c>
      <c r="BL382" s="30" t="inlineStr">
        <is>
          <t>Yes</t>
        </is>
      </c>
      <c r="BM382" s="30">
        <f>IF(BL382="Yes",10,0)</f>
        <v/>
      </c>
      <c r="BN382" s="30" t="inlineStr">
        <is>
          <t>Less than 12%</t>
        </is>
      </c>
      <c r="BO382" s="30">
        <f>IF(BN382="More than 20%",10,IF(BN382="Between 12 to 20%",5,IF(BN382="Less than 12%",0,0)))</f>
        <v/>
      </c>
      <c r="BP382" s="30" t="inlineStr">
        <is>
          <t>No</t>
        </is>
      </c>
      <c r="BQ382" s="30">
        <f>IF(BP382="No",10,0)</f>
        <v/>
      </c>
      <c r="BR382" s="30" t="inlineStr">
        <is>
          <t>No</t>
        </is>
      </c>
      <c r="BS382" s="30">
        <f>IF(BR382="NO",5,0)</f>
        <v/>
      </c>
      <c r="BT382" s="30" t="inlineStr">
        <is>
          <t>Above 2</t>
        </is>
      </c>
      <c r="BU382" s="30">
        <f>IF(BT382="Above 2",0,IF(BT382="Between 1.5 to 2",5,IF(BT382="Less than 1.5",10,0)))</f>
        <v/>
      </c>
      <c r="BV382" s="30" t="inlineStr">
        <is>
          <t>Between 50% to 70%</t>
        </is>
      </c>
      <c r="BW382" s="30">
        <f>IF(BV382="Above 70%",10,IF(BV382="Between 50% to 70%",5,IF(BV382="Less than 50%",0,IF(BV382="Negative",-10,IF(BV382="Less than 50% and Borrowings are increasing",-5,0)))))</f>
        <v/>
      </c>
      <c r="BX382" s="30" t="inlineStr">
        <is>
          <t>Between 0.7 to 1.2</t>
        </is>
      </c>
      <c r="BY382" s="30">
        <f>IF(BX382="More than 1.2",-10,IF(BX382="Between 0.7 to 1.2",0,IF(BX382="Less than 0.7",10,0)))</f>
        <v/>
      </c>
      <c r="BZ382" s="30" t="inlineStr">
        <is>
          <t>No</t>
        </is>
      </c>
      <c r="CA382" s="30">
        <f>IF(BZ382="Yes",-10,0)</f>
        <v/>
      </c>
      <c r="CB382" s="30" t="inlineStr">
        <is>
          <t>Less than 15%</t>
        </is>
      </c>
      <c r="CC382" s="30">
        <f>IF(CB382="More than 15%",-10,IF(CB382="Less than 15%",10,0))</f>
        <v/>
      </c>
      <c r="CD382" s="30" t="inlineStr">
        <is>
          <t>No</t>
        </is>
      </c>
      <c r="CE382" s="30">
        <f>IF(CD382="Yes, more than 10%",-10,IF(CD382="No",10,0))</f>
        <v/>
      </c>
    </row>
    <row r="383">
      <c r="A383" s="30">
        <f>IF(B383=0,"",RANK(B383,$B$2:$B$400,0))</f>
        <v/>
      </c>
      <c r="B383" s="31">
        <f>SUM(N383,Y383,AA383,AC383,AE383,AG383,AI383,AK383,AM383,AO383,AQ383,AS383,AU383,AW383,AY383,BA383,BC383,BE383,BG383,BI383,BK383,BM383,BO383,BQ383,BS383,BU383,BW383,BY383,CA383,CC383,CE383)</f>
        <v/>
      </c>
      <c r="C383" s="30" t="inlineStr">
        <is>
          <t>PTCIL</t>
        </is>
      </c>
      <c r="D383" s="30" t="inlineStr">
        <is>
          <t>PTC Industries Ltd</t>
        </is>
      </c>
      <c r="E383" s="30" t="inlineStr">
        <is>
          <t>industrials</t>
        </is>
      </c>
      <c r="F383" s="30" t="inlineStr">
        <is>
          <t>castings &amp; forgings</t>
        </is>
      </c>
      <c r="G383" s="30" t="inlineStr">
        <is>
          <t>largecap</t>
        </is>
      </c>
      <c r="H383" s="31" t="n">
        <v>28599.79</v>
      </c>
      <c r="I383" s="31" t="n">
        <v>19370</v>
      </c>
      <c r="J383" s="31" t="n">
        <v>1.54</v>
      </c>
      <c r="K383" s="31" t="n">
        <v>18285</v>
      </c>
      <c r="L383" s="30" t="n">
        <v>49</v>
      </c>
      <c r="M383" s="30" t="inlineStr">
        <is>
          <t>Outperforming</t>
        </is>
      </c>
      <c r="N383" s="31">
        <f>IF(M383="Underperforming",-5,IF(L383&gt;=95,15,IF(L383&gt;=90,10,IF(L383&gt;=80,5,0))))</f>
        <v/>
      </c>
      <c r="O383" s="31" t="n">
        <v>61.9</v>
      </c>
      <c r="P383" s="31" t="n">
        <v>19.52</v>
      </c>
      <c r="Q383" s="31" t="inlineStr"/>
      <c r="R383" s="30" t="inlineStr">
        <is>
          <t>Earnings / Momentum Support</t>
        </is>
      </c>
      <c r="S383" s="30" t="inlineStr">
        <is>
          <t>Nifty 50</t>
        </is>
      </c>
      <c r="T383" s="31" t="n">
        <v>0.85</v>
      </c>
      <c r="U383" s="31" t="n">
        <v>26.29</v>
      </c>
      <c r="V383" s="31" t="n">
        <v>25.22</v>
      </c>
      <c r="W383" s="31" t="n">
        <v>7.8</v>
      </c>
      <c r="X383" s="30" t="inlineStr">
        <is>
          <t>Cyclical in an Upturn</t>
        </is>
      </c>
      <c r="Y383" s="30">
        <f>IF(X383="Growing Industry",10,IF(X383="Cyclical in an Upturn",5,0))</f>
        <v/>
      </c>
      <c r="Z383" s="30" t="inlineStr">
        <is>
          <t>Too Many Players with High ROCE</t>
        </is>
      </c>
      <c r="AA383" s="30">
        <f>IF(Z383="Monopoly",10,IF(Z383="Oligopoly",5,IF(Z383="Duopoly that cooperate",10,IF(Z383="Duopoly that compete",5,IF(Z383="Too many players with High ROCE",5,0)))))</f>
        <v/>
      </c>
      <c r="AB383" s="30" t="inlineStr">
        <is>
          <t>No</t>
        </is>
      </c>
      <c r="AC383" s="30">
        <f>IF(AB383="No",5,0)</f>
        <v/>
      </c>
      <c r="AD383" s="30" t="inlineStr">
        <is>
          <t>Headwind</t>
        </is>
      </c>
      <c r="AE383" s="30">
        <f>IF(AD383="Tailwind",10,0)</f>
        <v/>
      </c>
      <c r="AF383" s="30" t="inlineStr">
        <is>
          <t>Structural (10 Years Consistency)</t>
        </is>
      </c>
      <c r="AG383" s="30">
        <f>IF(AF383="Structural (10 Years Consistency)",10,IF(AF383="Shallow Cyclical (2 to 3 years growth)",5,0))</f>
        <v/>
      </c>
      <c r="AH383" s="30" t="inlineStr">
        <is>
          <t>No</t>
        </is>
      </c>
      <c r="AI383" s="30">
        <f>IF(AH383="Yes due to Product Mix change or Operating Leverage",10,IF(AH383="Yes, these are peak margins",-5,IF(AH383="No",5,0)))</f>
        <v/>
      </c>
      <c r="AJ383" s="30" t="inlineStr">
        <is>
          <t>Stable</t>
        </is>
      </c>
      <c r="AK383" s="30">
        <f>IF(AJ383="Stable",10,0)</f>
        <v/>
      </c>
      <c r="AL383" s="30" t="inlineStr">
        <is>
          <t>Yes</t>
        </is>
      </c>
      <c r="AM383" s="30">
        <f>IF(AL383="Yes",10,0)</f>
        <v/>
      </c>
      <c r="AN383" s="30" t="inlineStr">
        <is>
          <t>B2B</t>
        </is>
      </c>
      <c r="AO383" s="30">
        <f>IF(AN383="B2C",10,IF(AN383="B2B",5,0))</f>
        <v/>
      </c>
      <c r="AP383" s="30" t="inlineStr">
        <is>
          <t>No</t>
        </is>
      </c>
      <c r="AQ383" s="30">
        <f>IF(AP383="Yes",10,0)</f>
        <v/>
      </c>
      <c r="AR383" s="30" t="inlineStr">
        <is>
          <t>Higher One Time, Lower Annuity</t>
        </is>
      </c>
      <c r="AS383" s="30">
        <f>IF(AR383="Fully Annuity",10,IF(AR383="Higher Annuity, Lower One Time",5,IF(AR383="Higher One Time, Lower Annuity",3,0)))</f>
        <v/>
      </c>
      <c r="AT383" s="30" t="inlineStr">
        <is>
          <t>Good</t>
        </is>
      </c>
      <c r="AU383" s="30">
        <f>IF(AT383="Good",10,0)</f>
        <v/>
      </c>
      <c r="AV383" s="30" t="inlineStr">
        <is>
          <t>Yes for more than 2 years</t>
        </is>
      </c>
      <c r="AW383" s="30">
        <f>IF(AV383="Yes for more than 2 years",10,IF(AV383="Yes only for next 1 to 2 years",5,0))</f>
        <v/>
      </c>
      <c r="AX383" s="30" t="inlineStr">
        <is>
          <t>0 to 20</t>
        </is>
      </c>
      <c r="AY383" s="30">
        <f>IF(AX383="Above 40",20,IF(AX383="20 to 40",10,IF(AX383="0 to 20",-5,0)))</f>
        <v/>
      </c>
      <c r="AZ383" s="30" t="inlineStr">
        <is>
          <t>Between 50 to 75</t>
        </is>
      </c>
      <c r="BA383" s="30">
        <f>IF(AZ383="Between 50 to 75",10,IF(AZ383="Above 75",0,0))</f>
        <v/>
      </c>
      <c r="BB383" s="30" t="inlineStr">
        <is>
          <t>Stage 3</t>
        </is>
      </c>
      <c r="BC383" s="30">
        <f>IF(BB383="Stage 2",20,IF(BB383="Stage 1",0,IF(BB383="Stage 3",5,IF(BB383="Stage 4",-5,0))))</f>
        <v/>
      </c>
      <c r="BD383" s="30" t="inlineStr">
        <is>
          <t>Negative Trend</t>
        </is>
      </c>
      <c r="BE383" s="30">
        <f>IF(BD383="Positive Trend",20,IF(BD383="Negative Trend",-10,0))</f>
        <v/>
      </c>
      <c r="BF383" s="30" t="inlineStr">
        <is>
          <t>Uptrend</t>
        </is>
      </c>
      <c r="BG383" s="30">
        <f>IF(BF383="Uptrend",10,IF(BF383="Sideways",5,0))</f>
        <v/>
      </c>
      <c r="BH383" s="30" t="inlineStr">
        <is>
          <t>Uptrend</t>
        </is>
      </c>
      <c r="BI383" s="30">
        <f>IF(BH383="Uptrend",10,IF(BH383="Sideways",5,0))</f>
        <v/>
      </c>
      <c r="BJ383" s="30" t="inlineStr">
        <is>
          <t>Close to 52 week high or retracement</t>
        </is>
      </c>
      <c r="BK383" s="30">
        <f>IF(BJ383="Overhead supply in last 2 years in last 2 years",-5,IF(BJ383="Close to 52 week high or retracement",5,IF(BJ383="Blue sky scenario",10,IF(BJ383="Long term Downtrend",-10,0))))</f>
        <v/>
      </c>
      <c r="BL383" s="30" t="inlineStr">
        <is>
          <t>Yes</t>
        </is>
      </c>
      <c r="BM383" s="30">
        <f>IF(BL383="Yes",10,0)</f>
        <v/>
      </c>
      <c r="BN383" s="30" t="inlineStr">
        <is>
          <t>More than 20%</t>
        </is>
      </c>
      <c r="BO383" s="30">
        <f>IF(BN383="More than 20%",10,IF(BN383="Between 12 to 20%",5,IF(BN383="Less than 12%",0,0)))</f>
        <v/>
      </c>
      <c r="BP383" s="30" t="inlineStr">
        <is>
          <t>No</t>
        </is>
      </c>
      <c r="BQ383" s="30">
        <f>IF(BP383="No",10,0)</f>
        <v/>
      </c>
      <c r="BR383" s="30" t="inlineStr">
        <is>
          <t>Yes</t>
        </is>
      </c>
      <c r="BS383" s="30">
        <f>IF(BR383="NO",5,0)</f>
        <v/>
      </c>
      <c r="BT383" s="30" t="inlineStr">
        <is>
          <t>Above 2</t>
        </is>
      </c>
      <c r="BU383" s="30">
        <f>IF(BT383="Above 2",0,IF(BT383="Between 1.5 to 2",5,IF(BT383="Less than 1.5",10,0)))</f>
        <v/>
      </c>
      <c r="BV383" s="30" t="inlineStr">
        <is>
          <t>Negative</t>
        </is>
      </c>
      <c r="BW383" s="30">
        <f>IF(BV383="Above 70%",10,IF(BV383="Between 50% to 70%",5,IF(BV383="Less than 50%",0,IF(BV383="Negative",-10,IF(BV383="Less than 50% and Borrowings are increasing",-5,0)))))</f>
        <v/>
      </c>
      <c r="BX383" s="30" t="inlineStr">
        <is>
          <t>Less than 0.7</t>
        </is>
      </c>
      <c r="BY383" s="30">
        <f>IF(BX383="More than 1.2",-10,IF(BX383="Between 0.7 to 1.2",0,IF(BX383="Less than 0.7",10,0)))</f>
        <v/>
      </c>
      <c r="BZ383" s="30" t="inlineStr">
        <is>
          <t>No</t>
        </is>
      </c>
      <c r="CA383" s="30">
        <f>IF(BZ383="Yes",-10,0)</f>
        <v/>
      </c>
      <c r="CB383" s="30" t="inlineStr">
        <is>
          <t>Less than 15%</t>
        </is>
      </c>
      <c r="CC383" s="30">
        <f>IF(CB383="More than 15%",-10,IF(CB383="Less than 15%",10,0))</f>
        <v/>
      </c>
      <c r="CD383" s="30" t="inlineStr">
        <is>
          <t>No</t>
        </is>
      </c>
      <c r="CE383" s="30">
        <f>IF(CD383="Yes, more than 10%",-10,IF(CD383="No",10,0))</f>
        <v/>
      </c>
    </row>
    <row r="384">
      <c r="A384" s="30">
        <f>IF(B384=0,"",RANK(B384,$B$2:$B$400,0))</f>
        <v/>
      </c>
      <c r="B384" s="31">
        <f>SUM(N384,Y384,AA384,AC384,AE384,AG384,AI384,AK384,AM384,AO384,AQ384,AS384,AU384,AW384,AY384,BA384,BC384,BE384,BG384,BI384,BK384,BM384,BO384,BQ384,BS384,BU384,BW384,BY384,CA384,CC384,CE384)</f>
        <v/>
      </c>
      <c r="C384" s="32" t="inlineStr">
        <is>
          <t>UFLEX</t>
        </is>
      </c>
      <c r="D384" s="32" t="inlineStr">
        <is>
          <t>Uflex Limited</t>
        </is>
      </c>
      <c r="E384" s="30" t="inlineStr">
        <is>
          <t>industrials</t>
        </is>
      </c>
      <c r="F384" s="30" t="inlineStr">
        <is>
          <t>packaging</t>
        </is>
      </c>
      <c r="G384" s="30" t="inlineStr">
        <is>
          <t>smallcap</t>
        </is>
      </c>
      <c r="H384" s="31" t="n">
        <v>3528.98</v>
      </c>
      <c r="I384" s="31" t="n">
        <v>492.45</v>
      </c>
      <c r="J384" s="31" t="n">
        <v>0.77</v>
      </c>
      <c r="K384" s="31" t="n">
        <v>64372</v>
      </c>
      <c r="L384" s="30" t="n">
        <v>12</v>
      </c>
      <c r="M384" s="30" t="inlineStr">
        <is>
          <t>Underperforming</t>
        </is>
      </c>
      <c r="N384" s="31">
        <f>IF(M384="Underperforming",-5,IF(L384&gt;=95,15,IF(L384&gt;=90,10,IF(L384&gt;=80,5,0))))</f>
        <v/>
      </c>
      <c r="O384" s="31" t="n">
        <v>59.98</v>
      </c>
      <c r="P384" s="31" t="n">
        <v>15.78</v>
      </c>
      <c r="Q384" s="31" t="inlineStr"/>
      <c r="R384" s="30" t="inlineStr">
        <is>
          <t>Earnings / Momentum Support</t>
        </is>
      </c>
      <c r="S384" s="30" t="inlineStr">
        <is>
          <t>Nifty 50</t>
        </is>
      </c>
      <c r="T384" s="31" t="n">
        <v>0.85</v>
      </c>
      <c r="U384" s="31" t="n">
        <v>-16.35</v>
      </c>
      <c r="V384" s="31" t="n">
        <v>-17.06</v>
      </c>
      <c r="W384" s="31" t="n">
        <v>-0.6899999999999999</v>
      </c>
      <c r="X384" s="30" t="inlineStr">
        <is>
          <t>Cyclical in an Upturn</t>
        </is>
      </c>
      <c r="Y384" s="30">
        <f>IF(X384="Growing Industry",10,IF(X384="Cyclical in an Upturn",5,0))</f>
        <v/>
      </c>
      <c r="Z384" s="30" t="inlineStr">
        <is>
          <t>Too Many Players with High ROCE</t>
        </is>
      </c>
      <c r="AA384" s="30">
        <f>IF(Z384="Monopoly",10,IF(Z384="Oligopoly",5,IF(Z384="Duopoly that cooperate",10,IF(Z384="Duopoly that compete",5,IF(Z384="Too many players with High ROCE",5,0)))))</f>
        <v/>
      </c>
      <c r="AB384" s="30" t="inlineStr">
        <is>
          <t>No</t>
        </is>
      </c>
      <c r="AC384" s="30">
        <f>IF(AB384="No",5,0)</f>
        <v/>
      </c>
      <c r="AD384" s="30" t="inlineStr">
        <is>
          <t>Headwind</t>
        </is>
      </c>
      <c r="AE384" s="30">
        <f>IF(AD384="Tailwind",10,0)</f>
        <v/>
      </c>
      <c r="AF384" s="30" t="inlineStr">
        <is>
          <t>Structural (10 Years Consistency)</t>
        </is>
      </c>
      <c r="AG384" s="30">
        <f>IF(AF384="Structural (10 Years Consistency)",10,IF(AF384="Shallow Cyclical (2 to 3 years growth)",5,0))</f>
        <v/>
      </c>
      <c r="AH384" s="30" t="inlineStr">
        <is>
          <t>No</t>
        </is>
      </c>
      <c r="AI384" s="30">
        <f>IF(AH384="Yes due to Product Mix change or Operating Leverage",10,IF(AH384="Yes, these are peak margins",-5,IF(AH384="No",5,0)))</f>
        <v/>
      </c>
      <c r="AJ384" s="30" t="inlineStr">
        <is>
          <t>Stable</t>
        </is>
      </c>
      <c r="AK384" s="30">
        <f>IF(AJ384="Stable",10,0)</f>
        <v/>
      </c>
      <c r="AL384" s="30" t="inlineStr">
        <is>
          <t>Yes</t>
        </is>
      </c>
      <c r="AM384" s="30">
        <f>IF(AL384="Yes",10,0)</f>
        <v/>
      </c>
      <c r="AN384" s="30" t="inlineStr">
        <is>
          <t>B2B</t>
        </is>
      </c>
      <c r="AO384" s="30">
        <f>IF(AN384="B2C",10,IF(AN384="B2B",5,0))</f>
        <v/>
      </c>
      <c r="AP384" s="30" t="inlineStr">
        <is>
          <t>No</t>
        </is>
      </c>
      <c r="AQ384" s="30">
        <f>IF(AP384="Yes",10,0)</f>
        <v/>
      </c>
      <c r="AR384" s="30" t="inlineStr">
        <is>
          <t>Higher One Time, Lower Annuity</t>
        </is>
      </c>
      <c r="AS384" s="30">
        <f>IF(AR384="Fully Annuity",10,IF(AR384="Higher Annuity, Lower One Time",5,IF(AR384="Higher One Time, Lower Annuity",3,0)))</f>
        <v/>
      </c>
      <c r="AT384" s="30" t="inlineStr">
        <is>
          <t>Good</t>
        </is>
      </c>
      <c r="AU384" s="30">
        <f>IF(AT384="Good",10,0)</f>
        <v/>
      </c>
      <c r="AV384" s="30" t="inlineStr">
        <is>
          <t>Yes for more than 2 years</t>
        </is>
      </c>
      <c r="AW384" s="30">
        <f>IF(AV384="Yes for more than 2 years",10,IF(AV384="Yes only for next 1 to 2 years",5,0))</f>
        <v/>
      </c>
      <c r="AX384" s="30" t="inlineStr">
        <is>
          <t>0 to 20</t>
        </is>
      </c>
      <c r="AY384" s="30">
        <f>IF(AX384="Above 40",20,IF(AX384="20 to 40",10,IF(AX384="0 to 20",-5,0)))</f>
        <v/>
      </c>
      <c r="AZ384" s="30" t="inlineStr">
        <is>
          <t>Between 50 to 75</t>
        </is>
      </c>
      <c r="BA384" s="30">
        <f>IF(AZ384="Between 50 to 75",10,IF(AZ384="Above 75",0,0))</f>
        <v/>
      </c>
      <c r="BB384" s="30" t="inlineStr">
        <is>
          <t>Stage 3</t>
        </is>
      </c>
      <c r="BC384" s="30">
        <f>IF(BB384="Stage 2",20,IF(BB384="Stage 1",0,IF(BB384="Stage 3",5,IF(BB384="Stage 4",-5,0))))</f>
        <v/>
      </c>
      <c r="BD384" s="30" t="inlineStr">
        <is>
          <t>Negative Trend</t>
        </is>
      </c>
      <c r="BE384" s="30">
        <f>IF(BD384="Positive Trend",20,IF(BD384="Negative Trend",-10,0))</f>
        <v/>
      </c>
      <c r="BF384" s="30" t="inlineStr">
        <is>
          <t>Uptrend</t>
        </is>
      </c>
      <c r="BG384" s="30">
        <f>IF(BF384="Uptrend",10,IF(BF384="Sideways",5,0))</f>
        <v/>
      </c>
      <c r="BH384" s="30" t="inlineStr">
        <is>
          <t>Uptrend</t>
        </is>
      </c>
      <c r="BI384" s="30">
        <f>IF(BH384="Uptrend",10,IF(BH384="Sideways",5,0))</f>
        <v/>
      </c>
      <c r="BJ384" s="30" t="inlineStr">
        <is>
          <t>Close to 52 week high or retracement</t>
        </is>
      </c>
      <c r="BK384" s="30">
        <f>IF(BJ384="Overhead supply in last 2 years in last 2 years",-5,IF(BJ384="Close to 52 week high or retracement",5,IF(BJ384="Blue sky scenario",10,IF(BJ384="Long term Downtrend",-10,0))))</f>
        <v/>
      </c>
      <c r="BL384" s="30" t="inlineStr">
        <is>
          <t>Yes</t>
        </is>
      </c>
      <c r="BM384" s="30">
        <f>IF(BL384="Yes",10,0)</f>
        <v/>
      </c>
      <c r="BN384" s="30" t="inlineStr">
        <is>
          <t>Between 12 to 20%</t>
        </is>
      </c>
      <c r="BO384" s="30">
        <f>IF(BN384="More than 20%",10,IF(BN384="Between 12 to 20%",5,IF(BN384="Less than 12%",0,0)))</f>
        <v/>
      </c>
      <c r="BP384" s="30" t="inlineStr">
        <is>
          <t>No</t>
        </is>
      </c>
      <c r="BQ384" s="30">
        <f>IF(BP384="No",10,0)</f>
        <v/>
      </c>
      <c r="BR384" s="30" t="inlineStr">
        <is>
          <t>No</t>
        </is>
      </c>
      <c r="BS384" s="30">
        <f>IF(BR384="NO",5,0)</f>
        <v/>
      </c>
      <c r="BT384" s="30" t="inlineStr">
        <is>
          <t>Less than 1.5</t>
        </is>
      </c>
      <c r="BU384" s="30">
        <f>IF(BT384="Above 2",0,IF(BT384="Between 1.5 to 2",5,IF(BT384="Less than 1.5",10,0)))</f>
        <v/>
      </c>
      <c r="BV384" s="30" t="inlineStr">
        <is>
          <t>Between 50% to 70%</t>
        </is>
      </c>
      <c r="BW384" s="30">
        <f>IF(BV384="Above 70%",10,IF(BV384="Between 50% to 70%",5,IF(BV384="Less than 50%",0,IF(BV384="Negative",-10,IF(BV384="Less than 50% and Borrowings are increasing",-5,0)))))</f>
        <v/>
      </c>
      <c r="BX384" s="30" t="inlineStr">
        <is>
          <t>More than 1.2</t>
        </is>
      </c>
      <c r="BY384" s="30">
        <f>IF(BX384="More than 1.2",-10,IF(BX384="Between 0.7 to 1.2",0,IF(BX384="Less than 0.7",10,0)))</f>
        <v/>
      </c>
      <c r="BZ384" s="30" t="inlineStr">
        <is>
          <t>No</t>
        </is>
      </c>
      <c r="CA384" s="30">
        <f>IF(BZ384="Yes",-10,0)</f>
        <v/>
      </c>
      <c r="CB384" s="30" t="inlineStr">
        <is>
          <t>Less than 15%</t>
        </is>
      </c>
      <c r="CC384" s="30">
        <f>IF(CB384="More than 15%",-10,IF(CB384="Less than 15%",10,0))</f>
        <v/>
      </c>
      <c r="CD384" s="30" t="inlineStr">
        <is>
          <t>No</t>
        </is>
      </c>
      <c r="CE384" s="30">
        <f>IF(CD384="Yes, more than 10%",-10,IF(CD384="No",10,0))</f>
        <v/>
      </c>
    </row>
    <row r="385">
      <c r="A385" s="30">
        <f>IF(B385=0,"",RANK(B385,$B$2:$B$400,0))</f>
        <v/>
      </c>
      <c r="B385" s="31">
        <f>SUM(N385,Y385,AA385,AC385,AE385,AG385,AI385,AK385,AM385,AO385,AQ385,AS385,AU385,AW385,AY385,BA385,BC385,BE385,BG385,BI385,BK385,BM385,BO385,BQ385,BS385,BU385,BW385,BY385,CA385,CC385,CE385)</f>
        <v/>
      </c>
      <c r="C385" s="32" t="inlineStr">
        <is>
          <t>HINDZINC</t>
        </is>
      </c>
      <c r="D385" s="32" t="inlineStr">
        <is>
          <t>Hindustan Zinc Limited</t>
        </is>
      </c>
      <c r="E385" s="30" t="inlineStr">
        <is>
          <t>metals &amp; mining</t>
        </is>
      </c>
      <c r="F385" s="30" t="inlineStr">
        <is>
          <t>mining / minerals / metals</t>
        </is>
      </c>
      <c r="G385" s="30" t="inlineStr">
        <is>
          <t>largecap</t>
        </is>
      </c>
      <c r="H385" s="31" t="n">
        <v>254786.74</v>
      </c>
      <c r="I385" s="31" t="n">
        <v>595.15</v>
      </c>
      <c r="J385" s="31" t="n">
        <v>-1.3</v>
      </c>
      <c r="K385" s="31" t="n">
        <v>10192877</v>
      </c>
      <c r="L385" s="30" t="n">
        <v>26</v>
      </c>
      <c r="M385" s="30" t="inlineStr">
        <is>
          <t>Underperforming</t>
        </is>
      </c>
      <c r="N385" s="31">
        <f>IF(M385="Underperforming",-5,IF(L385&gt;=95,15,IF(L385&gt;=90,10,IF(L385&gt;=80,5,0))))</f>
        <v/>
      </c>
      <c r="O385" s="31" t="n">
        <v>57.6</v>
      </c>
      <c r="P385" s="31" t="n">
        <v>13.46</v>
      </c>
      <c r="Q385" s="31" t="inlineStr"/>
      <c r="R385" s="30" t="inlineStr">
        <is>
          <t>Earnings / Momentum Support</t>
        </is>
      </c>
      <c r="S385" s="30" t="inlineStr">
        <is>
          <t>Nifty Metal</t>
        </is>
      </c>
      <c r="T385" s="31" t="n">
        <v>31.49</v>
      </c>
      <c r="U385" s="31" t="n">
        <v>21.2</v>
      </c>
      <c r="V385" s="31" t="n">
        <v>-7.83</v>
      </c>
      <c r="W385" s="31" t="n">
        <v>2.69</v>
      </c>
      <c r="X385" s="30" t="inlineStr">
        <is>
          <t>Cyclical in an Upturn</t>
        </is>
      </c>
      <c r="Y385" s="30">
        <f>IF(X385="Growing Industry",10,IF(X385="Cyclical in an Upturn",5,0))</f>
        <v/>
      </c>
      <c r="Z385" s="30" t="inlineStr">
        <is>
          <t>Too Many Players with High ROCE</t>
        </is>
      </c>
      <c r="AA385" s="30">
        <f>IF(Z385="Monopoly",10,IF(Z385="Oligopoly",5,IF(Z385="Duopoly that cooperate",10,IF(Z385="Duopoly that compete",5,IF(Z385="Too many players with High ROCE",5,0)))))</f>
        <v/>
      </c>
      <c r="AB385" s="30" t="inlineStr">
        <is>
          <t>No</t>
        </is>
      </c>
      <c r="AC385" s="30">
        <f>IF(AB385="No",5,0)</f>
        <v/>
      </c>
      <c r="AD385" s="30" t="inlineStr">
        <is>
          <t>Headwind</t>
        </is>
      </c>
      <c r="AE385" s="30">
        <f>IF(AD385="Tailwind",10,0)</f>
        <v/>
      </c>
      <c r="AF385" s="30" t="inlineStr">
        <is>
          <t>Cyclical</t>
        </is>
      </c>
      <c r="AG385" s="30">
        <f>IF(AF385="Structural (10 Years Consistency)",10,IF(AF385="Shallow Cyclical (2 to 3 years growth)",5,0))</f>
        <v/>
      </c>
      <c r="AH385" s="30" t="inlineStr">
        <is>
          <t>No</t>
        </is>
      </c>
      <c r="AI385" s="30">
        <f>IF(AH385="Yes due to Product Mix change or Operating Leverage",10,IF(AH385="Yes, these are peak margins",-5,IF(AH385="No",5,0)))</f>
        <v/>
      </c>
      <c r="AJ385" s="30" t="inlineStr">
        <is>
          <t>Volatile</t>
        </is>
      </c>
      <c r="AK385" s="30">
        <f>IF(AJ385="Stable",10,0)</f>
        <v/>
      </c>
      <c r="AL385" s="30" t="inlineStr">
        <is>
          <t>Yes</t>
        </is>
      </c>
      <c r="AM385" s="30">
        <f>IF(AL385="Yes",10,0)</f>
        <v/>
      </c>
      <c r="AN385" s="30" t="inlineStr">
        <is>
          <t>B2B</t>
        </is>
      </c>
      <c r="AO385" s="30">
        <f>IF(AN385="B2C",10,IF(AN385="B2B",5,0))</f>
        <v/>
      </c>
      <c r="AP385" s="30" t="inlineStr">
        <is>
          <t>No</t>
        </is>
      </c>
      <c r="AQ385" s="30">
        <f>IF(AP385="Yes",10,0)</f>
        <v/>
      </c>
      <c r="AR385" s="30" t="inlineStr">
        <is>
          <t>Higher One Time, Lower Annuity</t>
        </is>
      </c>
      <c r="AS385" s="30">
        <f>IF(AR385="Fully Annuity",10,IF(AR385="Higher Annuity, Lower One Time",5,IF(AR385="Higher One Time, Lower Annuity",3,0)))</f>
        <v/>
      </c>
      <c r="AT385" s="30" t="inlineStr">
        <is>
          <t>Good</t>
        </is>
      </c>
      <c r="AU385" s="30">
        <f>IF(AT385="Good",10,0)</f>
        <v/>
      </c>
      <c r="AV385" s="30" t="inlineStr">
        <is>
          <t>Yes for more than 2 years</t>
        </is>
      </c>
      <c r="AW385" s="30">
        <f>IF(AV385="Yes for more than 2 years",10,IF(AV385="Yes only for next 1 to 2 years",5,0))</f>
        <v/>
      </c>
      <c r="AX385" s="30" t="inlineStr">
        <is>
          <t>0 to 20</t>
        </is>
      </c>
      <c r="AY385" s="30">
        <f>IF(AX385="Above 40",20,IF(AX385="20 to 40",10,IF(AX385="0 to 20",-5,0)))</f>
        <v/>
      </c>
      <c r="AZ385" s="30" t="inlineStr">
        <is>
          <t>Between 50 to 75</t>
        </is>
      </c>
      <c r="BA385" s="30">
        <f>IF(AZ385="Between 50 to 75",10,IF(AZ385="Above 75",0,0))</f>
        <v/>
      </c>
      <c r="BB385" s="30" t="inlineStr">
        <is>
          <t>Stage 3</t>
        </is>
      </c>
      <c r="BC385" s="30">
        <f>IF(BB385="Stage 2",20,IF(BB385="Stage 1",0,IF(BB385="Stage 3",5,IF(BB385="Stage 4",-5,0))))</f>
        <v/>
      </c>
      <c r="BD385" s="30" t="inlineStr">
        <is>
          <t>Negative Trend</t>
        </is>
      </c>
      <c r="BE385" s="30">
        <f>IF(BD385="Positive Trend",20,IF(BD385="Negative Trend",-10,0))</f>
        <v/>
      </c>
      <c r="BF385" s="30" t="inlineStr">
        <is>
          <t>Uptrend</t>
        </is>
      </c>
      <c r="BG385" s="30">
        <f>IF(BF385="Uptrend",10,IF(BF385="Sideways",5,0))</f>
        <v/>
      </c>
      <c r="BH385" s="30" t="inlineStr">
        <is>
          <t>Uptrend</t>
        </is>
      </c>
      <c r="BI385" s="30">
        <f>IF(BH385="Uptrend",10,IF(BH385="Sideways",5,0))</f>
        <v/>
      </c>
      <c r="BJ385" s="30" t="inlineStr">
        <is>
          <t>Close to 52 week high or retracement</t>
        </is>
      </c>
      <c r="BK385" s="30">
        <f>IF(BJ385="Overhead supply in last 2 years in last 2 years",-5,IF(BJ385="Close to 52 week high or retracement",5,IF(BJ385="Blue sky scenario",10,IF(BJ385="Long term Downtrend",-10,0))))</f>
        <v/>
      </c>
      <c r="BL385" s="30" t="inlineStr">
        <is>
          <t>Yes</t>
        </is>
      </c>
      <c r="BM385" s="30">
        <f>IF(BL385="Yes",10,0)</f>
        <v/>
      </c>
      <c r="BN385" s="30" t="inlineStr">
        <is>
          <t>More than 20%</t>
        </is>
      </c>
      <c r="BO385" s="30">
        <f>IF(BN385="More than 20%",10,IF(BN385="Between 12 to 20%",5,IF(BN385="Less than 12%",0,0)))</f>
        <v/>
      </c>
      <c r="BP385" s="30" t="inlineStr">
        <is>
          <t>No</t>
        </is>
      </c>
      <c r="BQ385" s="30">
        <f>IF(BP385="No",10,0)</f>
        <v/>
      </c>
      <c r="BR385" s="30" t="inlineStr">
        <is>
          <t>No</t>
        </is>
      </c>
      <c r="BS385" s="30">
        <f>IF(BR385="NO",5,0)</f>
        <v/>
      </c>
      <c r="BT385" s="30" t="inlineStr">
        <is>
          <t>Above 2</t>
        </is>
      </c>
      <c r="BU385" s="30">
        <f>IF(BT385="Above 2",0,IF(BT385="Between 1.5 to 2",5,IF(BT385="Less than 1.5",10,0)))</f>
        <v/>
      </c>
      <c r="BV385" s="30" t="inlineStr">
        <is>
          <t>Above 70%</t>
        </is>
      </c>
      <c r="BW385" s="30">
        <f>IF(BV385="Above 70%",10,IF(BV385="Between 50% to 70%",5,IF(BV385="Less than 50%",0,IF(BV385="Negative",-10,IF(BV385="Less than 50% and Borrowings are increasing",-5,0)))))</f>
        <v/>
      </c>
      <c r="BX385" s="30" t="inlineStr">
        <is>
          <t>Less than 0.7</t>
        </is>
      </c>
      <c r="BY385" s="30">
        <f>IF(BX385="More than 1.2",-10,IF(BX385="Between 0.7 to 1.2",0,IF(BX385="Less than 0.7",10,0)))</f>
        <v/>
      </c>
      <c r="BZ385" s="30" t="inlineStr">
        <is>
          <t>No</t>
        </is>
      </c>
      <c r="CA385" s="30">
        <f>IF(BZ385="Yes",-10,0)</f>
        <v/>
      </c>
      <c r="CB385" s="30" t="inlineStr">
        <is>
          <t>Less than 15%</t>
        </is>
      </c>
      <c r="CC385" s="30">
        <f>IF(CB385="More than 15%",-10,IF(CB385="Less than 15%",10,0))</f>
        <v/>
      </c>
      <c r="CD385" s="30" t="inlineStr">
        <is>
          <t>No</t>
        </is>
      </c>
      <c r="CE385" s="30">
        <f>IF(CD385="Yes, more than 10%",-10,IF(CD385="No",10,0))</f>
        <v/>
      </c>
    </row>
    <row r="386">
      <c r="A386" s="30">
        <f>IF(B386=0,"",RANK(B386,$B$2:$B$400,0))</f>
        <v/>
      </c>
      <c r="B386" s="31">
        <f>SUM(N386,Y386,AA386,AC386,AE386,AG386,AI386,AK386,AM386,AO386,AQ386,AS386,AU386,AW386,AY386,BA386,BC386,BE386,BG386,BI386,BK386,BM386,BO386,BQ386,BS386,BU386,BW386,BY386,CA386,CC386,CE386)</f>
        <v/>
      </c>
      <c r="C386" s="30" t="inlineStr">
        <is>
          <t>ASHOKLEY</t>
        </is>
      </c>
      <c r="D386" s="30" t="inlineStr">
        <is>
          <t>Ashok Leyland Limited</t>
        </is>
      </c>
      <c r="E386" s="30" t="inlineStr">
        <is>
          <t>auto</t>
        </is>
      </c>
      <c r="F386" s="30" t="inlineStr">
        <is>
          <t>automobiles - lcvs / hcvs</t>
        </is>
      </c>
      <c r="G386" s="30" t="inlineStr">
        <is>
          <t>largecap</t>
        </is>
      </c>
      <c r="H386" s="31" t="n">
        <v>104260.92</v>
      </c>
      <c r="I386" s="31" t="n">
        <v>174</v>
      </c>
      <c r="J386" s="31" t="n">
        <v>-1.97</v>
      </c>
      <c r="K386" s="31" t="n">
        <v>28759093</v>
      </c>
      <c r="L386" s="30" t="n">
        <v>35</v>
      </c>
      <c r="M386" s="30" t="inlineStr">
        <is>
          <t>Outperforming</t>
        </is>
      </c>
      <c r="N386" s="31">
        <f>IF(M386="Underperforming",-5,IF(L386&gt;=95,15,IF(L386&gt;=90,10,IF(L386&gt;=80,5,0))))</f>
        <v/>
      </c>
      <c r="O386" s="31" t="n">
        <v>58.27</v>
      </c>
      <c r="P386" s="31" t="n">
        <v>14.72</v>
      </c>
      <c r="Q386" s="31" t="inlineStr"/>
      <c r="R386" s="30" t="inlineStr">
        <is>
          <t>Earnings / Momentum Support</t>
        </is>
      </c>
      <c r="S386" s="30" t="inlineStr">
        <is>
          <t>Nifty Auto</t>
        </is>
      </c>
      <c r="T386" s="31" t="n">
        <v>13.41</v>
      </c>
      <c r="U386" s="31" t="n">
        <v>30.02</v>
      </c>
      <c r="V386" s="31" t="n">
        <v>14.64</v>
      </c>
      <c r="W386" s="31" t="n">
        <v>4.69</v>
      </c>
      <c r="X386" s="30" t="inlineStr">
        <is>
          <t>Growing Industry</t>
        </is>
      </c>
      <c r="Y386" s="30">
        <f>IF(X386="Growing Industry",10,IF(X386="Cyclical in an Upturn",5,0))</f>
        <v/>
      </c>
      <c r="Z386" s="30" t="inlineStr">
        <is>
          <t>Too Many Players with High ROCE</t>
        </is>
      </c>
      <c r="AA386" s="30">
        <f>IF(Z386="Monopoly",10,IF(Z386="Oligopoly",5,IF(Z386="Duopoly that cooperate",10,IF(Z386="Duopoly that compete",5,IF(Z386="Too many players with High ROCE",5,0)))))</f>
        <v/>
      </c>
      <c r="AB386" s="30" t="inlineStr">
        <is>
          <t>No</t>
        </is>
      </c>
      <c r="AC386" s="30">
        <f>IF(AB386="No",5,0)</f>
        <v/>
      </c>
      <c r="AD386" s="30" t="inlineStr">
        <is>
          <t>Headwind</t>
        </is>
      </c>
      <c r="AE386" s="30">
        <f>IF(AD386="Tailwind",10,0)</f>
        <v/>
      </c>
      <c r="AF386" s="30" t="inlineStr">
        <is>
          <t>Structural (10 Years Consistency)</t>
        </is>
      </c>
      <c r="AG386" s="30">
        <f>IF(AF386="Structural (10 Years Consistency)",10,IF(AF386="Shallow Cyclical (2 to 3 years growth)",5,0))</f>
        <v/>
      </c>
      <c r="AH386" s="30" t="inlineStr">
        <is>
          <t>No</t>
        </is>
      </c>
      <c r="AI386" s="30">
        <f>IF(AH386="Yes due to Product Mix change or Operating Leverage",10,IF(AH386="Yes, these are peak margins",-5,IF(AH386="No",5,0)))</f>
        <v/>
      </c>
      <c r="AJ386" s="30" t="inlineStr">
        <is>
          <t>Stable</t>
        </is>
      </c>
      <c r="AK386" s="30">
        <f>IF(AJ386="Stable",10,0)</f>
        <v/>
      </c>
      <c r="AL386" s="30" t="inlineStr">
        <is>
          <t>Yes</t>
        </is>
      </c>
      <c r="AM386" s="30">
        <f>IF(AL386="Yes",10,0)</f>
        <v/>
      </c>
      <c r="AN386" s="30" t="inlineStr">
        <is>
          <t>B2B</t>
        </is>
      </c>
      <c r="AO386" s="30">
        <f>IF(AN386="B2C",10,IF(AN386="B2B",5,0))</f>
        <v/>
      </c>
      <c r="AP386" s="30" t="inlineStr">
        <is>
          <t>No</t>
        </is>
      </c>
      <c r="AQ386" s="30">
        <f>IF(AP386="Yes",10,0)</f>
        <v/>
      </c>
      <c r="AR386" s="30" t="inlineStr">
        <is>
          <t>Higher One Time, Lower Annuity</t>
        </is>
      </c>
      <c r="AS386" s="30">
        <f>IF(AR386="Fully Annuity",10,IF(AR386="Higher Annuity, Lower One Time",5,IF(AR386="Higher One Time, Lower Annuity",3,0)))</f>
        <v/>
      </c>
      <c r="AT386" s="30" t="inlineStr">
        <is>
          <t>Good</t>
        </is>
      </c>
      <c r="AU386" s="30">
        <f>IF(AT386="Good",10,0)</f>
        <v/>
      </c>
      <c r="AV386" s="30" t="inlineStr">
        <is>
          <t>Yes for more than 2 years</t>
        </is>
      </c>
      <c r="AW386" s="30">
        <f>IF(AV386="Yes for more than 2 years",10,IF(AV386="Yes only for next 1 to 2 years",5,0))</f>
        <v/>
      </c>
      <c r="AX386" s="30" t="inlineStr">
        <is>
          <t>0 to 20</t>
        </is>
      </c>
      <c r="AY386" s="30">
        <f>IF(AX386="Above 40",20,IF(AX386="20 to 40",10,IF(AX386="0 to 20",-5,0)))</f>
        <v/>
      </c>
      <c r="AZ386" s="30" t="inlineStr">
        <is>
          <t>Between 50 to 75</t>
        </is>
      </c>
      <c r="BA386" s="30">
        <f>IF(AZ386="Between 50 to 75",10,IF(AZ386="Above 75",0,0))</f>
        <v/>
      </c>
      <c r="BB386" s="30" t="inlineStr">
        <is>
          <t>Stage 3</t>
        </is>
      </c>
      <c r="BC386" s="30">
        <f>IF(BB386="Stage 2",20,IF(BB386="Stage 1",0,IF(BB386="Stage 3",5,IF(BB386="Stage 4",-5,0))))</f>
        <v/>
      </c>
      <c r="BD386" s="30" t="inlineStr">
        <is>
          <t>Negative Trend</t>
        </is>
      </c>
      <c r="BE386" s="30">
        <f>IF(BD386="Positive Trend",20,IF(BD386="Negative Trend",-10,0))</f>
        <v/>
      </c>
      <c r="BF386" s="30" t="inlineStr">
        <is>
          <t>Uptrend</t>
        </is>
      </c>
      <c r="BG386" s="30">
        <f>IF(BF386="Uptrend",10,IF(BF386="Sideways",5,0))</f>
        <v/>
      </c>
      <c r="BH386" s="30" t="inlineStr">
        <is>
          <t>Uptrend</t>
        </is>
      </c>
      <c r="BI386" s="30">
        <f>IF(BH386="Uptrend",10,IF(BH386="Sideways",5,0))</f>
        <v/>
      </c>
      <c r="BJ386" s="30" t="inlineStr">
        <is>
          <t>Close to 52 week high or retracement</t>
        </is>
      </c>
      <c r="BK386" s="30">
        <f>IF(BJ386="Overhead supply in last 2 years in last 2 years",-5,IF(BJ386="Close to 52 week high or retracement",5,IF(BJ386="Blue sky scenario",10,IF(BJ386="Long term Downtrend",-10,0))))</f>
        <v/>
      </c>
      <c r="BL386" s="30" t="inlineStr">
        <is>
          <t>Yes</t>
        </is>
      </c>
      <c r="BM386" s="30">
        <f>IF(BL386="Yes",10,0)</f>
        <v/>
      </c>
      <c r="BN386" s="30" t="inlineStr">
        <is>
          <t>More than 20%</t>
        </is>
      </c>
      <c r="BO386" s="30">
        <f>IF(BN386="More than 20%",10,IF(BN386="Between 12 to 20%",5,IF(BN386="Less than 12%",0,0)))</f>
        <v/>
      </c>
      <c r="BP386" s="30" t="inlineStr">
        <is>
          <t>No</t>
        </is>
      </c>
      <c r="BQ386" s="30">
        <f>IF(BP386="No",10,0)</f>
        <v/>
      </c>
      <c r="BR386" s="30" t="inlineStr">
        <is>
          <t>No</t>
        </is>
      </c>
      <c r="BS386" s="30">
        <f>IF(BR386="NO",5,0)</f>
        <v/>
      </c>
      <c r="BT386" s="30" t="inlineStr">
        <is>
          <t>Less than 1.5</t>
        </is>
      </c>
      <c r="BU386" s="30">
        <f>IF(BT386="Above 2",0,IF(BT386="Between 1.5 to 2",5,IF(BT386="Less than 1.5",10,0)))</f>
        <v/>
      </c>
      <c r="BV386" s="30" t="inlineStr">
        <is>
          <t>Negative</t>
        </is>
      </c>
      <c r="BW386" s="30">
        <f>IF(BV386="Above 70%",10,IF(BV386="Between 50% to 70%",5,IF(BV386="Less than 50%",0,IF(BV386="Negative",-10,IF(BV386="Less than 50% and Borrowings are increasing",-5,0)))))</f>
        <v/>
      </c>
      <c r="BX386" s="30" t="inlineStr">
        <is>
          <t>More than 1.2</t>
        </is>
      </c>
      <c r="BY386" s="30">
        <f>IF(BX386="More than 1.2",-10,IF(BX386="Between 0.7 to 1.2",0,IF(BX386="Less than 0.7",10,0)))</f>
        <v/>
      </c>
      <c r="BZ386" s="30" t="inlineStr">
        <is>
          <t>No</t>
        </is>
      </c>
      <c r="CA386" s="30">
        <f>IF(BZ386="Yes",-10,0)</f>
        <v/>
      </c>
      <c r="CB386" s="30" t="inlineStr">
        <is>
          <t>Less than 15%</t>
        </is>
      </c>
      <c r="CC386" s="30">
        <f>IF(CB386="More than 15%",-10,IF(CB386="Less than 15%",10,0))</f>
        <v/>
      </c>
      <c r="CD386" s="30" t="inlineStr">
        <is>
          <t>No</t>
        </is>
      </c>
      <c r="CE386" s="30">
        <f>IF(CD386="Yes, more than 10%",-10,IF(CD386="No",10,0))</f>
        <v/>
      </c>
    </row>
    <row r="387">
      <c r="A387" s="30">
        <f>IF(B387=0,"",RANK(B387,$B$2:$B$400,0))</f>
        <v/>
      </c>
      <c r="B387" s="31">
        <f>SUM(N387,Y387,AA387,AC387,AE387,AG387,AI387,AK387,AM387,AO387,AQ387,AS387,AU387,AW387,AY387,BA387,BC387,BE387,BG387,BI387,BK387,BM387,BO387,BQ387,BS387,BU387,BW387,BY387,CA387,CC387,CE387)</f>
        <v/>
      </c>
      <c r="C387" s="30" t="inlineStr">
        <is>
          <t>MAHASTEEL</t>
        </is>
      </c>
      <c r="D387" s="30" t="inlineStr">
        <is>
          <t>Mahamaya Steel Industries Limited</t>
        </is>
      </c>
      <c r="E387" s="30" t="inlineStr">
        <is>
          <t>metals &amp; mining</t>
        </is>
      </c>
      <c r="F387" s="30" t="inlineStr">
        <is>
          <t>steel - medium / small</t>
        </is>
      </c>
      <c r="G387" s="30" t="inlineStr">
        <is>
          <t>smallcap</t>
        </is>
      </c>
      <c r="H387" s="31" t="n">
        <v>1719.53</v>
      </c>
      <c r="I387" s="31" t="n">
        <v>1004</v>
      </c>
      <c r="J387" s="31" t="n">
        <v>-4.04</v>
      </c>
      <c r="K387" s="31" t="n">
        <v>3551</v>
      </c>
      <c r="L387" s="30" t="n">
        <v>79</v>
      </c>
      <c r="M387" s="30" t="inlineStr">
        <is>
          <t>Outperforming</t>
        </is>
      </c>
      <c r="N387" s="31">
        <f>IF(M387="Underperforming",-5,IF(L387&gt;=95,15,IF(L387&gt;=90,10,IF(L387&gt;=80,5,0))))</f>
        <v/>
      </c>
      <c r="O387" s="31" t="n">
        <v>63.8</v>
      </c>
      <c r="P387" s="31" t="n">
        <v>17.89</v>
      </c>
      <c r="Q387" s="31" t="inlineStr"/>
      <c r="R387" s="30" t="inlineStr">
        <is>
          <t>Earnings / Momentum Support</t>
        </is>
      </c>
      <c r="S387" s="30" t="inlineStr">
        <is>
          <t>Nifty Metal</t>
        </is>
      </c>
      <c r="T387" s="31" t="n">
        <v>31.49</v>
      </c>
      <c r="U387" s="31" t="n">
        <v>122.02</v>
      </c>
      <c r="V387" s="31" t="n">
        <v>68.84999999999999</v>
      </c>
      <c r="W387" s="31" t="n">
        <v>17.89</v>
      </c>
      <c r="X387" s="30" t="inlineStr">
        <is>
          <t>Cyclical in an Upturn</t>
        </is>
      </c>
      <c r="Y387" s="30">
        <f>IF(X387="Growing Industry",10,IF(X387="Cyclical in an Upturn",5,0))</f>
        <v/>
      </c>
      <c r="Z387" s="30" t="inlineStr">
        <is>
          <t>Too Many Players with High ROCE</t>
        </is>
      </c>
      <c r="AA387" s="30">
        <f>IF(Z387="Monopoly",10,IF(Z387="Oligopoly",5,IF(Z387="Duopoly that cooperate",10,IF(Z387="Duopoly that compete",5,IF(Z387="Too many players with High ROCE",5,0)))))</f>
        <v/>
      </c>
      <c r="AB387" s="30" t="inlineStr">
        <is>
          <t>No</t>
        </is>
      </c>
      <c r="AC387" s="30">
        <f>IF(AB387="No",5,0)</f>
        <v/>
      </c>
      <c r="AD387" s="30" t="inlineStr">
        <is>
          <t>Headwind</t>
        </is>
      </c>
      <c r="AE387" s="30">
        <f>IF(AD387="Tailwind",10,0)</f>
        <v/>
      </c>
      <c r="AF387" s="30" t="inlineStr">
        <is>
          <t>Cyclical</t>
        </is>
      </c>
      <c r="AG387" s="30">
        <f>IF(AF387="Structural (10 Years Consistency)",10,IF(AF387="Shallow Cyclical (2 to 3 years growth)",5,0))</f>
        <v/>
      </c>
      <c r="AH387" s="30" t="inlineStr">
        <is>
          <t>No</t>
        </is>
      </c>
      <c r="AI387" s="30">
        <f>IF(AH387="Yes due to Product Mix change or Operating Leverage",10,IF(AH387="Yes, these are peak margins",-5,IF(AH387="No",5,0)))</f>
        <v/>
      </c>
      <c r="AJ387" s="30" t="inlineStr">
        <is>
          <t>Volatile</t>
        </is>
      </c>
      <c r="AK387" s="30">
        <f>IF(AJ387="Stable",10,0)</f>
        <v/>
      </c>
      <c r="AL387" s="30" t="inlineStr">
        <is>
          <t>Yes</t>
        </is>
      </c>
      <c r="AM387" s="30">
        <f>IF(AL387="Yes",10,0)</f>
        <v/>
      </c>
      <c r="AN387" s="30" t="inlineStr">
        <is>
          <t>B2B</t>
        </is>
      </c>
      <c r="AO387" s="30">
        <f>IF(AN387="B2C",10,IF(AN387="B2B",5,0))</f>
        <v/>
      </c>
      <c r="AP387" s="30" t="inlineStr">
        <is>
          <t>No</t>
        </is>
      </c>
      <c r="AQ387" s="30">
        <f>IF(AP387="Yes",10,0)</f>
        <v/>
      </c>
      <c r="AR387" s="30" t="inlineStr">
        <is>
          <t>Higher One Time, Lower Annuity</t>
        </is>
      </c>
      <c r="AS387" s="30">
        <f>IF(AR387="Fully Annuity",10,IF(AR387="Higher Annuity, Lower One Time",5,IF(AR387="Higher One Time, Lower Annuity",3,0)))</f>
        <v/>
      </c>
      <c r="AT387" s="30" t="inlineStr">
        <is>
          <t>Good</t>
        </is>
      </c>
      <c r="AU387" s="30">
        <f>IF(AT387="Good",10,0)</f>
        <v/>
      </c>
      <c r="AV387" s="30" t="inlineStr">
        <is>
          <t>Yes for more than 2 years</t>
        </is>
      </c>
      <c r="AW387" s="30">
        <f>IF(AV387="Yes for more than 2 years",10,IF(AV387="Yes only for next 1 to 2 years",5,0))</f>
        <v/>
      </c>
      <c r="AX387" s="30" t="inlineStr">
        <is>
          <t>0 to 20</t>
        </is>
      </c>
      <c r="AY387" s="30">
        <f>IF(AX387="Above 40",20,IF(AX387="20 to 40",10,IF(AX387="0 to 20",-5,0)))</f>
        <v/>
      </c>
      <c r="AZ387" s="30" t="inlineStr">
        <is>
          <t>Between 50 to 75</t>
        </is>
      </c>
      <c r="BA387" s="30">
        <f>IF(AZ387="Between 50 to 75",10,IF(AZ387="Above 75",0,0))</f>
        <v/>
      </c>
      <c r="BB387" s="30" t="inlineStr">
        <is>
          <t>Stage 3</t>
        </is>
      </c>
      <c r="BC387" s="30">
        <f>IF(BB387="Stage 2",20,IF(BB387="Stage 1",0,IF(BB387="Stage 3",5,IF(BB387="Stage 4",-5,0))))</f>
        <v/>
      </c>
      <c r="BD387" s="30" t="inlineStr">
        <is>
          <t>Negative Trend</t>
        </is>
      </c>
      <c r="BE387" s="30">
        <f>IF(BD387="Positive Trend",20,IF(BD387="Negative Trend",-10,0))</f>
        <v/>
      </c>
      <c r="BF387" s="30" t="inlineStr">
        <is>
          <t>Uptrend</t>
        </is>
      </c>
      <c r="BG387" s="30">
        <f>IF(BF387="Uptrend",10,IF(BF387="Sideways",5,0))</f>
        <v/>
      </c>
      <c r="BH387" s="30" t="inlineStr">
        <is>
          <t>Uptrend</t>
        </is>
      </c>
      <c r="BI387" s="30">
        <f>IF(BH387="Uptrend",10,IF(BH387="Sideways",5,0))</f>
        <v/>
      </c>
      <c r="BJ387" s="30" t="inlineStr">
        <is>
          <t>Close to 52 week high or retracement</t>
        </is>
      </c>
      <c r="BK387" s="30">
        <f>IF(BJ387="Overhead supply in last 2 years in last 2 years",-5,IF(BJ387="Close to 52 week high or retracement",5,IF(BJ387="Blue sky scenario",10,IF(BJ387="Long term Downtrend",-10,0))))</f>
        <v/>
      </c>
      <c r="BL387" s="30" t="inlineStr">
        <is>
          <t>Yes</t>
        </is>
      </c>
      <c r="BM387" s="30">
        <f>IF(BL387="Yes",10,0)</f>
        <v/>
      </c>
      <c r="BN387" s="30" t="inlineStr">
        <is>
          <t>More than 20%</t>
        </is>
      </c>
      <c r="BO387" s="30">
        <f>IF(BN387="More than 20%",10,IF(BN387="Between 12 to 20%",5,IF(BN387="Less than 12%",0,0)))</f>
        <v/>
      </c>
      <c r="BP387" s="30" t="inlineStr">
        <is>
          <t>No</t>
        </is>
      </c>
      <c r="BQ387" s="30">
        <f>IF(BP387="No",10,0)</f>
        <v/>
      </c>
      <c r="BR387" s="30" t="inlineStr">
        <is>
          <t>Yes</t>
        </is>
      </c>
      <c r="BS387" s="30">
        <f>IF(BR387="NO",5,0)</f>
        <v/>
      </c>
      <c r="BT387" s="30" t="inlineStr">
        <is>
          <t>Above 2</t>
        </is>
      </c>
      <c r="BU387" s="30">
        <f>IF(BT387="Above 2",0,IF(BT387="Between 1.5 to 2",5,IF(BT387="Less than 1.5",10,0)))</f>
        <v/>
      </c>
      <c r="BV387" s="30" t="inlineStr">
        <is>
          <t>Above 70%</t>
        </is>
      </c>
      <c r="BW387" s="30">
        <f>IF(BV387="Above 70%",10,IF(BV387="Between 50% to 70%",5,IF(BV387="Less than 50%",0,IF(BV387="Negative",-10,IF(BV387="Less than 50% and Borrowings are increasing",-5,0)))))</f>
        <v/>
      </c>
      <c r="BX387" s="30" t="inlineStr">
        <is>
          <t>Less than 0.7</t>
        </is>
      </c>
      <c r="BY387" s="30">
        <f>IF(BX387="More than 1.2",-10,IF(BX387="Between 0.7 to 1.2",0,IF(BX387="Less than 0.7",10,0)))</f>
        <v/>
      </c>
      <c r="BZ387" s="30" t="inlineStr">
        <is>
          <t>No</t>
        </is>
      </c>
      <c r="CA387" s="30">
        <f>IF(BZ387="Yes",-10,0)</f>
        <v/>
      </c>
      <c r="CB387" s="30" t="inlineStr">
        <is>
          <t>Less than 15%</t>
        </is>
      </c>
      <c r="CC387" s="30">
        <f>IF(CB387="More than 15%",-10,IF(CB387="Less than 15%",10,0))</f>
        <v/>
      </c>
      <c r="CD387" s="30" t="inlineStr">
        <is>
          <t>No</t>
        </is>
      </c>
      <c r="CE387" s="30">
        <f>IF(CD387="Yes, more than 10%",-10,IF(CD387="No",10,0))</f>
        <v/>
      </c>
    </row>
    <row r="388">
      <c r="A388" s="30">
        <f>IF(B388=0,"",RANK(B388,$B$2:$B$400,0))</f>
        <v/>
      </c>
      <c r="B388" s="31">
        <f>SUM(N388,Y388,AA388,AC388,AE388,AG388,AI388,AK388,AM388,AO388,AQ388,AS388,AU388,AW388,AY388,BA388,BC388,BE388,BG388,BI388,BK388,BM388,BO388,BQ388,BS388,BU388,BW388,BY388,CA388,CC388,CE388)</f>
        <v/>
      </c>
      <c r="C388" s="32" t="inlineStr">
        <is>
          <t>GRAVITA</t>
        </is>
      </c>
      <c r="D388" s="32" t="inlineStr">
        <is>
          <t>Gravita India Limited</t>
        </is>
      </c>
      <c r="E388" s="30" t="inlineStr">
        <is>
          <t>metals &amp; mining</t>
        </is>
      </c>
      <c r="F388" s="30" t="inlineStr">
        <is>
          <t>mining / minerals / metals</t>
        </is>
      </c>
      <c r="G388" s="30" t="inlineStr">
        <is>
          <t>midcap</t>
        </is>
      </c>
      <c r="H388" s="31" t="n">
        <v>12784.36</v>
      </c>
      <c r="I388" s="31" t="n">
        <v>1783.5</v>
      </c>
      <c r="J388" s="31" t="n">
        <v>2.97</v>
      </c>
      <c r="K388" s="31" t="n">
        <v>283229</v>
      </c>
      <c r="L388" s="30" t="n">
        <v>29</v>
      </c>
      <c r="M388" s="30" t="inlineStr">
        <is>
          <t>Underperforming</t>
        </is>
      </c>
      <c r="N388" s="31">
        <f>IF(M388="Underperforming",-5,IF(L388&gt;=95,15,IF(L388&gt;=90,10,IF(L388&gt;=80,5,0))))</f>
        <v/>
      </c>
      <c r="O388" s="31" t="n">
        <v>52.89</v>
      </c>
      <c r="P388" s="31" t="n">
        <v>14.54</v>
      </c>
      <c r="Q388" s="31" t="inlineStr"/>
      <c r="R388" s="30" t="inlineStr">
        <is>
          <t>Earnings / Momentum Support</t>
        </is>
      </c>
      <c r="S388" s="30" t="inlineStr">
        <is>
          <t>Nifty Metal</t>
        </is>
      </c>
      <c r="T388" s="31" t="n">
        <v>31.49</v>
      </c>
      <c r="U388" s="31" t="n">
        <v>5.54</v>
      </c>
      <c r="V388" s="31" t="n">
        <v>-19.73</v>
      </c>
      <c r="W388" s="31" t="n">
        <v>3.44</v>
      </c>
      <c r="X388" s="30" t="inlineStr">
        <is>
          <t>Cyclical in an Upturn</t>
        </is>
      </c>
      <c r="Y388" s="30">
        <f>IF(X388="Growing Industry",10,IF(X388="Cyclical in an Upturn",5,0))</f>
        <v/>
      </c>
      <c r="Z388" s="30" t="inlineStr">
        <is>
          <t>Too Many Players with High ROCE</t>
        </is>
      </c>
      <c r="AA388" s="30">
        <f>IF(Z388="Monopoly",10,IF(Z388="Oligopoly",5,IF(Z388="Duopoly that cooperate",10,IF(Z388="Duopoly that compete",5,IF(Z388="Too many players with High ROCE",5,0)))))</f>
        <v/>
      </c>
      <c r="AB388" s="30" t="inlineStr">
        <is>
          <t>No</t>
        </is>
      </c>
      <c r="AC388" s="30">
        <f>IF(AB388="No",5,0)</f>
        <v/>
      </c>
      <c r="AD388" s="30" t="inlineStr">
        <is>
          <t>Headwind</t>
        </is>
      </c>
      <c r="AE388" s="30">
        <f>IF(AD388="Tailwind",10,0)</f>
        <v/>
      </c>
      <c r="AF388" s="30" t="inlineStr">
        <is>
          <t>Cyclical</t>
        </is>
      </c>
      <c r="AG388" s="30">
        <f>IF(AF388="Structural (10 Years Consistency)",10,IF(AF388="Shallow Cyclical (2 to 3 years growth)",5,0))</f>
        <v/>
      </c>
      <c r="AH388" s="30" t="inlineStr">
        <is>
          <t>No</t>
        </is>
      </c>
      <c r="AI388" s="30">
        <f>IF(AH388="Yes due to Product Mix change or Operating Leverage",10,IF(AH388="Yes, these are peak margins",-5,IF(AH388="No",5,0)))</f>
        <v/>
      </c>
      <c r="AJ388" s="30" t="inlineStr">
        <is>
          <t>Volatile</t>
        </is>
      </c>
      <c r="AK388" s="30">
        <f>IF(AJ388="Stable",10,0)</f>
        <v/>
      </c>
      <c r="AL388" s="30" t="inlineStr">
        <is>
          <t>Yes</t>
        </is>
      </c>
      <c r="AM388" s="30">
        <f>IF(AL388="Yes",10,0)</f>
        <v/>
      </c>
      <c r="AN388" s="30" t="inlineStr">
        <is>
          <t>B2B</t>
        </is>
      </c>
      <c r="AO388" s="30">
        <f>IF(AN388="B2C",10,IF(AN388="B2B",5,0))</f>
        <v/>
      </c>
      <c r="AP388" s="30" t="inlineStr">
        <is>
          <t>No</t>
        </is>
      </c>
      <c r="AQ388" s="30">
        <f>IF(AP388="Yes",10,0)</f>
        <v/>
      </c>
      <c r="AR388" s="30" t="inlineStr">
        <is>
          <t>Higher One Time, Lower Annuity</t>
        </is>
      </c>
      <c r="AS388" s="30">
        <f>IF(AR388="Fully Annuity",10,IF(AR388="Higher Annuity, Lower One Time",5,IF(AR388="Higher One Time, Lower Annuity",3,0)))</f>
        <v/>
      </c>
      <c r="AT388" s="30" t="inlineStr">
        <is>
          <t>Good</t>
        </is>
      </c>
      <c r="AU388" s="30">
        <f>IF(AT388="Good",10,0)</f>
        <v/>
      </c>
      <c r="AV388" s="30" t="inlineStr">
        <is>
          <t>Yes for more than 2 years</t>
        </is>
      </c>
      <c r="AW388" s="30">
        <f>IF(AV388="Yes for more than 2 years",10,IF(AV388="Yes only for next 1 to 2 years",5,0))</f>
        <v/>
      </c>
      <c r="AX388" s="30" t="inlineStr">
        <is>
          <t>0 to 20</t>
        </is>
      </c>
      <c r="AY388" s="30">
        <f>IF(AX388="Above 40",20,IF(AX388="20 to 40",10,IF(AX388="0 to 20",-5,0)))</f>
        <v/>
      </c>
      <c r="AZ388" s="30" t="inlineStr">
        <is>
          <t>Between 50 to 75</t>
        </is>
      </c>
      <c r="BA388" s="30">
        <f>IF(AZ388="Between 50 to 75",10,IF(AZ388="Above 75",0,0))</f>
        <v/>
      </c>
      <c r="BB388" s="30" t="inlineStr">
        <is>
          <t>Stage 3</t>
        </is>
      </c>
      <c r="BC388" s="30">
        <f>IF(BB388="Stage 2",20,IF(BB388="Stage 1",0,IF(BB388="Stage 3",5,IF(BB388="Stage 4",-5,0))))</f>
        <v/>
      </c>
      <c r="BD388" s="30" t="inlineStr">
        <is>
          <t>Negative Trend</t>
        </is>
      </c>
      <c r="BE388" s="30">
        <f>IF(BD388="Positive Trend",20,IF(BD388="Negative Trend",-10,0))</f>
        <v/>
      </c>
      <c r="BF388" s="30" t="inlineStr">
        <is>
          <t>Uptrend</t>
        </is>
      </c>
      <c r="BG388" s="30">
        <f>IF(BF388="Uptrend",10,IF(BF388="Sideways",5,0))</f>
        <v/>
      </c>
      <c r="BH388" s="30" t="inlineStr">
        <is>
          <t>Uptrend</t>
        </is>
      </c>
      <c r="BI388" s="30">
        <f>IF(BH388="Uptrend",10,IF(BH388="Sideways",5,0))</f>
        <v/>
      </c>
      <c r="BJ388" s="30" t="inlineStr">
        <is>
          <t>Close to 52 week high or retracement</t>
        </is>
      </c>
      <c r="BK388" s="30">
        <f>IF(BJ388="Overhead supply in last 2 years in last 2 years",-5,IF(BJ388="Close to 52 week high or retracement",5,IF(BJ388="Blue sky scenario",10,IF(BJ388="Long term Downtrend",-10,0))))</f>
        <v/>
      </c>
      <c r="BL388" s="30" t="inlineStr">
        <is>
          <t>Yes</t>
        </is>
      </c>
      <c r="BM388" s="30">
        <f>IF(BL388="Yes",10,0)</f>
        <v/>
      </c>
      <c r="BN388" s="30" t="inlineStr">
        <is>
          <t>Between 12 to 20%</t>
        </is>
      </c>
      <c r="BO388" s="30">
        <f>IF(BN388="More than 20%",10,IF(BN388="Between 12 to 20%",5,IF(BN388="Less than 12%",0,0)))</f>
        <v/>
      </c>
      <c r="BP388" s="30" t="inlineStr">
        <is>
          <t>No</t>
        </is>
      </c>
      <c r="BQ388" s="30">
        <f>IF(BP388="No",10,0)</f>
        <v/>
      </c>
      <c r="BR388" s="30" t="inlineStr">
        <is>
          <t>No</t>
        </is>
      </c>
      <c r="BS388" s="30">
        <f>IF(BR388="NO",5,0)</f>
        <v/>
      </c>
      <c r="BT388" s="30" t="inlineStr">
        <is>
          <t>Above 2</t>
        </is>
      </c>
      <c r="BU388" s="30">
        <f>IF(BT388="Above 2",0,IF(BT388="Between 1.5 to 2",5,IF(BT388="Less than 1.5",10,0)))</f>
        <v/>
      </c>
      <c r="BV388" s="30" t="inlineStr">
        <is>
          <t>Above 70%</t>
        </is>
      </c>
      <c r="BW388" s="30">
        <f>IF(BV388="Above 70%",10,IF(BV388="Between 50% to 70%",5,IF(BV388="Less than 50%",0,IF(BV388="Negative",-10,IF(BV388="Less than 50% and Borrowings are increasing",-5,0)))))</f>
        <v/>
      </c>
      <c r="BX388" s="30" t="inlineStr">
        <is>
          <t>Less than 0.7</t>
        </is>
      </c>
      <c r="BY388" s="30">
        <f>IF(BX388="More than 1.2",-10,IF(BX388="Between 0.7 to 1.2",0,IF(BX388="Less than 0.7",10,0)))</f>
        <v/>
      </c>
      <c r="BZ388" s="30" t="inlineStr">
        <is>
          <t>No</t>
        </is>
      </c>
      <c r="CA388" s="30">
        <f>IF(BZ388="Yes",-10,0)</f>
        <v/>
      </c>
      <c r="CB388" s="30" t="inlineStr">
        <is>
          <t>Less than 15%</t>
        </is>
      </c>
      <c r="CC388" s="30">
        <f>IF(CB388="More than 15%",-10,IF(CB388="Less than 15%",10,0))</f>
        <v/>
      </c>
      <c r="CD388" s="30" t="inlineStr">
        <is>
          <t>No</t>
        </is>
      </c>
      <c r="CE388" s="30">
        <f>IF(CD388="Yes, more than 10%",-10,IF(CD388="No",10,0))</f>
        <v/>
      </c>
    </row>
    <row r="389">
      <c r="A389" s="30">
        <f>IF(B389=0,"",RANK(B389,$B$2:$B$400,0))</f>
        <v/>
      </c>
      <c r="B389" s="31">
        <f>SUM(N389,Y389,AA389,AC389,AE389,AG389,AI389,AK389,AM389,AO389,AQ389,AS389,AU389,AW389,AY389,BA389,BC389,BE389,BG389,BI389,BK389,BM389,BO389,BQ389,BS389,BU389,BW389,BY389,CA389,CC389,CE389)</f>
        <v/>
      </c>
      <c r="C389" s="30" t="inlineStr">
        <is>
          <t>RITCO</t>
        </is>
      </c>
      <c r="D389" s="30" t="inlineStr">
        <is>
          <t>Ritco Logistics Ltd</t>
        </is>
      </c>
      <c r="E389" s="30" t="inlineStr">
        <is>
          <t>transportation</t>
        </is>
      </c>
      <c r="F389" s="30" t="inlineStr">
        <is>
          <t>miscellaneous</t>
        </is>
      </c>
      <c r="G389" s="30" t="inlineStr">
        <is>
          <t>smallcap</t>
        </is>
      </c>
      <c r="H389" s="31" t="n">
        <v>851.1</v>
      </c>
      <c r="I389" s="31" t="n">
        <v>305</v>
      </c>
      <c r="J389" s="31" t="n">
        <v>2.57</v>
      </c>
      <c r="K389" s="31" t="n">
        <v>156384</v>
      </c>
      <c r="L389" s="30" t="n">
        <v>37</v>
      </c>
      <c r="M389" s="30" t="inlineStr">
        <is>
          <t>Outperforming</t>
        </is>
      </c>
      <c r="N389" s="31">
        <f>IF(M389="Underperforming",-5,IF(L389&gt;=95,15,IF(L389&gt;=90,10,IF(L389&gt;=80,5,0))))</f>
        <v/>
      </c>
      <c r="O389" s="31" t="n">
        <v>63.52</v>
      </c>
      <c r="P389" s="31" t="n">
        <v>37.87</v>
      </c>
      <c r="Q389" s="31" t="inlineStr"/>
      <c r="R389" s="30" t="inlineStr">
        <is>
          <t>Earnings / Momentum Support</t>
        </is>
      </c>
      <c r="S389" s="30" t="inlineStr">
        <is>
          <t>Nifty 50</t>
        </is>
      </c>
      <c r="T389" s="31" t="n">
        <v>0.85</v>
      </c>
      <c r="U389" s="31" t="n">
        <v>3.86</v>
      </c>
      <c r="V389" s="31" t="n">
        <v>2.98</v>
      </c>
      <c r="W389" s="31" t="n">
        <v>5.27</v>
      </c>
      <c r="X389" s="30" t="inlineStr">
        <is>
          <t>Growing Industry</t>
        </is>
      </c>
      <c r="Y389" s="30">
        <f>IF(X389="Growing Industry",10,IF(X389="Cyclical in an Upturn",5,0))</f>
        <v/>
      </c>
      <c r="Z389" s="30" t="inlineStr">
        <is>
          <t>Too Many Players with High ROCE</t>
        </is>
      </c>
      <c r="AA389" s="30">
        <f>IF(Z389="Monopoly",10,IF(Z389="Oligopoly",5,IF(Z389="Duopoly that cooperate",10,IF(Z389="Duopoly that compete",5,IF(Z389="Too many players with High ROCE",5,0)))))</f>
        <v/>
      </c>
      <c r="AB389" s="30" t="inlineStr">
        <is>
          <t>No</t>
        </is>
      </c>
      <c r="AC389" s="30">
        <f>IF(AB389="No",5,0)</f>
        <v/>
      </c>
      <c r="AD389" s="30" t="inlineStr">
        <is>
          <t>Headwind</t>
        </is>
      </c>
      <c r="AE389" s="30">
        <f>IF(AD389="Tailwind",10,0)</f>
        <v/>
      </c>
      <c r="AF389" s="30" t="inlineStr">
        <is>
          <t>Structural (10 Years Consistency)</t>
        </is>
      </c>
      <c r="AG389" s="30">
        <f>IF(AF389="Structural (10 Years Consistency)",10,IF(AF389="Shallow Cyclical (2 to 3 years growth)",5,0))</f>
        <v/>
      </c>
      <c r="AH389" s="30" t="inlineStr">
        <is>
          <t>No</t>
        </is>
      </c>
      <c r="AI389" s="30">
        <f>IF(AH389="Yes due to Product Mix change or Operating Leverage",10,IF(AH389="Yes, these are peak margins",-5,IF(AH389="No",5,0)))</f>
        <v/>
      </c>
      <c r="AJ389" s="30" t="inlineStr">
        <is>
          <t>Stable</t>
        </is>
      </c>
      <c r="AK389" s="30">
        <f>IF(AJ389="Stable",10,0)</f>
        <v/>
      </c>
      <c r="AL389" s="30" t="inlineStr">
        <is>
          <t>Yes</t>
        </is>
      </c>
      <c r="AM389" s="30">
        <f>IF(AL389="Yes",10,0)</f>
        <v/>
      </c>
      <c r="AN389" s="30" t="inlineStr">
        <is>
          <t>B2B</t>
        </is>
      </c>
      <c r="AO389" s="30">
        <f>IF(AN389="B2C",10,IF(AN389="B2B",5,0))</f>
        <v/>
      </c>
      <c r="AP389" s="30" t="inlineStr">
        <is>
          <t>No</t>
        </is>
      </c>
      <c r="AQ389" s="30">
        <f>IF(AP389="Yes",10,0)</f>
        <v/>
      </c>
      <c r="AR389" s="30" t="inlineStr">
        <is>
          <t>Higher One Time, Lower Annuity</t>
        </is>
      </c>
      <c r="AS389" s="30">
        <f>IF(AR389="Fully Annuity",10,IF(AR389="Higher Annuity, Lower One Time",5,IF(AR389="Higher One Time, Lower Annuity",3,0)))</f>
        <v/>
      </c>
      <c r="AT389" s="30" t="inlineStr">
        <is>
          <t>Good</t>
        </is>
      </c>
      <c r="AU389" s="30">
        <f>IF(AT389="Good",10,0)</f>
        <v/>
      </c>
      <c r="AV389" s="30" t="inlineStr">
        <is>
          <t>Yes for more than 2 years</t>
        </is>
      </c>
      <c r="AW389" s="30">
        <f>IF(AV389="Yes for more than 2 years",10,IF(AV389="Yes only for next 1 to 2 years",5,0))</f>
        <v/>
      </c>
      <c r="AX389" s="30" t="inlineStr">
        <is>
          <t>20 to 40</t>
        </is>
      </c>
      <c r="AY389" s="30">
        <f>IF(AX389="Above 40",20,IF(AX389="20 to 40",10,IF(AX389="0 to 20",-5,0)))</f>
        <v/>
      </c>
      <c r="AZ389" s="30" t="inlineStr">
        <is>
          <t>Between 50 to 75</t>
        </is>
      </c>
      <c r="BA389" s="30">
        <f>IF(AZ389="Between 50 to 75",10,IF(AZ389="Above 75",0,0))</f>
        <v/>
      </c>
      <c r="BB389" s="30" t="inlineStr">
        <is>
          <t>Stage 3</t>
        </is>
      </c>
      <c r="BC389" s="30">
        <f>IF(BB389="Stage 2",20,IF(BB389="Stage 1",0,IF(BB389="Stage 3",5,IF(BB389="Stage 4",-5,0))))</f>
        <v/>
      </c>
      <c r="BD389" s="30" t="inlineStr">
        <is>
          <t>Negative Trend</t>
        </is>
      </c>
      <c r="BE389" s="30">
        <f>IF(BD389="Positive Trend",20,IF(BD389="Negative Trend",-10,0))</f>
        <v/>
      </c>
      <c r="BF389" s="30" t="inlineStr">
        <is>
          <t>Uptrend</t>
        </is>
      </c>
      <c r="BG389" s="30">
        <f>IF(BF389="Uptrend",10,IF(BF389="Sideways",5,0))</f>
        <v/>
      </c>
      <c r="BH389" s="30" t="inlineStr">
        <is>
          <t>Uptrend</t>
        </is>
      </c>
      <c r="BI389" s="30">
        <f>IF(BH389="Uptrend",10,IF(BH389="Sideways",5,0))</f>
        <v/>
      </c>
      <c r="BJ389" s="30" t="inlineStr">
        <is>
          <t>Close to 52 week high or retracement</t>
        </is>
      </c>
      <c r="BK389" s="30">
        <f>IF(BJ389="Overhead supply in last 2 years in last 2 years",-5,IF(BJ389="Close to 52 week high or retracement",5,IF(BJ389="Blue sky scenario",10,IF(BJ389="Long term Downtrend",-10,0))))</f>
        <v/>
      </c>
      <c r="BL389" s="30" t="inlineStr">
        <is>
          <t>Yes</t>
        </is>
      </c>
      <c r="BM389" s="30">
        <f>IF(BL389="Yes",10,0)</f>
        <v/>
      </c>
      <c r="BN389" s="30" t="inlineStr">
        <is>
          <t>Less than 12%</t>
        </is>
      </c>
      <c r="BO389" s="30">
        <f>IF(BN389="More than 20%",10,IF(BN389="Between 12 to 20%",5,IF(BN389="Less than 12%",0,0)))</f>
        <v/>
      </c>
      <c r="BP389" s="30" t="inlineStr">
        <is>
          <t>No</t>
        </is>
      </c>
      <c r="BQ389" s="30">
        <f>IF(BP389="No",10,0)</f>
        <v/>
      </c>
      <c r="BR389" s="30" t="inlineStr">
        <is>
          <t>No</t>
        </is>
      </c>
      <c r="BS389" s="30">
        <f>IF(BR389="NO",5,0)</f>
        <v/>
      </c>
      <c r="BT389" s="30" t="inlineStr">
        <is>
          <t>Above 2</t>
        </is>
      </c>
      <c r="BU389" s="30">
        <f>IF(BT389="Above 2",0,IF(BT389="Between 1.5 to 2",5,IF(BT389="Less than 1.5",10,0)))</f>
        <v/>
      </c>
      <c r="BV389" s="30" t="inlineStr">
        <is>
          <t>Negative</t>
        </is>
      </c>
      <c r="BW389" s="30">
        <f>IF(BV389="Above 70%",10,IF(BV389="Between 50% to 70%",5,IF(BV389="Less than 50%",0,IF(BV389="Negative",-10,IF(BV389="Less than 50% and Borrowings are increasing",-5,0)))))</f>
        <v/>
      </c>
      <c r="BX389" s="30" t="inlineStr">
        <is>
          <t>More than 1.2</t>
        </is>
      </c>
      <c r="BY389" s="30">
        <f>IF(BX389="More than 1.2",-10,IF(BX389="Between 0.7 to 1.2",0,IF(BX389="Less than 0.7",10,0)))</f>
        <v/>
      </c>
      <c r="BZ389" s="30" t="inlineStr">
        <is>
          <t>No</t>
        </is>
      </c>
      <c r="CA389" s="30">
        <f>IF(BZ389="Yes",-10,0)</f>
        <v/>
      </c>
      <c r="CB389" s="30" t="inlineStr">
        <is>
          <t>Less than 15%</t>
        </is>
      </c>
      <c r="CC389" s="30">
        <f>IF(CB389="More than 15%",-10,IF(CB389="Less than 15%",10,0))</f>
        <v/>
      </c>
      <c r="CD389" s="30" t="inlineStr">
        <is>
          <t>No</t>
        </is>
      </c>
      <c r="CE389" s="30">
        <f>IF(CD389="Yes, more than 10%",-10,IF(CD389="No",10,0))</f>
        <v/>
      </c>
    </row>
    <row r="390">
      <c r="A390" s="30">
        <f>IF(B390=0,"",RANK(B390,$B$2:$B$400,0))</f>
        <v/>
      </c>
      <c r="B390" s="31">
        <f>SUM(N390,Y390,AA390,AC390,AE390,AG390,AI390,AK390,AM390,AO390,AQ390,AS390,AU390,AW390,AY390,BA390,BC390,BE390,BG390,BI390,BK390,BM390,BO390,BQ390,BS390,BU390,BW390,BY390,CA390,CC390,CE390)</f>
        <v/>
      </c>
      <c r="C390" s="30" t="inlineStr">
        <is>
          <t>JSWENERGY</t>
        </is>
      </c>
      <c r="D390" s="30" t="inlineStr">
        <is>
          <t>Jsw Energy Limited</t>
        </is>
      </c>
      <c r="E390" s="30" t="inlineStr">
        <is>
          <t>power &amp; utilities</t>
        </is>
      </c>
      <c r="F390" s="30" t="inlineStr">
        <is>
          <t>power generation and supply</t>
        </is>
      </c>
      <c r="G390" s="30" t="inlineStr">
        <is>
          <t>largecap</t>
        </is>
      </c>
      <c r="H390" s="31" t="n">
        <v>103481.77</v>
      </c>
      <c r="I390" s="31" t="n">
        <v>578</v>
      </c>
      <c r="J390" s="31" t="n">
        <v>2.41</v>
      </c>
      <c r="K390" s="31" t="n">
        <v>3842353</v>
      </c>
      <c r="L390" s="30" t="n">
        <v>22</v>
      </c>
      <c r="M390" s="30" t="inlineStr">
        <is>
          <t>Outperforming</t>
        </is>
      </c>
      <c r="N390" s="31">
        <f>IF(M390="Underperforming",-5,IF(L390&gt;=95,15,IF(L390&gt;=90,10,IF(L390&gt;=80,5,0))))</f>
        <v/>
      </c>
      <c r="O390" s="31" t="n">
        <v>56.2</v>
      </c>
      <c r="P390" s="31" t="n">
        <v>9.49</v>
      </c>
      <c r="Q390" s="31" t="inlineStr"/>
      <c r="R390" s="30" t="inlineStr">
        <is>
          <t>Earnings / Momentum Support</t>
        </is>
      </c>
      <c r="S390" s="30" t="inlineStr">
        <is>
          <t>Nifty IT</t>
        </is>
      </c>
      <c r="T390" s="31" t="n">
        <v>-8.289999999999999</v>
      </c>
      <c r="U390" s="31" t="n">
        <v>9.26</v>
      </c>
      <c r="V390" s="31" t="n">
        <v>19.14</v>
      </c>
      <c r="W390" s="31" t="n">
        <v>2.06</v>
      </c>
      <c r="X390" s="30" t="inlineStr">
        <is>
          <t>Growing Industry</t>
        </is>
      </c>
      <c r="Y390" s="30">
        <f>IF(X390="Growing Industry",10,IF(X390="Cyclical in an Upturn",5,0))</f>
        <v/>
      </c>
      <c r="Z390" s="30" t="inlineStr">
        <is>
          <t>Too Many Players with High ROCE</t>
        </is>
      </c>
      <c r="AA390" s="30">
        <f>IF(Z390="Monopoly",10,IF(Z390="Oligopoly",5,IF(Z390="Duopoly that cooperate",10,IF(Z390="Duopoly that compete",5,IF(Z390="Too many players with High ROCE",5,0)))))</f>
        <v/>
      </c>
      <c r="AB390" s="30" t="inlineStr">
        <is>
          <t>No</t>
        </is>
      </c>
      <c r="AC390" s="30">
        <f>IF(AB390="No",5,0)</f>
        <v/>
      </c>
      <c r="AD390" s="30" t="inlineStr">
        <is>
          <t>Headwind</t>
        </is>
      </c>
      <c r="AE390" s="30">
        <f>IF(AD390="Tailwind",10,0)</f>
        <v/>
      </c>
      <c r="AF390" s="30" t="inlineStr">
        <is>
          <t>Structural (10 Years Consistency)</t>
        </is>
      </c>
      <c r="AG390" s="30">
        <f>IF(AF390="Structural (10 Years Consistency)",10,IF(AF390="Shallow Cyclical (2 to 3 years growth)",5,0))</f>
        <v/>
      </c>
      <c r="AH390" s="30" t="inlineStr">
        <is>
          <t>No</t>
        </is>
      </c>
      <c r="AI390" s="30">
        <f>IF(AH390="Yes due to Product Mix change or Operating Leverage",10,IF(AH390="Yes, these are peak margins",-5,IF(AH390="No",5,0)))</f>
        <v/>
      </c>
      <c r="AJ390" s="30" t="inlineStr">
        <is>
          <t>Stable</t>
        </is>
      </c>
      <c r="AK390" s="30">
        <f>IF(AJ390="Stable",10,0)</f>
        <v/>
      </c>
      <c r="AL390" s="30" t="inlineStr">
        <is>
          <t>Yes</t>
        </is>
      </c>
      <c r="AM390" s="30">
        <f>IF(AL390="Yes",10,0)</f>
        <v/>
      </c>
      <c r="AN390" s="30" t="inlineStr">
        <is>
          <t>B2B</t>
        </is>
      </c>
      <c r="AO390" s="30">
        <f>IF(AN390="B2C",10,IF(AN390="B2B",5,0))</f>
        <v/>
      </c>
      <c r="AP390" s="30" t="inlineStr">
        <is>
          <t>No</t>
        </is>
      </c>
      <c r="AQ390" s="30">
        <f>IF(AP390="Yes",10,0)</f>
        <v/>
      </c>
      <c r="AR390" s="30" t="inlineStr">
        <is>
          <t>Higher One Time, Lower Annuity</t>
        </is>
      </c>
      <c r="AS390" s="30">
        <f>IF(AR390="Fully Annuity",10,IF(AR390="Higher Annuity, Lower One Time",5,IF(AR390="Higher One Time, Lower Annuity",3,0)))</f>
        <v/>
      </c>
      <c r="AT390" s="30" t="inlineStr">
        <is>
          <t>Good</t>
        </is>
      </c>
      <c r="AU390" s="30">
        <f>IF(AT390="Good",10,0)</f>
        <v/>
      </c>
      <c r="AV390" s="30" t="inlineStr">
        <is>
          <t>Yes for more than 2 years</t>
        </is>
      </c>
      <c r="AW390" s="30">
        <f>IF(AV390="Yes for more than 2 years",10,IF(AV390="Yes only for next 1 to 2 years",5,0))</f>
        <v/>
      </c>
      <c r="AX390" s="30" t="inlineStr">
        <is>
          <t>0 to 20</t>
        </is>
      </c>
      <c r="AY390" s="30">
        <f>IF(AX390="Above 40",20,IF(AX390="20 to 40",10,IF(AX390="0 to 20",-5,0)))</f>
        <v/>
      </c>
      <c r="AZ390" s="30" t="inlineStr">
        <is>
          <t>Between 50 to 75</t>
        </is>
      </c>
      <c r="BA390" s="30">
        <f>IF(AZ390="Between 50 to 75",10,IF(AZ390="Above 75",0,0))</f>
        <v/>
      </c>
      <c r="BB390" s="30" t="inlineStr">
        <is>
          <t>Stage 3</t>
        </is>
      </c>
      <c r="BC390" s="30">
        <f>IF(BB390="Stage 2",20,IF(BB390="Stage 1",0,IF(BB390="Stage 3",5,IF(BB390="Stage 4",-5,0))))</f>
        <v/>
      </c>
      <c r="BD390" s="30" t="inlineStr">
        <is>
          <t>Negative Trend</t>
        </is>
      </c>
      <c r="BE390" s="30">
        <f>IF(BD390="Positive Trend",20,IF(BD390="Negative Trend",-10,0))</f>
        <v/>
      </c>
      <c r="BF390" s="30" t="inlineStr">
        <is>
          <t>Uptrend</t>
        </is>
      </c>
      <c r="BG390" s="30">
        <f>IF(BF390="Uptrend",10,IF(BF390="Sideways",5,0))</f>
        <v/>
      </c>
      <c r="BH390" s="30" t="inlineStr">
        <is>
          <t>Uptrend</t>
        </is>
      </c>
      <c r="BI390" s="30">
        <f>IF(BH390="Uptrend",10,IF(BH390="Sideways",5,0))</f>
        <v/>
      </c>
      <c r="BJ390" s="30" t="inlineStr">
        <is>
          <t>Close to 52 week high or retracement</t>
        </is>
      </c>
      <c r="BK390" s="30">
        <f>IF(BJ390="Overhead supply in last 2 years in last 2 years",-5,IF(BJ390="Close to 52 week high or retracement",5,IF(BJ390="Blue sky scenario",10,IF(BJ390="Long term Downtrend",-10,0))))</f>
        <v/>
      </c>
      <c r="BL390" s="30" t="inlineStr">
        <is>
          <t>Yes</t>
        </is>
      </c>
      <c r="BM390" s="30">
        <f>IF(BL390="Yes",10,0)</f>
        <v/>
      </c>
      <c r="BN390" s="30" t="inlineStr">
        <is>
          <t>Less than 12%</t>
        </is>
      </c>
      <c r="BO390" s="30">
        <f>IF(BN390="More than 20%",10,IF(BN390="Between 12 to 20%",5,IF(BN390="Less than 12%",0,0)))</f>
        <v/>
      </c>
      <c r="BP390" s="30" t="inlineStr">
        <is>
          <t>No</t>
        </is>
      </c>
      <c r="BQ390" s="30">
        <f>IF(BP390="No",10,0)</f>
        <v/>
      </c>
      <c r="BR390" s="30" t="inlineStr">
        <is>
          <t>Yes</t>
        </is>
      </c>
      <c r="BS390" s="30">
        <f>IF(BR390="NO",5,0)</f>
        <v/>
      </c>
      <c r="BT390" s="30" t="inlineStr">
        <is>
          <t>Above 2</t>
        </is>
      </c>
      <c r="BU390" s="30">
        <f>IF(BT390="Above 2",0,IF(BT390="Between 1.5 to 2",5,IF(BT390="Less than 1.5",10,0)))</f>
        <v/>
      </c>
      <c r="BV390" s="30" t="inlineStr">
        <is>
          <t>Above 70%</t>
        </is>
      </c>
      <c r="BW390" s="30">
        <f>IF(BV390="Above 70%",10,IF(BV390="Between 50% to 70%",5,IF(BV390="Less than 50%",0,IF(BV390="Negative",-10,IF(BV390="Less than 50% and Borrowings are increasing",-5,0)))))</f>
        <v/>
      </c>
      <c r="BX390" s="30" t="inlineStr">
        <is>
          <t>More than 1.2</t>
        </is>
      </c>
      <c r="BY390" s="30">
        <f>IF(BX390="More than 1.2",-10,IF(BX390="Between 0.7 to 1.2",0,IF(BX390="Less than 0.7",10,0)))</f>
        <v/>
      </c>
      <c r="BZ390" s="30" t="inlineStr">
        <is>
          <t>No</t>
        </is>
      </c>
      <c r="CA390" s="30">
        <f>IF(BZ390="Yes",-10,0)</f>
        <v/>
      </c>
      <c r="CB390" s="30" t="inlineStr">
        <is>
          <t>Less than 15%</t>
        </is>
      </c>
      <c r="CC390" s="30">
        <f>IF(CB390="More than 15%",-10,IF(CB390="Less than 15%",10,0))</f>
        <v/>
      </c>
      <c r="CD390" s="30" t="inlineStr">
        <is>
          <t>No</t>
        </is>
      </c>
      <c r="CE390" s="30">
        <f>IF(CD390="Yes, more than 10%",-10,IF(CD390="No",10,0))</f>
        <v/>
      </c>
    </row>
    <row r="391">
      <c r="A391" s="30">
        <f>IF(B391=0,"",RANK(B391,$B$2:$B$400,0))</f>
        <v/>
      </c>
      <c r="B391" s="31">
        <f>SUM(N391,Y391,AA391,AC391,AE391,AG391,AI391,AK391,AM391,AO391,AQ391,AS391,AU391,AW391,AY391,BA391,BC391,BE391,BG391,BI391,BK391,BM391,BO391,BQ391,BS391,BU391,BW391,BY391,CA391,CC391,CE391)</f>
        <v/>
      </c>
      <c r="C391" s="32" t="inlineStr">
        <is>
          <t>OIL</t>
        </is>
      </c>
      <c r="D391" s="32" t="inlineStr">
        <is>
          <t>Oil India Limited</t>
        </is>
      </c>
      <c r="E391" s="30" t="inlineStr">
        <is>
          <t>energy</t>
        </is>
      </c>
      <c r="F391" s="30" t="inlineStr">
        <is>
          <t>oil drilling / allied services</t>
        </is>
      </c>
      <c r="G391" s="30" t="inlineStr">
        <is>
          <t>largecap</t>
        </is>
      </c>
      <c r="H391" s="31" t="n">
        <v>72026.19</v>
      </c>
      <c r="I391" s="31" t="n">
        <v>453</v>
      </c>
      <c r="J391" s="31" t="n">
        <v>2.3</v>
      </c>
      <c r="K391" s="31" t="n">
        <v>16730550</v>
      </c>
      <c r="L391" s="30" t="n">
        <v>9</v>
      </c>
      <c r="M391" s="30" t="inlineStr">
        <is>
          <t>Underperforming</t>
        </is>
      </c>
      <c r="N391" s="31">
        <f>IF(M391="Underperforming",-5,IF(L391&gt;=95,15,IF(L391&gt;=90,10,IF(L391&gt;=80,5,0))))</f>
        <v/>
      </c>
      <c r="O391" s="31" t="n">
        <v>48.39</v>
      </c>
      <c r="P391" s="31" t="n">
        <v>15.52</v>
      </c>
      <c r="Q391" s="31" t="inlineStr"/>
      <c r="R391" s="30" t="inlineStr">
        <is>
          <t>Earnings / Momentum Support</t>
        </is>
      </c>
      <c r="S391" s="30" t="inlineStr">
        <is>
          <t>Nifty Energy</t>
        </is>
      </c>
      <c r="T391" s="31" t="n">
        <v>8.41</v>
      </c>
      <c r="U391" s="31" t="n">
        <v>-0.15</v>
      </c>
      <c r="V391" s="31" t="n">
        <v>-7.89</v>
      </c>
      <c r="W391" s="31" t="n">
        <v>-1.23</v>
      </c>
      <c r="X391" s="30" t="inlineStr">
        <is>
          <t>Cyclical in an Upturn</t>
        </is>
      </c>
      <c r="Y391" s="30">
        <f>IF(X391="Growing Industry",10,IF(X391="Cyclical in an Upturn",5,0))</f>
        <v/>
      </c>
      <c r="Z391" s="30" t="inlineStr">
        <is>
          <t>Oligopoly</t>
        </is>
      </c>
      <c r="AA391" s="30">
        <f>IF(Z391="Monopoly",10,IF(Z391="Oligopoly",5,IF(Z391="Duopoly that cooperate",10,IF(Z391="Duopoly that compete",5,IF(Z391="Too many players with High ROCE",5,0)))))</f>
        <v/>
      </c>
      <c r="AB391" s="30" t="inlineStr">
        <is>
          <t>Yes</t>
        </is>
      </c>
      <c r="AC391" s="30">
        <f>IF(AB391="No",5,0)</f>
        <v/>
      </c>
      <c r="AD391" s="30" t="inlineStr">
        <is>
          <t>Headwind</t>
        </is>
      </c>
      <c r="AE391" s="30">
        <f>IF(AD391="Tailwind",10,0)</f>
        <v/>
      </c>
      <c r="AF391" s="30" t="inlineStr">
        <is>
          <t>Cyclical</t>
        </is>
      </c>
      <c r="AG391" s="30">
        <f>IF(AF391="Structural (10 Years Consistency)",10,IF(AF391="Shallow Cyclical (2 to 3 years growth)",5,0))</f>
        <v/>
      </c>
      <c r="AH391" s="30" t="inlineStr">
        <is>
          <t>No</t>
        </is>
      </c>
      <c r="AI391" s="30">
        <f>IF(AH391="Yes due to Product Mix change or Operating Leverage",10,IF(AH391="Yes, these are peak margins",-5,IF(AH391="No",5,0)))</f>
        <v/>
      </c>
      <c r="AJ391" s="30" t="inlineStr">
        <is>
          <t>Volatile</t>
        </is>
      </c>
      <c r="AK391" s="30">
        <f>IF(AJ391="Stable",10,0)</f>
        <v/>
      </c>
      <c r="AL391" s="30" t="inlineStr">
        <is>
          <t>Yes</t>
        </is>
      </c>
      <c r="AM391" s="30">
        <f>IF(AL391="Yes",10,0)</f>
        <v/>
      </c>
      <c r="AN391" s="30" t="inlineStr">
        <is>
          <t>B2B</t>
        </is>
      </c>
      <c r="AO391" s="30">
        <f>IF(AN391="B2C",10,IF(AN391="B2B",5,0))</f>
        <v/>
      </c>
      <c r="AP391" s="30" t="inlineStr">
        <is>
          <t>No</t>
        </is>
      </c>
      <c r="AQ391" s="30">
        <f>IF(AP391="Yes",10,0)</f>
        <v/>
      </c>
      <c r="AR391" s="30" t="inlineStr">
        <is>
          <t>Higher One Time, Lower Annuity</t>
        </is>
      </c>
      <c r="AS391" s="30">
        <f>IF(AR391="Fully Annuity",10,IF(AR391="Higher Annuity, Lower One Time",5,IF(AR391="Higher One Time, Lower Annuity",3,0)))</f>
        <v/>
      </c>
      <c r="AT391" s="30" t="inlineStr">
        <is>
          <t>Good</t>
        </is>
      </c>
      <c r="AU391" s="30">
        <f>IF(AT391="Good",10,0)</f>
        <v/>
      </c>
      <c r="AV391" s="30" t="inlineStr">
        <is>
          <t>Yes for more than 2 years</t>
        </is>
      </c>
      <c r="AW391" s="30">
        <f>IF(AV391="Yes for more than 2 years",10,IF(AV391="Yes only for next 1 to 2 years",5,0))</f>
        <v/>
      </c>
      <c r="AX391" s="30" t="inlineStr">
        <is>
          <t>0 to 20</t>
        </is>
      </c>
      <c r="AY391" s="30">
        <f>IF(AX391="Above 40",20,IF(AX391="20 to 40",10,IF(AX391="0 to 20",-5,0)))</f>
        <v/>
      </c>
      <c r="AZ391" s="30" t="inlineStr">
        <is>
          <t>Below 45</t>
        </is>
      </c>
      <c r="BA391" s="30">
        <f>IF(AZ391="Between 50 to 75",10,IF(AZ391="Above 75",0,0))</f>
        <v/>
      </c>
      <c r="BB391" s="30" t="inlineStr">
        <is>
          <t>Stage 3</t>
        </is>
      </c>
      <c r="BC391" s="30">
        <f>IF(BB391="Stage 2",20,IF(BB391="Stage 1",0,IF(BB391="Stage 3",5,IF(BB391="Stage 4",-5,0))))</f>
        <v/>
      </c>
      <c r="BD391" s="30" t="inlineStr">
        <is>
          <t>Negative Trend</t>
        </is>
      </c>
      <c r="BE391" s="30">
        <f>IF(BD391="Positive Trend",20,IF(BD391="Negative Trend",-10,0))</f>
        <v/>
      </c>
      <c r="BF391" s="30" t="inlineStr">
        <is>
          <t>Uptrend</t>
        </is>
      </c>
      <c r="BG391" s="30">
        <f>IF(BF391="Uptrend",10,IF(BF391="Sideways",5,0))</f>
        <v/>
      </c>
      <c r="BH391" s="30" t="inlineStr">
        <is>
          <t>Uptrend</t>
        </is>
      </c>
      <c r="BI391" s="30">
        <f>IF(BH391="Uptrend",10,IF(BH391="Sideways",5,0))</f>
        <v/>
      </c>
      <c r="BJ391" s="30" t="inlineStr">
        <is>
          <t>Close to 52 week high or retracement</t>
        </is>
      </c>
      <c r="BK391" s="30">
        <f>IF(BJ391="Overhead supply in last 2 years in last 2 years",-5,IF(BJ391="Close to 52 week high or retracement",5,IF(BJ391="Blue sky scenario",10,IF(BJ391="Long term Downtrend",-10,0))))</f>
        <v/>
      </c>
      <c r="BL391" s="30" t="inlineStr">
        <is>
          <t>Yes</t>
        </is>
      </c>
      <c r="BM391" s="30">
        <f>IF(BL391="Yes",10,0)</f>
        <v/>
      </c>
      <c r="BN391" s="30" t="inlineStr">
        <is>
          <t>More than 20%</t>
        </is>
      </c>
      <c r="BO391" s="30">
        <f>IF(BN391="More than 20%",10,IF(BN391="Between 12 to 20%",5,IF(BN391="Less than 12%",0,0)))</f>
        <v/>
      </c>
      <c r="BP391" s="30" t="inlineStr">
        <is>
          <t>No</t>
        </is>
      </c>
      <c r="BQ391" s="30">
        <f>IF(BP391="No",10,0)</f>
        <v/>
      </c>
      <c r="BR391" s="30" t="inlineStr">
        <is>
          <t>No</t>
        </is>
      </c>
      <c r="BS391" s="30">
        <f>IF(BR391="NO",5,0)</f>
        <v/>
      </c>
      <c r="BT391" s="30" t="inlineStr">
        <is>
          <t>Less than 1.5</t>
        </is>
      </c>
      <c r="BU391" s="30">
        <f>IF(BT391="Above 2",0,IF(BT391="Between 1.5 to 2",5,IF(BT391="Less than 1.5",10,0)))</f>
        <v/>
      </c>
      <c r="BV391" s="30" t="inlineStr">
        <is>
          <t>Above 70%</t>
        </is>
      </c>
      <c r="BW391" s="30">
        <f>IF(BV391="Above 70%",10,IF(BV391="Between 50% to 70%",5,IF(BV391="Less than 50%",0,IF(BV391="Negative",-10,IF(BV391="Less than 50% and Borrowings are increasing",-5,0)))))</f>
        <v/>
      </c>
      <c r="BX391" s="30" t="inlineStr">
        <is>
          <t>Less than 0.7</t>
        </is>
      </c>
      <c r="BY391" s="30">
        <f>IF(BX391="More than 1.2",-10,IF(BX391="Between 0.7 to 1.2",0,IF(BX391="Less than 0.7",10,0)))</f>
        <v/>
      </c>
      <c r="BZ391" s="30" t="inlineStr">
        <is>
          <t>No</t>
        </is>
      </c>
      <c r="CA391" s="30">
        <f>IF(BZ391="Yes",-10,0)</f>
        <v/>
      </c>
      <c r="CB391" s="30" t="inlineStr">
        <is>
          <t>Less than 15%</t>
        </is>
      </c>
      <c r="CC391" s="30">
        <f>IF(CB391="More than 15%",-10,IF(CB391="Less than 15%",10,0))</f>
        <v/>
      </c>
      <c r="CD391" s="30" t="inlineStr">
        <is>
          <t>No</t>
        </is>
      </c>
      <c r="CE391" s="30">
        <f>IF(CD391="Yes, more than 10%",-10,IF(CD391="No",10,0))</f>
        <v/>
      </c>
    </row>
    <row r="392">
      <c r="A392" s="30">
        <f>IF(B392=0,"",RANK(B392,$B$2:$B$400,0))</f>
        <v/>
      </c>
      <c r="B392" s="31">
        <f>SUM(N392,Y392,AA392,AC392,AE392,AG392,AI392,AK392,AM392,AO392,AQ392,AS392,AU392,AW392,AY392,BA392,BC392,BE392,BG392,BI392,BK392,BM392,BO392,BQ392,BS392,BU392,BW392,BY392,CA392,CC392,CE392)</f>
        <v/>
      </c>
      <c r="C392" s="32" t="inlineStr">
        <is>
          <t>INDIGO</t>
        </is>
      </c>
      <c r="D392" s="32" t="inlineStr">
        <is>
          <t>Interglobe Aviation Limited</t>
        </is>
      </c>
      <c r="E392" s="30" t="inlineStr">
        <is>
          <t>transportation</t>
        </is>
      </c>
      <c r="F392" s="30" t="inlineStr">
        <is>
          <t>transport - airlines</t>
        </is>
      </c>
      <c r="G392" s="30" t="inlineStr">
        <is>
          <t>largecap</t>
        </is>
      </c>
      <c r="H392" s="31" t="n">
        <v>206204.44</v>
      </c>
      <c r="I392" s="31" t="n">
        <v>5333.5</v>
      </c>
      <c r="J392" s="31" t="n">
        <v>0.01</v>
      </c>
      <c r="K392" s="31" t="n">
        <v>693245</v>
      </c>
      <c r="L392" s="30" t="n">
        <v>25</v>
      </c>
      <c r="M392" s="30" t="inlineStr">
        <is>
          <t>Underperforming</t>
        </is>
      </c>
      <c r="N392" s="31">
        <f>IF(M392="Underperforming",-5,IF(L392&gt;=95,15,IF(L392&gt;=90,10,IF(L392&gt;=80,5,0))))</f>
        <v/>
      </c>
      <c r="O392" s="31" t="n">
        <v>59.32</v>
      </c>
      <c r="P392" s="31" t="n">
        <v>16.58</v>
      </c>
      <c r="Q392" s="31" t="inlineStr"/>
      <c r="R392" s="30" t="inlineStr">
        <is>
          <t>Earnings / Momentum Support</t>
        </is>
      </c>
      <c r="S392" s="30" t="inlineStr">
        <is>
          <t>Nifty 50</t>
        </is>
      </c>
      <c r="T392" s="31" t="n">
        <v>0.85</v>
      </c>
      <c r="U392" s="31" t="n">
        <v>-7.41</v>
      </c>
      <c r="V392" s="31" t="n">
        <v>-8.19</v>
      </c>
      <c r="W392" s="31" t="n">
        <v>2.56</v>
      </c>
      <c r="X392" s="30" t="inlineStr">
        <is>
          <t>Growing Industry</t>
        </is>
      </c>
      <c r="Y392" s="30">
        <f>IF(X392="Growing Industry",10,IF(X392="Cyclical in an Upturn",5,0))</f>
        <v/>
      </c>
      <c r="Z392" s="30" t="inlineStr">
        <is>
          <t>Too Many Players with High ROCE</t>
        </is>
      </c>
      <c r="AA392" s="30">
        <f>IF(Z392="Monopoly",10,IF(Z392="Oligopoly",5,IF(Z392="Duopoly that cooperate",10,IF(Z392="Duopoly that compete",5,IF(Z392="Too many players with High ROCE",5,0)))))</f>
        <v/>
      </c>
      <c r="AB392" s="30" t="inlineStr">
        <is>
          <t>No</t>
        </is>
      </c>
      <c r="AC392" s="30">
        <f>IF(AB392="No",5,0)</f>
        <v/>
      </c>
      <c r="AD392" s="30" t="inlineStr">
        <is>
          <t>Headwind</t>
        </is>
      </c>
      <c r="AE392" s="30">
        <f>IF(AD392="Tailwind",10,0)</f>
        <v/>
      </c>
      <c r="AF392" s="30" t="inlineStr">
        <is>
          <t>Structural (10 Years Consistency)</t>
        </is>
      </c>
      <c r="AG392" s="30">
        <f>IF(AF392="Structural (10 Years Consistency)",10,IF(AF392="Shallow Cyclical (2 to 3 years growth)",5,0))</f>
        <v/>
      </c>
      <c r="AH392" s="30" t="inlineStr">
        <is>
          <t>No</t>
        </is>
      </c>
      <c r="AI392" s="30">
        <f>IF(AH392="Yes due to Product Mix change or Operating Leverage",10,IF(AH392="Yes, these are peak margins",-5,IF(AH392="No",5,0)))</f>
        <v/>
      </c>
      <c r="AJ392" s="30" t="inlineStr">
        <is>
          <t>Stable</t>
        </is>
      </c>
      <c r="AK392" s="30">
        <f>IF(AJ392="Stable",10,0)</f>
        <v/>
      </c>
      <c r="AL392" s="30" t="inlineStr">
        <is>
          <t>Yes</t>
        </is>
      </c>
      <c r="AM392" s="30">
        <f>IF(AL392="Yes",10,0)</f>
        <v/>
      </c>
      <c r="AN392" s="30" t="inlineStr">
        <is>
          <t>B2B</t>
        </is>
      </c>
      <c r="AO392" s="30">
        <f>IF(AN392="B2C",10,IF(AN392="B2B",5,0))</f>
        <v/>
      </c>
      <c r="AP392" s="30" t="inlineStr">
        <is>
          <t>No</t>
        </is>
      </c>
      <c r="AQ392" s="30">
        <f>IF(AP392="Yes",10,0)</f>
        <v/>
      </c>
      <c r="AR392" s="30" t="inlineStr">
        <is>
          <t>Higher One Time, Lower Annuity</t>
        </is>
      </c>
      <c r="AS392" s="30">
        <f>IF(AR392="Fully Annuity",10,IF(AR392="Higher Annuity, Lower One Time",5,IF(AR392="Higher One Time, Lower Annuity",3,0)))</f>
        <v/>
      </c>
      <c r="AT392" s="30" t="inlineStr">
        <is>
          <t>Good</t>
        </is>
      </c>
      <c r="AU392" s="30">
        <f>IF(AT392="Good",10,0)</f>
        <v/>
      </c>
      <c r="AV392" s="30" t="inlineStr">
        <is>
          <t>Yes for more than 2 years</t>
        </is>
      </c>
      <c r="AW392" s="30">
        <f>IF(AV392="Yes for more than 2 years",10,IF(AV392="Yes only for next 1 to 2 years",5,0))</f>
        <v/>
      </c>
      <c r="AX392" s="30" t="inlineStr">
        <is>
          <t>0 to 20</t>
        </is>
      </c>
      <c r="AY392" s="30">
        <f>IF(AX392="Above 40",20,IF(AX392="20 to 40",10,IF(AX392="0 to 20",-5,0)))</f>
        <v/>
      </c>
      <c r="AZ392" s="30" t="inlineStr">
        <is>
          <t>Between 50 to 75</t>
        </is>
      </c>
      <c r="BA392" s="30">
        <f>IF(AZ392="Between 50 to 75",10,IF(AZ392="Above 75",0,0))</f>
        <v/>
      </c>
      <c r="BB392" s="30" t="inlineStr">
        <is>
          <t>Stage 3</t>
        </is>
      </c>
      <c r="BC392" s="30">
        <f>IF(BB392="Stage 2",20,IF(BB392="Stage 1",0,IF(BB392="Stage 3",5,IF(BB392="Stage 4",-5,0))))</f>
        <v/>
      </c>
      <c r="BD392" s="30" t="inlineStr">
        <is>
          <t>Negative Trend</t>
        </is>
      </c>
      <c r="BE392" s="30">
        <f>IF(BD392="Positive Trend",20,IF(BD392="Negative Trend",-10,0))</f>
        <v/>
      </c>
      <c r="BF392" s="30" t="inlineStr">
        <is>
          <t>Uptrend</t>
        </is>
      </c>
      <c r="BG392" s="30">
        <f>IF(BF392="Uptrend",10,IF(BF392="Sideways",5,0))</f>
        <v/>
      </c>
      <c r="BH392" s="30" t="inlineStr">
        <is>
          <t>Uptrend</t>
        </is>
      </c>
      <c r="BI392" s="30">
        <f>IF(BH392="Uptrend",10,IF(BH392="Sideways",5,0))</f>
        <v/>
      </c>
      <c r="BJ392" s="30" t="inlineStr">
        <is>
          <t>Close to 52 week high or retracement</t>
        </is>
      </c>
      <c r="BK392" s="30">
        <f>IF(BJ392="Overhead supply in last 2 years in last 2 years",-5,IF(BJ392="Close to 52 week high or retracement",5,IF(BJ392="Blue sky scenario",10,IF(BJ392="Long term Downtrend",-10,0))))</f>
        <v/>
      </c>
      <c r="BL392" s="30" t="inlineStr">
        <is>
          <t>Yes</t>
        </is>
      </c>
      <c r="BM392" s="30">
        <f>IF(BL392="Yes",10,0)</f>
        <v/>
      </c>
      <c r="BN392" s="30" t="inlineStr">
        <is>
          <t>Less than 12%</t>
        </is>
      </c>
      <c r="BO392" s="30">
        <f>IF(BN392="More than 20%",10,IF(BN392="Between 12 to 20%",5,IF(BN392="Less than 12%",0,0)))</f>
        <v/>
      </c>
      <c r="BP392" s="30" t="inlineStr">
        <is>
          <t>No</t>
        </is>
      </c>
      <c r="BQ392" s="30">
        <f>IF(BP392="No",10,0)</f>
        <v/>
      </c>
      <c r="BR392" s="30" t="inlineStr">
        <is>
          <t>No</t>
        </is>
      </c>
      <c r="BS392" s="30">
        <f>IF(BR392="NO",5,0)</f>
        <v/>
      </c>
      <c r="BT392" s="30" t="inlineStr">
        <is>
          <t>Above 2</t>
        </is>
      </c>
      <c r="BU392" s="30">
        <f>IF(BT392="Above 2",0,IF(BT392="Between 1.5 to 2",5,IF(BT392="Less than 1.5",10,0)))</f>
        <v/>
      </c>
      <c r="BV392" s="30" t="inlineStr">
        <is>
          <t>Above 70%</t>
        </is>
      </c>
      <c r="BW392" s="30">
        <f>IF(BV392="Above 70%",10,IF(BV392="Between 50% to 70%",5,IF(BV392="Less than 50%",0,IF(BV392="Negative",-10,IF(BV392="Less than 50% and Borrowings are increasing",-5,0)))))</f>
        <v/>
      </c>
      <c r="BX392" s="30" t="inlineStr">
        <is>
          <t>More than 1.2</t>
        </is>
      </c>
      <c r="BY392" s="30">
        <f>IF(BX392="More than 1.2",-10,IF(BX392="Between 0.7 to 1.2",0,IF(BX392="Less than 0.7",10,0)))</f>
        <v/>
      </c>
      <c r="BZ392" s="30" t="inlineStr">
        <is>
          <t>No</t>
        </is>
      </c>
      <c r="CA392" s="30">
        <f>IF(BZ392="Yes",-10,0)</f>
        <v/>
      </c>
      <c r="CB392" s="30" t="inlineStr">
        <is>
          <t>Less than 15%</t>
        </is>
      </c>
      <c r="CC392" s="30">
        <f>IF(CB392="More than 15%",-10,IF(CB392="Less than 15%",10,0))</f>
        <v/>
      </c>
      <c r="CD392" s="30" t="inlineStr">
        <is>
          <t>No</t>
        </is>
      </c>
      <c r="CE392" s="30">
        <f>IF(CD392="Yes, more than 10%",-10,IF(CD392="No",10,0))</f>
        <v/>
      </c>
    </row>
    <row r="393">
      <c r="A393" s="30">
        <f>IF(B393=0,"",RANK(B393,$B$2:$B$400,0))</f>
        <v/>
      </c>
      <c r="B393" s="31">
        <f>SUM(N393,Y393,AA393,AC393,AE393,AG393,AI393,AK393,AM393,AO393,AQ393,AS393,AU393,AW393,AY393,BA393,BC393,BE393,BG393,BI393,BK393,BM393,BO393,BQ393,BS393,BU393,BW393,BY393,CA393,CC393,CE393)</f>
        <v/>
      </c>
      <c r="C393" s="32" t="inlineStr">
        <is>
          <t>MAMATA</t>
        </is>
      </c>
      <c r="D393" s="32" t="inlineStr">
        <is>
          <t>Mamata Machinery Ltd</t>
        </is>
      </c>
      <c r="E393" s="30" t="inlineStr">
        <is>
          <t>industrials</t>
        </is>
      </c>
      <c r="F393" s="30" t="inlineStr">
        <is>
          <t>engineering</t>
        </is>
      </c>
      <c r="G393" s="30" t="inlineStr">
        <is>
          <t>smallcap</t>
        </is>
      </c>
      <c r="H393" s="31" t="n">
        <v>1053.71</v>
      </c>
      <c r="I393" s="31" t="n">
        <v>425</v>
      </c>
      <c r="J393" s="31" t="n">
        <v>-0.75</v>
      </c>
      <c r="K393" s="31" t="n">
        <v>67290</v>
      </c>
      <c r="L393" s="30" t="n">
        <v>10</v>
      </c>
      <c r="M393" s="30" t="inlineStr">
        <is>
          <t>Underperforming</t>
        </is>
      </c>
      <c r="N393" s="31">
        <f>IF(M393="Underperforming",-5,IF(L393&gt;=95,15,IF(L393&gt;=90,10,IF(L393&gt;=80,5,0))))</f>
        <v/>
      </c>
      <c r="O393" s="31" t="n">
        <v>56.04</v>
      </c>
      <c r="P393" s="31" t="n">
        <v>6.86</v>
      </c>
      <c r="Q393" s="31" t="inlineStr"/>
      <c r="R393" s="30" t="inlineStr">
        <is>
          <t>Earnings / Momentum Support</t>
        </is>
      </c>
      <c r="S393" s="30" t="inlineStr">
        <is>
          <t>Nifty 50</t>
        </is>
      </c>
      <c r="T393" s="31" t="n">
        <v>0.85</v>
      </c>
      <c r="U393" s="31" t="n">
        <v>-6.69</v>
      </c>
      <c r="V393" s="31" t="n">
        <v>-7.48</v>
      </c>
      <c r="W393" s="31" t="n">
        <v>-1.04</v>
      </c>
      <c r="X393" s="30" t="inlineStr">
        <is>
          <t>Cyclical in an Upturn</t>
        </is>
      </c>
      <c r="Y393" s="30">
        <f>IF(X393="Growing Industry",10,IF(X393="Cyclical in an Upturn",5,0))</f>
        <v/>
      </c>
      <c r="Z393" s="30" t="inlineStr">
        <is>
          <t>Too Many Players with High ROCE</t>
        </is>
      </c>
      <c r="AA393" s="30">
        <f>IF(Z393="Monopoly",10,IF(Z393="Oligopoly",5,IF(Z393="Duopoly that cooperate",10,IF(Z393="Duopoly that compete",5,IF(Z393="Too many players with High ROCE",5,0)))))</f>
        <v/>
      </c>
      <c r="AB393" s="30" t="inlineStr">
        <is>
          <t>No</t>
        </is>
      </c>
      <c r="AC393" s="30">
        <f>IF(AB393="No",5,0)</f>
        <v/>
      </c>
      <c r="AD393" s="30" t="inlineStr">
        <is>
          <t>Headwind</t>
        </is>
      </c>
      <c r="AE393" s="30">
        <f>IF(AD393="Tailwind",10,0)</f>
        <v/>
      </c>
      <c r="AF393" s="30" t="inlineStr">
        <is>
          <t>Structural (10 Years Consistency)</t>
        </is>
      </c>
      <c r="AG393" s="30">
        <f>IF(AF393="Structural (10 Years Consistency)",10,IF(AF393="Shallow Cyclical (2 to 3 years growth)",5,0))</f>
        <v/>
      </c>
      <c r="AH393" s="30" t="inlineStr">
        <is>
          <t>No</t>
        </is>
      </c>
      <c r="AI393" s="30">
        <f>IF(AH393="Yes due to Product Mix change or Operating Leverage",10,IF(AH393="Yes, these are peak margins",-5,IF(AH393="No",5,0)))</f>
        <v/>
      </c>
      <c r="AJ393" s="30" t="inlineStr">
        <is>
          <t>Stable</t>
        </is>
      </c>
      <c r="AK393" s="30">
        <f>IF(AJ393="Stable",10,0)</f>
        <v/>
      </c>
      <c r="AL393" s="30" t="inlineStr">
        <is>
          <t>Yes</t>
        </is>
      </c>
      <c r="AM393" s="30">
        <f>IF(AL393="Yes",10,0)</f>
        <v/>
      </c>
      <c r="AN393" s="30" t="inlineStr">
        <is>
          <t>B2B</t>
        </is>
      </c>
      <c r="AO393" s="30">
        <f>IF(AN393="B2C",10,IF(AN393="B2B",5,0))</f>
        <v/>
      </c>
      <c r="AP393" s="30" t="inlineStr">
        <is>
          <t>No</t>
        </is>
      </c>
      <c r="AQ393" s="30">
        <f>IF(AP393="Yes",10,0)</f>
        <v/>
      </c>
      <c r="AR393" s="30" t="inlineStr">
        <is>
          <t>Higher One Time, Lower Annuity</t>
        </is>
      </c>
      <c r="AS393" s="30">
        <f>IF(AR393="Fully Annuity",10,IF(AR393="Higher Annuity, Lower One Time",5,IF(AR393="Higher One Time, Lower Annuity",3,0)))</f>
        <v/>
      </c>
      <c r="AT393" s="30" t="inlineStr">
        <is>
          <t>Good</t>
        </is>
      </c>
      <c r="AU393" s="30">
        <f>IF(AT393="Good",10,0)</f>
        <v/>
      </c>
      <c r="AV393" s="30" t="inlineStr">
        <is>
          <t>Yes for more than 2 years</t>
        </is>
      </c>
      <c r="AW393" s="30">
        <f>IF(AV393="Yes for more than 2 years",10,IF(AV393="Yes only for next 1 to 2 years",5,0))</f>
        <v/>
      </c>
      <c r="AX393" s="30" t="inlineStr">
        <is>
          <t>0 to 20</t>
        </is>
      </c>
      <c r="AY393" s="30">
        <f>IF(AX393="Above 40",20,IF(AX393="20 to 40",10,IF(AX393="0 to 20",-5,0)))</f>
        <v/>
      </c>
      <c r="AZ393" s="30" t="inlineStr">
        <is>
          <t>Between 50 to 75</t>
        </is>
      </c>
      <c r="BA393" s="30">
        <f>IF(AZ393="Between 50 to 75",10,IF(AZ393="Above 75",0,0))</f>
        <v/>
      </c>
      <c r="BB393" s="30" t="inlineStr">
        <is>
          <t>Stage 3</t>
        </is>
      </c>
      <c r="BC393" s="30">
        <f>IF(BB393="Stage 2",20,IF(BB393="Stage 1",0,IF(BB393="Stage 3",5,IF(BB393="Stage 4",-5,0))))</f>
        <v/>
      </c>
      <c r="BD393" s="30" t="inlineStr">
        <is>
          <t>Negative Trend</t>
        </is>
      </c>
      <c r="BE393" s="30">
        <f>IF(BD393="Positive Trend",20,IF(BD393="Negative Trend",-10,0))</f>
        <v/>
      </c>
      <c r="BF393" s="30" t="inlineStr">
        <is>
          <t>Uptrend</t>
        </is>
      </c>
      <c r="BG393" s="30">
        <f>IF(BF393="Uptrend",10,IF(BF393="Sideways",5,0))</f>
        <v/>
      </c>
      <c r="BH393" s="30" t="inlineStr">
        <is>
          <t>Uptrend</t>
        </is>
      </c>
      <c r="BI393" s="30">
        <f>IF(BH393="Uptrend",10,IF(BH393="Sideways",5,0))</f>
        <v/>
      </c>
      <c r="BJ393" s="30" t="inlineStr">
        <is>
          <t>Close to 52 week high or retracement</t>
        </is>
      </c>
      <c r="BK393" s="30">
        <f>IF(BJ393="Overhead supply in last 2 years in last 2 years",-5,IF(BJ393="Close to 52 week high or retracement",5,IF(BJ393="Blue sky scenario",10,IF(BJ393="Long term Downtrend",-10,0))))</f>
        <v/>
      </c>
      <c r="BL393" s="30" t="inlineStr">
        <is>
          <t>Yes</t>
        </is>
      </c>
      <c r="BM393" s="30">
        <f>IF(BL393="Yes",10,0)</f>
        <v/>
      </c>
      <c r="BN393" s="30" t="inlineStr">
        <is>
          <t>Less than 12%</t>
        </is>
      </c>
      <c r="BO393" s="30">
        <f>IF(BN393="More than 20%",10,IF(BN393="Between 12 to 20%",5,IF(BN393="Less than 12%",0,0)))</f>
        <v/>
      </c>
      <c r="BP393" s="30" t="inlineStr">
        <is>
          <t>No</t>
        </is>
      </c>
      <c r="BQ393" s="30">
        <f>IF(BP393="No",10,0)</f>
        <v/>
      </c>
      <c r="BR393" s="30" t="inlineStr">
        <is>
          <t>Yes</t>
        </is>
      </c>
      <c r="BS393" s="30">
        <f>IF(BR393="NO",5,0)</f>
        <v/>
      </c>
      <c r="BT393" s="30" t="inlineStr">
        <is>
          <t>Above 2</t>
        </is>
      </c>
      <c r="BU393" s="30">
        <f>IF(BT393="Above 2",0,IF(BT393="Between 1.5 to 2",5,IF(BT393="Less than 1.5",10,0)))</f>
        <v/>
      </c>
      <c r="BV393" s="30" t="inlineStr">
        <is>
          <t>Less than 50%</t>
        </is>
      </c>
      <c r="BW393" s="30">
        <f>IF(BV393="Above 70%",10,IF(BV393="Between 50% to 70%",5,IF(BV393="Less than 50%",0,IF(BV393="Negative",-10,IF(BV393="Less than 50% and Borrowings are increasing",-5,0)))))</f>
        <v/>
      </c>
      <c r="BX393" s="30" t="inlineStr">
        <is>
          <t>Less than 0.7</t>
        </is>
      </c>
      <c r="BY393" s="30">
        <f>IF(BX393="More than 1.2",-10,IF(BX393="Between 0.7 to 1.2",0,IF(BX393="Less than 0.7",10,0)))</f>
        <v/>
      </c>
      <c r="BZ393" s="30" t="inlineStr">
        <is>
          <t>No</t>
        </is>
      </c>
      <c r="CA393" s="30">
        <f>IF(BZ393="Yes",-10,0)</f>
        <v/>
      </c>
      <c r="CB393" s="30" t="inlineStr">
        <is>
          <t>Less than 15%</t>
        </is>
      </c>
      <c r="CC393" s="30">
        <f>IF(CB393="More than 15%",-10,IF(CB393="Less than 15%",10,0))</f>
        <v/>
      </c>
      <c r="CD393" s="30" t="inlineStr">
        <is>
          <t>No</t>
        </is>
      </c>
      <c r="CE393" s="30">
        <f>IF(CD393="Yes, more than 10%",-10,IF(CD393="No",10,0))</f>
        <v/>
      </c>
    </row>
    <row r="394">
      <c r="A394" s="30">
        <f>IF(B394=0,"",RANK(B394,$B$2:$B$400,0))</f>
        <v/>
      </c>
      <c r="B394" s="31">
        <f>SUM(N394,Y394,AA394,AC394,AE394,AG394,AI394,AK394,AM394,AO394,AQ394,AS394,AU394,AW394,AY394,BA394,BC394,BE394,BG394,BI394,BK394,BM394,BO394,BQ394,BS394,BU394,BW394,BY394,CA394,CC394,CE394)</f>
        <v/>
      </c>
      <c r="C394" s="32" t="inlineStr">
        <is>
          <t>BIL</t>
        </is>
      </c>
      <c r="D394" s="32" t="inlineStr">
        <is>
          <t>Bhartiya International Limited</t>
        </is>
      </c>
      <c r="E394" s="30" t="inlineStr">
        <is>
          <t>consumer discretionary</t>
        </is>
      </c>
      <c r="F394" s="30" t="inlineStr">
        <is>
          <t>leather / leather products</t>
        </is>
      </c>
      <c r="G394" s="30" t="inlineStr">
        <is>
          <t>smallcap</t>
        </is>
      </c>
      <c r="H394" s="31" t="n">
        <v>1113.53</v>
      </c>
      <c r="I394" s="31" t="n">
        <v>818.25</v>
      </c>
      <c r="J394" s="31" t="n">
        <v>-1.46</v>
      </c>
      <c r="K394" s="31" t="n">
        <v>4417</v>
      </c>
      <c r="L394" s="30" t="n">
        <v>27</v>
      </c>
      <c r="M394" s="30" t="inlineStr">
        <is>
          <t>Underperforming</t>
        </is>
      </c>
      <c r="N394" s="31">
        <f>IF(M394="Underperforming",-5,IF(L394&gt;=95,15,IF(L394&gt;=90,10,IF(L394&gt;=80,5,0))))</f>
        <v/>
      </c>
      <c r="O394" s="31" t="n">
        <v>58.38</v>
      </c>
      <c r="P394" s="31" t="n">
        <v>13.69</v>
      </c>
      <c r="Q394" s="31" t="inlineStr"/>
      <c r="R394" s="30" t="inlineStr">
        <is>
          <t>Earnings / Momentum Support</t>
        </is>
      </c>
      <c r="S394" s="30" t="inlineStr">
        <is>
          <t>Nifty 50</t>
        </is>
      </c>
      <c r="T394" s="31" t="n">
        <v>0.85</v>
      </c>
      <c r="U394" s="31" t="n">
        <v>-2.35</v>
      </c>
      <c r="V394" s="31" t="n">
        <v>-3.17</v>
      </c>
      <c r="W394" s="31" t="n">
        <v>3.05</v>
      </c>
      <c r="X394" s="30" t="inlineStr">
        <is>
          <t>Growing Industry</t>
        </is>
      </c>
      <c r="Y394" s="30">
        <f>IF(X394="Growing Industry",10,IF(X394="Cyclical in an Upturn",5,0))</f>
        <v/>
      </c>
      <c r="Z394" s="30" t="inlineStr">
        <is>
          <t>Too Many Players with High ROCE</t>
        </is>
      </c>
      <c r="AA394" s="30">
        <f>IF(Z394="Monopoly",10,IF(Z394="Oligopoly",5,IF(Z394="Duopoly that cooperate",10,IF(Z394="Duopoly that compete",5,IF(Z394="Too many players with High ROCE",5,0)))))</f>
        <v/>
      </c>
      <c r="AB394" s="30" t="inlineStr">
        <is>
          <t>No</t>
        </is>
      </c>
      <c r="AC394" s="30">
        <f>IF(AB394="No",5,0)</f>
        <v/>
      </c>
      <c r="AD394" s="30" t="inlineStr">
        <is>
          <t>Headwind</t>
        </is>
      </c>
      <c r="AE394" s="30">
        <f>IF(AD394="Tailwind",10,0)</f>
        <v/>
      </c>
      <c r="AF394" s="30" t="inlineStr">
        <is>
          <t>Structural (10 Years Consistency)</t>
        </is>
      </c>
      <c r="AG394" s="30">
        <f>IF(AF394="Structural (10 Years Consistency)",10,IF(AF394="Shallow Cyclical (2 to 3 years growth)",5,0))</f>
        <v/>
      </c>
      <c r="AH394" s="30" t="inlineStr">
        <is>
          <t>No</t>
        </is>
      </c>
      <c r="AI394" s="30">
        <f>IF(AH394="Yes due to Product Mix change or Operating Leverage",10,IF(AH394="Yes, these are peak margins",-5,IF(AH394="No",5,0)))</f>
        <v/>
      </c>
      <c r="AJ394" s="30" t="inlineStr">
        <is>
          <t>Stable</t>
        </is>
      </c>
      <c r="AK394" s="30">
        <f>IF(AJ394="Stable",10,0)</f>
        <v/>
      </c>
      <c r="AL394" s="30" t="inlineStr">
        <is>
          <t>Yes</t>
        </is>
      </c>
      <c r="AM394" s="30">
        <f>IF(AL394="Yes",10,0)</f>
        <v/>
      </c>
      <c r="AN394" s="30" t="inlineStr">
        <is>
          <t>B2B</t>
        </is>
      </c>
      <c r="AO394" s="30">
        <f>IF(AN394="B2C",10,IF(AN394="B2B",5,0))</f>
        <v/>
      </c>
      <c r="AP394" s="30" t="inlineStr">
        <is>
          <t>No</t>
        </is>
      </c>
      <c r="AQ394" s="30">
        <f>IF(AP394="Yes",10,0)</f>
        <v/>
      </c>
      <c r="AR394" s="30" t="inlineStr">
        <is>
          <t>Higher One Time, Lower Annuity</t>
        </is>
      </c>
      <c r="AS394" s="30">
        <f>IF(AR394="Fully Annuity",10,IF(AR394="Higher Annuity, Lower One Time",5,IF(AR394="Higher One Time, Lower Annuity",3,0)))</f>
        <v/>
      </c>
      <c r="AT394" s="30" t="inlineStr">
        <is>
          <t>Good</t>
        </is>
      </c>
      <c r="AU394" s="30">
        <f>IF(AT394="Good",10,0)</f>
        <v/>
      </c>
      <c r="AV394" s="30" t="inlineStr">
        <is>
          <t>Yes for more than 2 years</t>
        </is>
      </c>
      <c r="AW394" s="30">
        <f>IF(AV394="Yes for more than 2 years",10,IF(AV394="Yes only for next 1 to 2 years",5,0))</f>
        <v/>
      </c>
      <c r="AX394" s="30" t="inlineStr">
        <is>
          <t>0 to 20</t>
        </is>
      </c>
      <c r="AY394" s="30">
        <f>IF(AX394="Above 40",20,IF(AX394="20 to 40",10,IF(AX394="0 to 20",-5,0)))</f>
        <v/>
      </c>
      <c r="AZ394" s="30" t="inlineStr">
        <is>
          <t>Between 50 to 75</t>
        </is>
      </c>
      <c r="BA394" s="30">
        <f>IF(AZ394="Between 50 to 75",10,IF(AZ394="Above 75",0,0))</f>
        <v/>
      </c>
      <c r="BB394" s="30" t="inlineStr">
        <is>
          <t>Stage 3</t>
        </is>
      </c>
      <c r="BC394" s="30">
        <f>IF(BB394="Stage 2",20,IF(BB394="Stage 1",0,IF(BB394="Stage 3",5,IF(BB394="Stage 4",-5,0))))</f>
        <v/>
      </c>
      <c r="BD394" s="30" t="inlineStr">
        <is>
          <t>Negative Trend</t>
        </is>
      </c>
      <c r="BE394" s="30">
        <f>IF(BD394="Positive Trend",20,IF(BD394="Negative Trend",-10,0))</f>
        <v/>
      </c>
      <c r="BF394" s="30" t="inlineStr">
        <is>
          <t>Uptrend</t>
        </is>
      </c>
      <c r="BG394" s="30">
        <f>IF(BF394="Uptrend",10,IF(BF394="Sideways",5,0))</f>
        <v/>
      </c>
      <c r="BH394" s="30" t="inlineStr">
        <is>
          <t>Uptrend</t>
        </is>
      </c>
      <c r="BI394" s="30">
        <f>IF(BH394="Uptrend",10,IF(BH394="Sideways",5,0))</f>
        <v/>
      </c>
      <c r="BJ394" s="30" t="inlineStr">
        <is>
          <t>Close to 52 week high or retracement</t>
        </is>
      </c>
      <c r="BK394" s="30">
        <f>IF(BJ394="Overhead supply in last 2 years in last 2 years",-5,IF(BJ394="Close to 52 week high or retracement",5,IF(BJ394="Blue sky scenario",10,IF(BJ394="Long term Downtrend",-10,0))))</f>
        <v/>
      </c>
      <c r="BL394" s="30" t="inlineStr">
        <is>
          <t>Yes</t>
        </is>
      </c>
      <c r="BM394" s="30">
        <f>IF(BL394="Yes",10,0)</f>
        <v/>
      </c>
      <c r="BN394" s="30" t="inlineStr">
        <is>
          <t>More than 20%</t>
        </is>
      </c>
      <c r="BO394" s="30">
        <f>IF(BN394="More than 20%",10,IF(BN394="Between 12 to 20%",5,IF(BN394="Less than 12%",0,0)))</f>
        <v/>
      </c>
      <c r="BP394" s="30" t="inlineStr">
        <is>
          <t>No</t>
        </is>
      </c>
      <c r="BQ394" s="30">
        <f>IF(BP394="No",10,0)</f>
        <v/>
      </c>
      <c r="BR394" s="30" t="inlineStr">
        <is>
          <t>Yes</t>
        </is>
      </c>
      <c r="BS394" s="30">
        <f>IF(BR394="NO",5,0)</f>
        <v/>
      </c>
      <c r="BT394" s="30" t="inlineStr">
        <is>
          <t>Above 2</t>
        </is>
      </c>
      <c r="BU394" s="30">
        <f>IF(BT394="Above 2",0,IF(BT394="Between 1.5 to 2",5,IF(BT394="Less than 1.5",10,0)))</f>
        <v/>
      </c>
      <c r="BV394" s="30" t="inlineStr">
        <is>
          <t>Less than 50% and Borrowings are increasing</t>
        </is>
      </c>
      <c r="BW394" s="30">
        <f>IF(BV394="Above 70%",10,IF(BV394="Between 50% to 70%",5,IF(BV394="Less than 50%",0,IF(BV394="Negative",-10,IF(BV394="Less than 50% and Borrowings are increasing",-5,0)))))</f>
        <v/>
      </c>
      <c r="BX394" s="30" t="inlineStr">
        <is>
          <t>Between 0.7 to 1.2</t>
        </is>
      </c>
      <c r="BY394" s="30">
        <f>IF(BX394="More than 1.2",-10,IF(BX394="Between 0.7 to 1.2",0,IF(BX394="Less than 0.7",10,0)))</f>
        <v/>
      </c>
      <c r="BZ394" s="30" t="inlineStr">
        <is>
          <t>No</t>
        </is>
      </c>
      <c r="CA394" s="30">
        <f>IF(BZ394="Yes",-10,0)</f>
        <v/>
      </c>
      <c r="CB394" s="30" t="inlineStr">
        <is>
          <t>Less than 15%</t>
        </is>
      </c>
      <c r="CC394" s="30">
        <f>IF(CB394="More than 15%",-10,IF(CB394="Less than 15%",10,0))</f>
        <v/>
      </c>
      <c r="CD394" s="30" t="inlineStr">
        <is>
          <t>No</t>
        </is>
      </c>
      <c r="CE394" s="30">
        <f>IF(CD394="Yes, more than 10%",-10,IF(CD394="No",10,0))</f>
        <v/>
      </c>
    </row>
    <row r="395">
      <c r="A395" s="30">
        <f>IF(B395=0,"",RANK(B395,$B$2:$B$400,0))</f>
        <v/>
      </c>
      <c r="B395" s="31">
        <f>SUM(N395,Y395,AA395,AC395,AE395,AG395,AI395,AK395,AM395,AO395,AQ395,AS395,AU395,AW395,AY395,BA395,BC395,BE395,BG395,BI395,BK395,BM395,BO395,BQ395,BS395,BU395,BW395,BY395,CA395,CC395,CE395)</f>
        <v/>
      </c>
      <c r="C395" s="32" t="inlineStr">
        <is>
          <t>HINDOILEXP</t>
        </is>
      </c>
      <c r="D395" s="32" t="inlineStr">
        <is>
          <t>Hindustan Oil Exploration Company Limited</t>
        </is>
      </c>
      <c r="E395" s="30" t="inlineStr">
        <is>
          <t>energy</t>
        </is>
      </c>
      <c r="F395" s="30" t="inlineStr">
        <is>
          <t>oil drilling / allied services</t>
        </is>
      </c>
      <c r="G395" s="30" t="inlineStr">
        <is>
          <t>smallcap</t>
        </is>
      </c>
      <c r="H395" s="31" t="n">
        <v>2059.56</v>
      </c>
      <c r="I395" s="31" t="n">
        <v>163.84</v>
      </c>
      <c r="J395" s="31" t="n">
        <v>5.2</v>
      </c>
      <c r="K395" s="31" t="n">
        <v>1138196</v>
      </c>
      <c r="L395" s="30" t="n">
        <v>7</v>
      </c>
      <c r="M395" s="30" t="inlineStr">
        <is>
          <t>Underperforming</t>
        </is>
      </c>
      <c r="N395" s="31">
        <f>IF(M395="Underperforming",-5,IF(L395&gt;=95,15,IF(L395&gt;=90,10,IF(L395&gt;=80,5,0))))</f>
        <v/>
      </c>
      <c r="O395" s="31" t="n">
        <v>49.18</v>
      </c>
      <c r="P395" s="31" t="n">
        <v>35.77</v>
      </c>
      <c r="Q395" s="31" t="inlineStr"/>
      <c r="R395" s="30" t="inlineStr">
        <is>
          <t>Earnings / Momentum Support</t>
        </is>
      </c>
      <c r="S395" s="30" t="inlineStr">
        <is>
          <t>Nifty Energy</t>
        </is>
      </c>
      <c r="T395" s="31" t="n">
        <v>8.41</v>
      </c>
      <c r="U395" s="31" t="n">
        <v>-8.92</v>
      </c>
      <c r="V395" s="31" t="n">
        <v>-15.98</v>
      </c>
      <c r="W395" s="31" t="n">
        <v>-2.1</v>
      </c>
      <c r="X395" s="30" t="inlineStr">
        <is>
          <t>Cyclical in an Upturn</t>
        </is>
      </c>
      <c r="Y395" s="30">
        <f>IF(X395="Growing Industry",10,IF(X395="Cyclical in an Upturn",5,0))</f>
        <v/>
      </c>
      <c r="Z395" s="30" t="inlineStr">
        <is>
          <t>Oligopoly</t>
        </is>
      </c>
      <c r="AA395" s="30">
        <f>IF(Z395="Monopoly",10,IF(Z395="Oligopoly",5,IF(Z395="Duopoly that cooperate",10,IF(Z395="Duopoly that compete",5,IF(Z395="Too many players with High ROCE",5,0)))))</f>
        <v/>
      </c>
      <c r="AB395" s="30" t="inlineStr">
        <is>
          <t>Yes</t>
        </is>
      </c>
      <c r="AC395" s="30">
        <f>IF(AB395="No",5,0)</f>
        <v/>
      </c>
      <c r="AD395" s="30" t="inlineStr">
        <is>
          <t>Headwind</t>
        </is>
      </c>
      <c r="AE395" s="30">
        <f>IF(AD395="Tailwind",10,0)</f>
        <v/>
      </c>
      <c r="AF395" s="30" t="inlineStr">
        <is>
          <t>Cyclical</t>
        </is>
      </c>
      <c r="AG395" s="30">
        <f>IF(AF395="Structural (10 Years Consistency)",10,IF(AF395="Shallow Cyclical (2 to 3 years growth)",5,0))</f>
        <v/>
      </c>
      <c r="AH395" s="30" t="inlineStr">
        <is>
          <t>No</t>
        </is>
      </c>
      <c r="AI395" s="30">
        <f>IF(AH395="Yes due to Product Mix change or Operating Leverage",10,IF(AH395="Yes, these are peak margins",-5,IF(AH395="No",5,0)))</f>
        <v/>
      </c>
      <c r="AJ395" s="30" t="inlineStr">
        <is>
          <t>Volatile</t>
        </is>
      </c>
      <c r="AK395" s="30">
        <f>IF(AJ395="Stable",10,0)</f>
        <v/>
      </c>
      <c r="AL395" s="30" t="inlineStr">
        <is>
          <t>Yes</t>
        </is>
      </c>
      <c r="AM395" s="30">
        <f>IF(AL395="Yes",10,0)</f>
        <v/>
      </c>
      <c r="AN395" s="30" t="inlineStr">
        <is>
          <t>B2B</t>
        </is>
      </c>
      <c r="AO395" s="30">
        <f>IF(AN395="B2C",10,IF(AN395="B2B",5,0))</f>
        <v/>
      </c>
      <c r="AP395" s="30" t="inlineStr">
        <is>
          <t>No</t>
        </is>
      </c>
      <c r="AQ395" s="30">
        <f>IF(AP395="Yes",10,0)</f>
        <v/>
      </c>
      <c r="AR395" s="30" t="inlineStr">
        <is>
          <t>Higher One Time, Lower Annuity</t>
        </is>
      </c>
      <c r="AS395" s="30">
        <f>IF(AR395="Fully Annuity",10,IF(AR395="Higher Annuity, Lower One Time",5,IF(AR395="Higher One Time, Lower Annuity",3,0)))</f>
        <v/>
      </c>
      <c r="AT395" s="30" t="inlineStr">
        <is>
          <t>Good</t>
        </is>
      </c>
      <c r="AU395" s="30">
        <f>IF(AT395="Good",10,0)</f>
        <v/>
      </c>
      <c r="AV395" s="30" t="inlineStr">
        <is>
          <t>Yes for more than 2 years</t>
        </is>
      </c>
      <c r="AW395" s="30">
        <f>IF(AV395="Yes for more than 2 years",10,IF(AV395="Yes only for next 1 to 2 years",5,0))</f>
        <v/>
      </c>
      <c r="AX395" s="30" t="inlineStr">
        <is>
          <t>20 to 40</t>
        </is>
      </c>
      <c r="AY395" s="30">
        <f>IF(AX395="Above 40",20,IF(AX395="20 to 40",10,IF(AX395="0 to 20",-5,0)))</f>
        <v/>
      </c>
      <c r="AZ395" s="30" t="inlineStr">
        <is>
          <t>Below 45</t>
        </is>
      </c>
      <c r="BA395" s="30">
        <f>IF(AZ395="Between 50 to 75",10,IF(AZ395="Above 75",0,0))</f>
        <v/>
      </c>
      <c r="BB395" s="30" t="inlineStr">
        <is>
          <t>Stage 3</t>
        </is>
      </c>
      <c r="BC395" s="30">
        <f>IF(BB395="Stage 2",20,IF(BB395="Stage 1",0,IF(BB395="Stage 3",5,IF(BB395="Stage 4",-5,0))))</f>
        <v/>
      </c>
      <c r="BD395" s="30" t="inlineStr">
        <is>
          <t>Negative Trend</t>
        </is>
      </c>
      <c r="BE395" s="30">
        <f>IF(BD395="Positive Trend",20,IF(BD395="Negative Trend",-10,0))</f>
        <v/>
      </c>
      <c r="BF395" s="30" t="inlineStr">
        <is>
          <t>Uptrend</t>
        </is>
      </c>
      <c r="BG395" s="30">
        <f>IF(BF395="Uptrend",10,IF(BF395="Sideways",5,0))</f>
        <v/>
      </c>
      <c r="BH395" s="30" t="inlineStr">
        <is>
          <t>Uptrend</t>
        </is>
      </c>
      <c r="BI395" s="30">
        <f>IF(BH395="Uptrend",10,IF(BH395="Sideways",5,0))</f>
        <v/>
      </c>
      <c r="BJ395" s="30" t="inlineStr">
        <is>
          <t>Close to 52 week high or retracement</t>
        </is>
      </c>
      <c r="BK395" s="30">
        <f>IF(BJ395="Overhead supply in last 2 years in last 2 years",-5,IF(BJ395="Close to 52 week high or retracement",5,IF(BJ395="Blue sky scenario",10,IF(BJ395="Long term Downtrend",-10,0))))</f>
        <v/>
      </c>
      <c r="BL395" s="30" t="inlineStr">
        <is>
          <t>Yes</t>
        </is>
      </c>
      <c r="BM395" s="30">
        <f>IF(BL395="Yes",10,0)</f>
        <v/>
      </c>
      <c r="BN395" s="30" t="inlineStr">
        <is>
          <t>Less than 12%</t>
        </is>
      </c>
      <c r="BO395" s="30">
        <f>IF(BN395="More than 20%",10,IF(BN395="Between 12 to 20%",5,IF(BN395="Less than 12%",0,0)))</f>
        <v/>
      </c>
      <c r="BP395" s="30" t="inlineStr">
        <is>
          <t>No</t>
        </is>
      </c>
      <c r="BQ395" s="30">
        <f>IF(BP395="No",10,0)</f>
        <v/>
      </c>
      <c r="BR395" s="30" t="inlineStr">
        <is>
          <t>No</t>
        </is>
      </c>
      <c r="BS395" s="30">
        <f>IF(BR395="NO",5,0)</f>
        <v/>
      </c>
      <c r="BT395" s="30" t="inlineStr">
        <is>
          <t>Above 2</t>
        </is>
      </c>
      <c r="BU395" s="30">
        <f>IF(BT395="Above 2",0,IF(BT395="Between 1.5 to 2",5,IF(BT395="Less than 1.5",10,0)))</f>
        <v/>
      </c>
      <c r="BV395" s="30" t="inlineStr">
        <is>
          <t>Above 70%</t>
        </is>
      </c>
      <c r="BW395" s="30">
        <f>IF(BV395="Above 70%",10,IF(BV395="Between 50% to 70%",5,IF(BV395="Less than 50%",0,IF(BV395="Negative",-10,IF(BV395="Less than 50% and Borrowings are increasing",-5,0)))))</f>
        <v/>
      </c>
      <c r="BX395" s="30" t="inlineStr">
        <is>
          <t>Less than 0.7</t>
        </is>
      </c>
      <c r="BY395" s="30">
        <f>IF(BX395="More than 1.2",-10,IF(BX395="Between 0.7 to 1.2",0,IF(BX395="Less than 0.7",10,0)))</f>
        <v/>
      </c>
      <c r="BZ395" s="30" t="inlineStr">
        <is>
          <t>No</t>
        </is>
      </c>
      <c r="CA395" s="30">
        <f>IF(BZ395="Yes",-10,0)</f>
        <v/>
      </c>
      <c r="CB395" s="30" t="inlineStr">
        <is>
          <t>Less than 15%</t>
        </is>
      </c>
      <c r="CC395" s="30">
        <f>IF(CB395="More than 15%",-10,IF(CB395="Less than 15%",10,0))</f>
        <v/>
      </c>
      <c r="CD395" s="30" t="inlineStr">
        <is>
          <t>No</t>
        </is>
      </c>
      <c r="CE395" s="30">
        <f>IF(CD395="Yes, more than 10%",-10,IF(CD395="No",10,0))</f>
        <v/>
      </c>
    </row>
    <row r="396">
      <c r="A396" s="30">
        <f>IF(B396=0,"",RANK(B396,$B$2:$B$400,0))</f>
        <v/>
      </c>
      <c r="B396" s="31">
        <f>SUM(N396,Y396,AA396,AC396,AE396,AG396,AI396,AK396,AM396,AO396,AQ396,AS396,AU396,AW396,AY396,BA396,BC396,BE396,BG396,BI396,BK396,BM396,BO396,BQ396,BS396,BU396,BW396,BY396,CA396,CC396,CE396)</f>
        <v/>
      </c>
      <c r="C396" s="32" t="inlineStr">
        <is>
          <t>KOLTEPATIL</t>
        </is>
      </c>
      <c r="D396" s="32" t="inlineStr">
        <is>
          <t>Kolte - Patil Developers Limited</t>
        </is>
      </c>
      <c r="E396" s="30" t="inlineStr">
        <is>
          <t>realty</t>
        </is>
      </c>
      <c r="F396" s="30" t="inlineStr">
        <is>
          <t>construction</t>
        </is>
      </c>
      <c r="G396" s="30" t="inlineStr">
        <is>
          <t>smallcap</t>
        </is>
      </c>
      <c r="H396" s="31" t="n">
        <v>3947.15</v>
      </c>
      <c r="I396" s="31" t="n">
        <v>462.2</v>
      </c>
      <c r="J396" s="31" t="n">
        <v>3.84</v>
      </c>
      <c r="K396" s="31" t="n">
        <v>479814</v>
      </c>
      <c r="L396" s="30" t="n">
        <v>9</v>
      </c>
      <c r="M396" s="30" t="inlineStr">
        <is>
          <t>Underperforming</t>
        </is>
      </c>
      <c r="N396" s="31">
        <f>IF(M396="Underperforming",-5,IF(L396&gt;=95,15,IF(L396&gt;=90,10,IF(L396&gt;=80,5,0))))</f>
        <v/>
      </c>
      <c r="O396" s="31" t="n">
        <v>67.55</v>
      </c>
      <c r="P396" s="31" t="n">
        <v>14.38</v>
      </c>
      <c r="Q396" s="31" t="inlineStr"/>
      <c r="R396" s="30" t="inlineStr">
        <is>
          <t>Earnings / Momentum Support</t>
        </is>
      </c>
      <c r="S396" s="30" t="inlineStr">
        <is>
          <t>Nifty Realty</t>
        </is>
      </c>
      <c r="T396" s="31" t="n">
        <v>-8.119999999999999</v>
      </c>
      <c r="U396" s="31" t="n">
        <v>-13.52</v>
      </c>
      <c r="V396" s="31" t="n">
        <v>-5.87</v>
      </c>
      <c r="W396" s="31" t="n">
        <v>-1.43</v>
      </c>
      <c r="X396" s="30" t="inlineStr">
        <is>
          <t>Growing Industry</t>
        </is>
      </c>
      <c r="Y396" s="30">
        <f>IF(X396="Growing Industry",10,IF(X396="Cyclical in an Upturn",5,0))</f>
        <v/>
      </c>
      <c r="Z396" s="30" t="inlineStr">
        <is>
          <t>Too Many Players with High ROCE</t>
        </is>
      </c>
      <c r="AA396" s="30">
        <f>IF(Z396="Monopoly",10,IF(Z396="Oligopoly",5,IF(Z396="Duopoly that cooperate",10,IF(Z396="Duopoly that compete",5,IF(Z396="Too many players with High ROCE",5,0)))))</f>
        <v/>
      </c>
      <c r="AB396" s="30" t="inlineStr">
        <is>
          <t>No</t>
        </is>
      </c>
      <c r="AC396" s="30">
        <f>IF(AB396="No",5,0)</f>
        <v/>
      </c>
      <c r="AD396" s="30" t="inlineStr">
        <is>
          <t>Headwind</t>
        </is>
      </c>
      <c r="AE396" s="30">
        <f>IF(AD396="Tailwind",10,0)</f>
        <v/>
      </c>
      <c r="AF396" s="30" t="inlineStr">
        <is>
          <t>Structural (10 Years Consistency)</t>
        </is>
      </c>
      <c r="AG396" s="30">
        <f>IF(AF396="Structural (10 Years Consistency)",10,IF(AF396="Shallow Cyclical (2 to 3 years growth)",5,0))</f>
        <v/>
      </c>
      <c r="AH396" s="30" t="inlineStr">
        <is>
          <t>No</t>
        </is>
      </c>
      <c r="AI396" s="30">
        <f>IF(AH396="Yes due to Product Mix change or Operating Leverage",10,IF(AH396="Yes, these are peak margins",-5,IF(AH396="No",5,0)))</f>
        <v/>
      </c>
      <c r="AJ396" s="30" t="inlineStr">
        <is>
          <t>Stable</t>
        </is>
      </c>
      <c r="AK396" s="30">
        <f>IF(AJ396="Stable",10,0)</f>
        <v/>
      </c>
      <c r="AL396" s="30" t="inlineStr">
        <is>
          <t>Yes</t>
        </is>
      </c>
      <c r="AM396" s="30">
        <f>IF(AL396="Yes",10,0)</f>
        <v/>
      </c>
      <c r="AN396" s="30" t="inlineStr">
        <is>
          <t>B2B</t>
        </is>
      </c>
      <c r="AO396" s="30">
        <f>IF(AN396="B2C",10,IF(AN396="B2B",5,0))</f>
        <v/>
      </c>
      <c r="AP396" s="30" t="inlineStr">
        <is>
          <t>No</t>
        </is>
      </c>
      <c r="AQ396" s="30">
        <f>IF(AP396="Yes",10,0)</f>
        <v/>
      </c>
      <c r="AR396" s="30" t="inlineStr">
        <is>
          <t>Higher One Time, Lower Annuity</t>
        </is>
      </c>
      <c r="AS396" s="30">
        <f>IF(AR396="Fully Annuity",10,IF(AR396="Higher Annuity, Lower One Time",5,IF(AR396="Higher One Time, Lower Annuity",3,0)))</f>
        <v/>
      </c>
      <c r="AT396" s="30" t="inlineStr">
        <is>
          <t>Good</t>
        </is>
      </c>
      <c r="AU396" s="30">
        <f>IF(AT396="Good",10,0)</f>
        <v/>
      </c>
      <c r="AV396" s="30" t="inlineStr">
        <is>
          <t>Yes for more than 2 years</t>
        </is>
      </c>
      <c r="AW396" s="30">
        <f>IF(AV396="Yes for more than 2 years",10,IF(AV396="Yes only for next 1 to 2 years",5,0))</f>
        <v/>
      </c>
      <c r="AX396" s="30" t="inlineStr">
        <is>
          <t>0 to 20</t>
        </is>
      </c>
      <c r="AY396" s="30">
        <f>IF(AX396="Above 40",20,IF(AX396="20 to 40",10,IF(AX396="0 to 20",-5,0)))</f>
        <v/>
      </c>
      <c r="AZ396" s="30" t="inlineStr">
        <is>
          <t>Between 50 to 75</t>
        </is>
      </c>
      <c r="BA396" s="30">
        <f>IF(AZ396="Between 50 to 75",10,IF(AZ396="Above 75",0,0))</f>
        <v/>
      </c>
      <c r="BB396" s="30" t="inlineStr">
        <is>
          <t>Stage 3</t>
        </is>
      </c>
      <c r="BC396" s="30">
        <f>IF(BB396="Stage 2",20,IF(BB396="Stage 1",0,IF(BB396="Stage 3",5,IF(BB396="Stage 4",-5,0))))</f>
        <v/>
      </c>
      <c r="BD396" s="30" t="inlineStr">
        <is>
          <t>Negative Trend</t>
        </is>
      </c>
      <c r="BE396" s="30">
        <f>IF(BD396="Positive Trend",20,IF(BD396="Negative Trend",-10,0))</f>
        <v/>
      </c>
      <c r="BF396" s="30" t="inlineStr">
        <is>
          <t>Uptrend</t>
        </is>
      </c>
      <c r="BG396" s="30">
        <f>IF(BF396="Uptrend",10,IF(BF396="Sideways",5,0))</f>
        <v/>
      </c>
      <c r="BH396" s="30" t="inlineStr">
        <is>
          <t>Uptrend</t>
        </is>
      </c>
      <c r="BI396" s="30">
        <f>IF(BH396="Uptrend",10,IF(BH396="Sideways",5,0))</f>
        <v/>
      </c>
      <c r="BJ396" s="30" t="inlineStr">
        <is>
          <t>Close to 52 week high or retracement</t>
        </is>
      </c>
      <c r="BK396" s="30">
        <f>IF(BJ396="Overhead supply in last 2 years in last 2 years",-5,IF(BJ396="Close to 52 week high or retracement",5,IF(BJ396="Blue sky scenario",10,IF(BJ396="Long term Downtrend",-10,0))))</f>
        <v/>
      </c>
      <c r="BL396" s="30" t="inlineStr">
        <is>
          <t>Yes</t>
        </is>
      </c>
      <c r="BM396" s="30">
        <f>IF(BL396="Yes",10,0)</f>
        <v/>
      </c>
      <c r="BN396" s="30" t="inlineStr">
        <is>
          <t>More than 20%</t>
        </is>
      </c>
      <c r="BO396" s="30">
        <f>IF(BN396="More than 20%",10,IF(BN396="Between 12 to 20%",5,IF(BN396="Less than 12%",0,0)))</f>
        <v/>
      </c>
      <c r="BP396" s="30" t="inlineStr">
        <is>
          <t>No</t>
        </is>
      </c>
      <c r="BQ396" s="30">
        <f>IF(BP396="No",10,0)</f>
        <v/>
      </c>
      <c r="BR396" s="30" t="inlineStr">
        <is>
          <t>Yes</t>
        </is>
      </c>
      <c r="BS396" s="30">
        <f>IF(BR396="NO",5,0)</f>
        <v/>
      </c>
      <c r="BT396" s="30" t="inlineStr">
        <is>
          <t>Above 2</t>
        </is>
      </c>
      <c r="BU396" s="30">
        <f>IF(BT396="Above 2",0,IF(BT396="Between 1.5 to 2",5,IF(BT396="Less than 1.5",10,0)))</f>
        <v/>
      </c>
      <c r="BV396" s="30" t="inlineStr">
        <is>
          <t>Negative</t>
        </is>
      </c>
      <c r="BW396" s="30">
        <f>IF(BV396="Above 70%",10,IF(BV396="Between 50% to 70%",5,IF(BV396="Less than 50%",0,IF(BV396="Negative",-10,IF(BV396="Less than 50% and Borrowings are increasing",-5,0)))))</f>
        <v/>
      </c>
      <c r="BX396" s="30" t="inlineStr">
        <is>
          <t>Between 0.7 to 1.2</t>
        </is>
      </c>
      <c r="BY396" s="30">
        <f>IF(BX396="More than 1.2",-10,IF(BX396="Between 0.7 to 1.2",0,IF(BX396="Less than 0.7",10,0)))</f>
        <v/>
      </c>
      <c r="BZ396" s="30" t="inlineStr">
        <is>
          <t>No</t>
        </is>
      </c>
      <c r="CA396" s="30">
        <f>IF(BZ396="Yes",-10,0)</f>
        <v/>
      </c>
      <c r="CB396" s="30" t="inlineStr">
        <is>
          <t>Less than 15%</t>
        </is>
      </c>
      <c r="CC396" s="30">
        <f>IF(CB396="More than 15%",-10,IF(CB396="Less than 15%",10,0))</f>
        <v/>
      </c>
      <c r="CD396" s="30" t="inlineStr">
        <is>
          <t>No</t>
        </is>
      </c>
      <c r="CE396" s="30">
        <f>IF(CD396="Yes, more than 10%",-10,IF(CD396="No",10,0))</f>
        <v/>
      </c>
    </row>
    <row r="397">
      <c r="A397" s="30">
        <f>IF(B397=0,"",RANK(B397,$B$2:$B$400,0))</f>
        <v/>
      </c>
      <c r="B397" s="31">
        <f>SUM(N397,Y397,AA397,AC397,AE397,AG397,AI397,AK397,AM397,AO397,AQ397,AS397,AU397,AW397,AY397,BA397,BC397,BE397,BG397,BI397,BK397,BM397,BO397,BQ397,BS397,BU397,BW397,BY397,CA397,CC397,CE397)</f>
        <v/>
      </c>
      <c r="C397" s="30" t="inlineStr">
        <is>
          <t>SGIL</t>
        </is>
      </c>
      <c r="D397" s="30" t="inlineStr">
        <is>
          <t>Synergy Green Industries Ltd</t>
        </is>
      </c>
      <c r="E397" s="30" t="inlineStr">
        <is>
          <t>industrials</t>
        </is>
      </c>
      <c r="F397" s="30" t="inlineStr">
        <is>
          <t>castings &amp; forgings</t>
        </is>
      </c>
      <c r="G397" s="30" t="inlineStr">
        <is>
          <t>smallcap</t>
        </is>
      </c>
      <c r="H397" s="31" t="n">
        <v>937.71</v>
      </c>
      <c r="I397" s="31" t="n">
        <v>617.9</v>
      </c>
      <c r="J397" s="31" t="n">
        <v>2.42</v>
      </c>
      <c r="K397" s="31" t="n">
        <v>13818</v>
      </c>
      <c r="L397" s="30" t="n">
        <v>39</v>
      </c>
      <c r="M397" s="30" t="inlineStr">
        <is>
          <t>Outperforming</t>
        </is>
      </c>
      <c r="N397" s="31">
        <f>IF(M397="Underperforming",-5,IF(L397&gt;=95,15,IF(L397&gt;=90,10,IF(L397&gt;=80,5,0))))</f>
        <v/>
      </c>
      <c r="O397" s="31" t="n">
        <v>60.21</v>
      </c>
      <c r="P397" s="31" t="n">
        <v>23.12</v>
      </c>
      <c r="Q397" s="31" t="inlineStr"/>
      <c r="R397" s="30" t="inlineStr">
        <is>
          <t>Earnings / Momentum Support</t>
        </is>
      </c>
      <c r="S397" s="30" t="inlineStr">
        <is>
          <t>Nifty Infra</t>
        </is>
      </c>
      <c r="T397" s="31" t="n">
        <v>1.74</v>
      </c>
      <c r="U397" s="31" t="n">
        <v>11.73</v>
      </c>
      <c r="V397" s="31" t="n">
        <v>9.81</v>
      </c>
      <c r="W397" s="31" t="n">
        <v>5.57</v>
      </c>
      <c r="X397" s="30" t="inlineStr">
        <is>
          <t>Cyclical in an Upturn</t>
        </is>
      </c>
      <c r="Y397" s="30">
        <f>IF(X397="Growing Industry",10,IF(X397="Cyclical in an Upturn",5,0))</f>
        <v/>
      </c>
      <c r="Z397" s="30" t="inlineStr">
        <is>
          <t>Too Many Players with High ROCE</t>
        </is>
      </c>
      <c r="AA397" s="30">
        <f>IF(Z397="Monopoly",10,IF(Z397="Oligopoly",5,IF(Z397="Duopoly that cooperate",10,IF(Z397="Duopoly that compete",5,IF(Z397="Too many players with High ROCE",5,0)))))</f>
        <v/>
      </c>
      <c r="AB397" s="30" t="inlineStr">
        <is>
          <t>No</t>
        </is>
      </c>
      <c r="AC397" s="30">
        <f>IF(AB397="No",5,0)</f>
        <v/>
      </c>
      <c r="AD397" s="30" t="inlineStr">
        <is>
          <t>Headwind</t>
        </is>
      </c>
      <c r="AE397" s="30">
        <f>IF(AD397="Tailwind",10,0)</f>
        <v/>
      </c>
      <c r="AF397" s="30" t="inlineStr">
        <is>
          <t>Structural (10 Years Consistency)</t>
        </is>
      </c>
      <c r="AG397" s="30">
        <f>IF(AF397="Structural (10 Years Consistency)",10,IF(AF397="Shallow Cyclical (2 to 3 years growth)",5,0))</f>
        <v/>
      </c>
      <c r="AH397" s="30" t="inlineStr">
        <is>
          <t>No</t>
        </is>
      </c>
      <c r="AI397" s="30">
        <f>IF(AH397="Yes due to Product Mix change or Operating Leverage",10,IF(AH397="Yes, these are peak margins",-5,IF(AH397="No",5,0)))</f>
        <v/>
      </c>
      <c r="AJ397" s="30" t="inlineStr">
        <is>
          <t>Stable</t>
        </is>
      </c>
      <c r="AK397" s="30">
        <f>IF(AJ397="Stable",10,0)</f>
        <v/>
      </c>
      <c r="AL397" s="30" t="inlineStr">
        <is>
          <t>Yes</t>
        </is>
      </c>
      <c r="AM397" s="30">
        <f>IF(AL397="Yes",10,0)</f>
        <v/>
      </c>
      <c r="AN397" s="30" t="inlineStr">
        <is>
          <t>B2B</t>
        </is>
      </c>
      <c r="AO397" s="30">
        <f>IF(AN397="B2C",10,IF(AN397="B2B",5,0))</f>
        <v/>
      </c>
      <c r="AP397" s="30" t="inlineStr">
        <is>
          <t>No</t>
        </is>
      </c>
      <c r="AQ397" s="30">
        <f>IF(AP397="Yes",10,0)</f>
        <v/>
      </c>
      <c r="AR397" s="30" t="inlineStr">
        <is>
          <t>Higher One Time, Lower Annuity</t>
        </is>
      </c>
      <c r="AS397" s="30">
        <f>IF(AR397="Fully Annuity",10,IF(AR397="Higher Annuity, Lower One Time",5,IF(AR397="Higher One Time, Lower Annuity",3,0)))</f>
        <v/>
      </c>
      <c r="AT397" s="30" t="inlineStr">
        <is>
          <t>Good</t>
        </is>
      </c>
      <c r="AU397" s="30">
        <f>IF(AT397="Good",10,0)</f>
        <v/>
      </c>
      <c r="AV397" s="30" t="inlineStr">
        <is>
          <t>Yes for more than 2 years</t>
        </is>
      </c>
      <c r="AW397" s="30">
        <f>IF(AV397="Yes for more than 2 years",10,IF(AV397="Yes only for next 1 to 2 years",5,0))</f>
        <v/>
      </c>
      <c r="AX397" s="30" t="inlineStr">
        <is>
          <t>20 to 40</t>
        </is>
      </c>
      <c r="AY397" s="30">
        <f>IF(AX397="Above 40",20,IF(AX397="20 to 40",10,IF(AX397="0 to 20",-5,0)))</f>
        <v/>
      </c>
      <c r="AZ397" s="30" t="inlineStr">
        <is>
          <t>Between 50 to 75</t>
        </is>
      </c>
      <c r="BA397" s="30">
        <f>IF(AZ397="Between 50 to 75",10,IF(AZ397="Above 75",0,0))</f>
        <v/>
      </c>
      <c r="BB397" s="30" t="inlineStr">
        <is>
          <t>Stage 3</t>
        </is>
      </c>
      <c r="BC397" s="30">
        <f>IF(BB397="Stage 2",20,IF(BB397="Stage 1",0,IF(BB397="Stage 3",5,IF(BB397="Stage 4",-5,0))))</f>
        <v/>
      </c>
      <c r="BD397" s="30" t="inlineStr">
        <is>
          <t>Negative Trend</t>
        </is>
      </c>
      <c r="BE397" s="30">
        <f>IF(BD397="Positive Trend",20,IF(BD397="Negative Trend",-10,0))</f>
        <v/>
      </c>
      <c r="BF397" s="30" t="inlineStr">
        <is>
          <t>Uptrend</t>
        </is>
      </c>
      <c r="BG397" s="30">
        <f>IF(BF397="Uptrend",10,IF(BF397="Sideways",5,0))</f>
        <v/>
      </c>
      <c r="BH397" s="30" t="inlineStr">
        <is>
          <t>Uptrend</t>
        </is>
      </c>
      <c r="BI397" s="30">
        <f>IF(BH397="Uptrend",10,IF(BH397="Sideways",5,0))</f>
        <v/>
      </c>
      <c r="BJ397" s="30" t="inlineStr">
        <is>
          <t>Close to 52 week high or retracement</t>
        </is>
      </c>
      <c r="BK397" s="30">
        <f>IF(BJ397="Overhead supply in last 2 years in last 2 years",-5,IF(BJ397="Close to 52 week high or retracement",5,IF(BJ397="Blue sky scenario",10,IF(BJ397="Long term Downtrend",-10,0))))</f>
        <v/>
      </c>
      <c r="BL397" s="30" t="inlineStr">
        <is>
          <t>Yes</t>
        </is>
      </c>
      <c r="BM397" s="30">
        <f>IF(BL397="Yes",10,0)</f>
        <v/>
      </c>
      <c r="BN397" s="30" t="inlineStr">
        <is>
          <t>Less than 12%</t>
        </is>
      </c>
      <c r="BO397" s="30">
        <f>IF(BN397="More than 20%",10,IF(BN397="Between 12 to 20%",5,IF(BN397="Less than 12%",0,0)))</f>
        <v/>
      </c>
      <c r="BP397" s="30" t="inlineStr">
        <is>
          <t>No</t>
        </is>
      </c>
      <c r="BQ397" s="30">
        <f>IF(BP397="No",10,0)</f>
        <v/>
      </c>
      <c r="BR397" s="30" t="inlineStr">
        <is>
          <t>Yes</t>
        </is>
      </c>
      <c r="BS397" s="30">
        <f>IF(BR397="NO",5,0)</f>
        <v/>
      </c>
      <c r="BT397" s="30" t="inlineStr">
        <is>
          <t>Above 2</t>
        </is>
      </c>
      <c r="BU397" s="30">
        <f>IF(BT397="Above 2",0,IF(BT397="Between 1.5 to 2",5,IF(BT397="Less than 1.5",10,0)))</f>
        <v/>
      </c>
      <c r="BV397" s="30" t="inlineStr">
        <is>
          <t>Less than 50% and Borrowings are increasing</t>
        </is>
      </c>
      <c r="BW397" s="30">
        <f>IF(BV397="Above 70%",10,IF(BV397="Between 50% to 70%",5,IF(BV397="Less than 50%",0,IF(BV397="Negative",-10,IF(BV397="Less than 50% and Borrowings are increasing",-5,0)))))</f>
        <v/>
      </c>
      <c r="BX397" s="30" t="inlineStr">
        <is>
          <t>More than 1.2</t>
        </is>
      </c>
      <c r="BY397" s="30">
        <f>IF(BX397="More than 1.2",-10,IF(BX397="Between 0.7 to 1.2",0,IF(BX397="Less than 0.7",10,0)))</f>
        <v/>
      </c>
      <c r="BZ397" s="30" t="inlineStr">
        <is>
          <t>No</t>
        </is>
      </c>
      <c r="CA397" s="30">
        <f>IF(BZ397="Yes",-10,0)</f>
        <v/>
      </c>
      <c r="CB397" s="30" t="inlineStr">
        <is>
          <t>Less than 15%</t>
        </is>
      </c>
      <c r="CC397" s="30">
        <f>IF(CB397="More than 15%",-10,IF(CB397="Less than 15%",10,0))</f>
        <v/>
      </c>
      <c r="CD397" s="30" t="inlineStr">
        <is>
          <t>No</t>
        </is>
      </c>
      <c r="CE397" s="30">
        <f>IF(CD397="Yes, more than 10%",-10,IF(CD397="No",10,0))</f>
        <v/>
      </c>
    </row>
    <row r="398">
      <c r="A398" s="30">
        <f>IF(B398=0,"",RANK(B398,$B$2:$B$400,0))</f>
        <v/>
      </c>
      <c r="B398" s="31">
        <f>SUM(N398,Y398,AA398,AC398,AE398,AG398,AI398,AK398,AM398,AO398,AQ398,AS398,AU398,AW398,AY398,BA398,BC398,BE398,BG398,BI398,BK398,BM398,BO398,BQ398,BS398,BU398,BW398,BY398,CA398,CC398,CE398)</f>
        <v/>
      </c>
      <c r="C398" s="32" t="inlineStr">
        <is>
          <t>KOTHARIPET</t>
        </is>
      </c>
      <c r="D398" s="32" t="inlineStr">
        <is>
          <t>Kothari Petrochemicals Limited</t>
        </is>
      </c>
      <c r="E398" s="30" t="inlineStr">
        <is>
          <t>energy</t>
        </is>
      </c>
      <c r="F398" s="30" t="inlineStr">
        <is>
          <t>petrochemicals</t>
        </is>
      </c>
      <c r="G398" s="30" t="inlineStr">
        <is>
          <t>smallcap</t>
        </is>
      </c>
      <c r="H398" s="31" t="n">
        <v>879.87</v>
      </c>
      <c r="I398" s="31" t="n">
        <v>145.51</v>
      </c>
      <c r="J398" s="31" t="n">
        <v>-2.68</v>
      </c>
      <c r="K398" s="31" t="n">
        <v>80103</v>
      </c>
      <c r="L398" s="30" t="n">
        <v>2</v>
      </c>
      <c r="M398" s="30" t="inlineStr">
        <is>
          <t>Underperforming</t>
        </is>
      </c>
      <c r="N398" s="31">
        <f>IF(M398="Underperforming",-5,IF(L398&gt;=95,15,IF(L398&gt;=90,10,IF(L398&gt;=80,5,0))))</f>
        <v/>
      </c>
      <c r="O398" s="31" t="n">
        <v>65.58</v>
      </c>
      <c r="P398" s="31" t="n">
        <v>19.53</v>
      </c>
      <c r="Q398" s="31" t="inlineStr"/>
      <c r="R398" s="30" t="inlineStr">
        <is>
          <t>Earnings / Momentum Support</t>
        </is>
      </c>
      <c r="S398" s="30" t="inlineStr">
        <is>
          <t>Nifty Energy</t>
        </is>
      </c>
      <c r="T398" s="31" t="n">
        <v>8.41</v>
      </c>
      <c r="U398" s="31" t="n">
        <v>-25.96</v>
      </c>
      <c r="V398" s="31" t="n">
        <v>-31.7</v>
      </c>
      <c r="W398" s="31" t="n">
        <v>-5.82</v>
      </c>
      <c r="X398" s="30" t="inlineStr">
        <is>
          <t>Cyclical in an Upturn</t>
        </is>
      </c>
      <c r="Y398" s="30">
        <f>IF(X398="Growing Industry",10,IF(X398="Cyclical in an Upturn",5,0))</f>
        <v/>
      </c>
      <c r="Z398" s="30" t="inlineStr">
        <is>
          <t>Oligopoly</t>
        </is>
      </c>
      <c r="AA398" s="30">
        <f>IF(Z398="Monopoly",10,IF(Z398="Oligopoly",5,IF(Z398="Duopoly that cooperate",10,IF(Z398="Duopoly that compete",5,IF(Z398="Too many players with High ROCE",5,0)))))</f>
        <v/>
      </c>
      <c r="AB398" s="30" t="inlineStr">
        <is>
          <t>Yes</t>
        </is>
      </c>
      <c r="AC398" s="30">
        <f>IF(AB398="No",5,0)</f>
        <v/>
      </c>
      <c r="AD398" s="30" t="inlineStr">
        <is>
          <t>Headwind</t>
        </is>
      </c>
      <c r="AE398" s="30">
        <f>IF(AD398="Tailwind",10,0)</f>
        <v/>
      </c>
      <c r="AF398" s="30" t="inlineStr">
        <is>
          <t>Cyclical</t>
        </is>
      </c>
      <c r="AG398" s="30">
        <f>IF(AF398="Structural (10 Years Consistency)",10,IF(AF398="Shallow Cyclical (2 to 3 years growth)",5,0))</f>
        <v/>
      </c>
      <c r="AH398" s="30" t="inlineStr">
        <is>
          <t>No</t>
        </is>
      </c>
      <c r="AI398" s="30">
        <f>IF(AH398="Yes due to Product Mix change or Operating Leverage",10,IF(AH398="Yes, these are peak margins",-5,IF(AH398="No",5,0)))</f>
        <v/>
      </c>
      <c r="AJ398" s="30" t="inlineStr">
        <is>
          <t>Volatile</t>
        </is>
      </c>
      <c r="AK398" s="30">
        <f>IF(AJ398="Stable",10,0)</f>
        <v/>
      </c>
      <c r="AL398" s="30" t="inlineStr">
        <is>
          <t>Yes</t>
        </is>
      </c>
      <c r="AM398" s="30">
        <f>IF(AL398="Yes",10,0)</f>
        <v/>
      </c>
      <c r="AN398" s="30" t="inlineStr">
        <is>
          <t>B2B</t>
        </is>
      </c>
      <c r="AO398" s="30">
        <f>IF(AN398="B2C",10,IF(AN398="B2B",5,0))</f>
        <v/>
      </c>
      <c r="AP398" s="30" t="inlineStr">
        <is>
          <t>No</t>
        </is>
      </c>
      <c r="AQ398" s="30">
        <f>IF(AP398="Yes",10,0)</f>
        <v/>
      </c>
      <c r="AR398" s="30" t="inlineStr">
        <is>
          <t>Higher One Time, Lower Annuity</t>
        </is>
      </c>
      <c r="AS398" s="30">
        <f>IF(AR398="Fully Annuity",10,IF(AR398="Higher Annuity, Lower One Time",5,IF(AR398="Higher One Time, Lower Annuity",3,0)))</f>
        <v/>
      </c>
      <c r="AT398" s="30" t="inlineStr">
        <is>
          <t>Good</t>
        </is>
      </c>
      <c r="AU398" s="30">
        <f>IF(AT398="Good",10,0)</f>
        <v/>
      </c>
      <c r="AV398" s="30" t="inlineStr">
        <is>
          <t>Yes for more than 2 years</t>
        </is>
      </c>
      <c r="AW398" s="30">
        <f>IF(AV398="Yes for more than 2 years",10,IF(AV398="Yes only for next 1 to 2 years",5,0))</f>
        <v/>
      </c>
      <c r="AX398" s="30" t="inlineStr">
        <is>
          <t>0 to 20</t>
        </is>
      </c>
      <c r="AY398" s="30">
        <f>IF(AX398="Above 40",20,IF(AX398="20 to 40",10,IF(AX398="0 to 20",-5,0)))</f>
        <v/>
      </c>
      <c r="AZ398" s="30" t="inlineStr">
        <is>
          <t>Between 50 to 75</t>
        </is>
      </c>
      <c r="BA398" s="30">
        <f>IF(AZ398="Between 50 to 75",10,IF(AZ398="Above 75",0,0))</f>
        <v/>
      </c>
      <c r="BB398" s="30" t="inlineStr">
        <is>
          <t>Stage 3</t>
        </is>
      </c>
      <c r="BC398" s="30">
        <f>IF(BB398="Stage 2",20,IF(BB398="Stage 1",0,IF(BB398="Stage 3",5,IF(BB398="Stage 4",-5,0))))</f>
        <v/>
      </c>
      <c r="BD398" s="30" t="inlineStr">
        <is>
          <t>Negative Trend</t>
        </is>
      </c>
      <c r="BE398" s="30">
        <f>IF(BD398="Positive Trend",20,IF(BD398="Negative Trend",-10,0))</f>
        <v/>
      </c>
      <c r="BF398" s="30" t="inlineStr">
        <is>
          <t>Uptrend</t>
        </is>
      </c>
      <c r="BG398" s="30">
        <f>IF(BF398="Uptrend",10,IF(BF398="Sideways",5,0))</f>
        <v/>
      </c>
      <c r="BH398" s="30" t="inlineStr">
        <is>
          <t>Uptrend</t>
        </is>
      </c>
      <c r="BI398" s="30">
        <f>IF(BH398="Uptrend",10,IF(BH398="Sideways",5,0))</f>
        <v/>
      </c>
      <c r="BJ398" s="30" t="inlineStr">
        <is>
          <t>Close to 52 week high or retracement</t>
        </is>
      </c>
      <c r="BK398" s="30">
        <f>IF(BJ398="Overhead supply in last 2 years in last 2 years",-5,IF(BJ398="Close to 52 week high or retracement",5,IF(BJ398="Blue sky scenario",10,IF(BJ398="Long term Downtrend",-10,0))))</f>
        <v/>
      </c>
      <c r="BL398" s="30" t="inlineStr">
        <is>
          <t>Yes</t>
        </is>
      </c>
      <c r="BM398" s="30">
        <f>IF(BL398="Yes",10,0)</f>
        <v/>
      </c>
      <c r="BN398" s="30" t="inlineStr">
        <is>
          <t>Less than 12%</t>
        </is>
      </c>
      <c r="BO398" s="30">
        <f>IF(BN398="More than 20%",10,IF(BN398="Between 12 to 20%",5,IF(BN398="Less than 12%",0,0)))</f>
        <v/>
      </c>
      <c r="BP398" s="30" t="inlineStr">
        <is>
          <t>No</t>
        </is>
      </c>
      <c r="BQ398" s="30">
        <f>IF(BP398="No",10,0)</f>
        <v/>
      </c>
      <c r="BR398" s="30" t="inlineStr">
        <is>
          <t>No</t>
        </is>
      </c>
      <c r="BS398" s="30">
        <f>IF(BR398="NO",5,0)</f>
        <v/>
      </c>
      <c r="BT398" s="30" t="inlineStr">
        <is>
          <t>Above 2</t>
        </is>
      </c>
      <c r="BU398" s="30">
        <f>IF(BT398="Above 2",0,IF(BT398="Between 1.5 to 2",5,IF(BT398="Less than 1.5",10,0)))</f>
        <v/>
      </c>
      <c r="BV398" s="30" t="inlineStr">
        <is>
          <t>Above 70%</t>
        </is>
      </c>
      <c r="BW398" s="30">
        <f>IF(BV398="Above 70%",10,IF(BV398="Between 50% to 70%",5,IF(BV398="Less than 50%",0,IF(BV398="Negative",-10,IF(BV398="Less than 50% and Borrowings are increasing",-5,0)))))</f>
        <v/>
      </c>
      <c r="BX398" s="30" t="inlineStr">
        <is>
          <t>Less than 0.7</t>
        </is>
      </c>
      <c r="BY398" s="30">
        <f>IF(BX398="More than 1.2",-10,IF(BX398="Between 0.7 to 1.2",0,IF(BX398="Less than 0.7",10,0)))</f>
        <v/>
      </c>
      <c r="BZ398" s="30" t="inlineStr">
        <is>
          <t>No</t>
        </is>
      </c>
      <c r="CA398" s="30">
        <f>IF(BZ398="Yes",-10,0)</f>
        <v/>
      </c>
      <c r="CB398" s="30" t="inlineStr">
        <is>
          <t>Less than 15%</t>
        </is>
      </c>
      <c r="CC398" s="30">
        <f>IF(CB398="More than 15%",-10,IF(CB398="Less than 15%",10,0))</f>
        <v/>
      </c>
      <c r="CD398" s="30" t="inlineStr">
        <is>
          <t>No</t>
        </is>
      </c>
      <c r="CE398" s="30">
        <f>IF(CD398="Yes, more than 10%",-10,IF(CD398="No",10,0))</f>
        <v/>
      </c>
    </row>
    <row r="399">
      <c r="A399" s="30">
        <f>IF(B399=0,"",RANK(B399,$B$2:$B$400,0))</f>
        <v/>
      </c>
      <c r="B399" s="31">
        <f>SUM(N399,Y399,AA399,AC399,AE399,AG399,AI399,AK399,AM399,AO399,AQ399,AS399,AU399,AW399,AY399,BA399,BC399,BE399,BG399,BI399,BK399,BM399,BO399,BQ399,BS399,BU399,BW399,BY399,CA399,CC399,CE399)</f>
        <v/>
      </c>
      <c r="C399" s="32" t="inlineStr">
        <is>
          <t>LLOYDSME</t>
        </is>
      </c>
      <c r="D399" s="32" t="inlineStr">
        <is>
          <t>Lloyds Metals &amp; Energy Ltd</t>
        </is>
      </c>
      <c r="E399" s="30" t="inlineStr">
        <is>
          <t>metals &amp; mining</t>
        </is>
      </c>
      <c r="F399" s="30" t="inlineStr">
        <is>
          <t>mining / minerals / metals</t>
        </is>
      </c>
      <c r="G399" s="30" t="inlineStr">
        <is>
          <t>largecap</t>
        </is>
      </c>
      <c r="H399" s="31" t="n">
        <v>118278.01</v>
      </c>
      <c r="I399" s="31" t="n">
        <v>2052.8</v>
      </c>
      <c r="J399" s="31" t="n">
        <v>-2.3</v>
      </c>
      <c r="K399" s="31" t="n">
        <v>783313</v>
      </c>
      <c r="L399" s="30" t="n">
        <v>54</v>
      </c>
      <c r="M399" s="30" t="inlineStr">
        <is>
          <t>Underperforming</t>
        </is>
      </c>
      <c r="N399" s="31">
        <f>IF(M399="Underperforming",-5,IF(L399&gt;=95,15,IF(L399&gt;=90,10,IF(L399&gt;=80,5,0))))</f>
        <v/>
      </c>
      <c r="O399" s="31" t="n">
        <v>79.69</v>
      </c>
      <c r="P399" s="31" t="n">
        <v>44.63</v>
      </c>
      <c r="Q399" s="31" t="inlineStr"/>
      <c r="R399" s="30" t="inlineStr">
        <is>
          <t>Earnings / Momentum Support</t>
        </is>
      </c>
      <c r="S399" s="30" t="inlineStr">
        <is>
          <t>Nifty Metal</t>
        </is>
      </c>
      <c r="T399" s="31" t="n">
        <v>31.49</v>
      </c>
      <c r="U399" s="31" t="n">
        <v>26.75</v>
      </c>
      <c r="V399" s="31" t="n">
        <v>-3.61</v>
      </c>
      <c r="W399" s="31" t="n">
        <v>8.960000000000001</v>
      </c>
      <c r="X399" s="30" t="inlineStr">
        <is>
          <t>Cyclical in an Upturn</t>
        </is>
      </c>
      <c r="Y399" s="30">
        <f>IF(X399="Growing Industry",10,IF(X399="Cyclical in an Upturn",5,0))</f>
        <v/>
      </c>
      <c r="Z399" s="30" t="inlineStr">
        <is>
          <t>Too Many Players with High ROCE</t>
        </is>
      </c>
      <c r="AA399" s="30">
        <f>IF(Z399="Monopoly",10,IF(Z399="Oligopoly",5,IF(Z399="Duopoly that cooperate",10,IF(Z399="Duopoly that compete",5,IF(Z399="Too many players with High ROCE",5,0)))))</f>
        <v/>
      </c>
      <c r="AB399" s="30" t="inlineStr">
        <is>
          <t>No</t>
        </is>
      </c>
      <c r="AC399" s="30">
        <f>IF(AB399="No",5,0)</f>
        <v/>
      </c>
      <c r="AD399" s="30" t="inlineStr">
        <is>
          <t>Headwind</t>
        </is>
      </c>
      <c r="AE399" s="30">
        <f>IF(AD399="Tailwind",10,0)</f>
        <v/>
      </c>
      <c r="AF399" s="30" t="inlineStr">
        <is>
          <t>Cyclical</t>
        </is>
      </c>
      <c r="AG399" s="30">
        <f>IF(AF399="Structural (10 Years Consistency)",10,IF(AF399="Shallow Cyclical (2 to 3 years growth)",5,0))</f>
        <v/>
      </c>
      <c r="AH399" s="30" t="inlineStr">
        <is>
          <t>No</t>
        </is>
      </c>
      <c r="AI399" s="30">
        <f>IF(AH399="Yes due to Product Mix change or Operating Leverage",10,IF(AH399="Yes, these are peak margins",-5,IF(AH399="No",5,0)))</f>
        <v/>
      </c>
      <c r="AJ399" s="30" t="inlineStr">
        <is>
          <t>Volatile</t>
        </is>
      </c>
      <c r="AK399" s="30">
        <f>IF(AJ399="Stable",10,0)</f>
        <v/>
      </c>
      <c r="AL399" s="30" t="inlineStr">
        <is>
          <t>Yes</t>
        </is>
      </c>
      <c r="AM399" s="30">
        <f>IF(AL399="Yes",10,0)</f>
        <v/>
      </c>
      <c r="AN399" s="30" t="inlineStr">
        <is>
          <t>B2B</t>
        </is>
      </c>
      <c r="AO399" s="30">
        <f>IF(AN399="B2C",10,IF(AN399="B2B",5,0))</f>
        <v/>
      </c>
      <c r="AP399" s="30" t="inlineStr">
        <is>
          <t>No</t>
        </is>
      </c>
      <c r="AQ399" s="30">
        <f>IF(AP399="Yes",10,0)</f>
        <v/>
      </c>
      <c r="AR399" s="30" t="inlineStr">
        <is>
          <t>Higher One Time, Lower Annuity</t>
        </is>
      </c>
      <c r="AS399" s="30">
        <f>IF(AR399="Fully Annuity",10,IF(AR399="Higher Annuity, Lower One Time",5,IF(AR399="Higher One Time, Lower Annuity",3,0)))</f>
        <v/>
      </c>
      <c r="AT399" s="30" t="inlineStr">
        <is>
          <t>Good</t>
        </is>
      </c>
      <c r="AU399" s="30">
        <f>IF(AT399="Good",10,0)</f>
        <v/>
      </c>
      <c r="AV399" s="30" t="inlineStr">
        <is>
          <t>Yes for more than 2 years</t>
        </is>
      </c>
      <c r="AW399" s="30">
        <f>IF(AV399="Yes for more than 2 years",10,IF(AV399="Yes only for next 1 to 2 years",5,0))</f>
        <v/>
      </c>
      <c r="AX399" s="30" t="inlineStr">
        <is>
          <t>Above 40</t>
        </is>
      </c>
      <c r="AY399" s="30">
        <f>IF(AX399="Above 40",20,IF(AX399="20 to 40",10,IF(AX399="0 to 20",-5,0)))</f>
        <v/>
      </c>
      <c r="AZ399" s="30" t="inlineStr">
        <is>
          <t>Above 75</t>
        </is>
      </c>
      <c r="BA399" s="30">
        <f>IF(AZ399="Between 50 to 75",10,IF(AZ399="Above 75",0,0))</f>
        <v/>
      </c>
      <c r="BB399" s="30" t="inlineStr">
        <is>
          <t>Stage 3</t>
        </is>
      </c>
      <c r="BC399" s="30">
        <f>IF(BB399="Stage 2",20,IF(BB399="Stage 1",0,IF(BB399="Stage 3",5,IF(BB399="Stage 4",-5,0))))</f>
        <v/>
      </c>
      <c r="BD399" s="30" t="inlineStr">
        <is>
          <t>Negative Trend</t>
        </is>
      </c>
      <c r="BE399" s="30">
        <f>IF(BD399="Positive Trend",20,IF(BD399="Negative Trend",-10,0))</f>
        <v/>
      </c>
      <c r="BF399" s="30" t="inlineStr">
        <is>
          <t>Uptrend</t>
        </is>
      </c>
      <c r="BG399" s="30">
        <f>IF(BF399="Uptrend",10,IF(BF399="Sideways",5,0))</f>
        <v/>
      </c>
      <c r="BH399" s="30" t="inlineStr">
        <is>
          <t>Uptrend</t>
        </is>
      </c>
      <c r="BI399" s="30">
        <f>IF(BH399="Uptrend",10,IF(BH399="Sideways",5,0))</f>
        <v/>
      </c>
      <c r="BJ399" s="30" t="inlineStr">
        <is>
          <t>Close to 52 week high or retracement</t>
        </is>
      </c>
      <c r="BK399" s="30">
        <f>IF(BJ399="Overhead supply in last 2 years in last 2 years",-5,IF(BJ399="Close to 52 week high or retracement",5,IF(BJ399="Blue sky scenario",10,IF(BJ399="Long term Downtrend",-10,0))))</f>
        <v/>
      </c>
      <c r="BL399" s="30" t="inlineStr">
        <is>
          <t>Yes</t>
        </is>
      </c>
      <c r="BM399" s="30">
        <f>IF(BL399="Yes",10,0)</f>
        <v/>
      </c>
      <c r="BN399" s="30" t="inlineStr">
        <is>
          <t>More than 20%</t>
        </is>
      </c>
      <c r="BO399" s="30">
        <f>IF(BN399="More than 20%",10,IF(BN399="Between 12 to 20%",5,IF(BN399="Less than 12%",0,0)))</f>
        <v/>
      </c>
      <c r="BP399" s="30" t="inlineStr">
        <is>
          <t>No</t>
        </is>
      </c>
      <c r="BQ399" s="30">
        <f>IF(BP399="No",10,0)</f>
        <v/>
      </c>
      <c r="BR399" s="30" t="inlineStr">
        <is>
          <t>No</t>
        </is>
      </c>
      <c r="BS399" s="30">
        <f>IF(BR399="NO",5,0)</f>
        <v/>
      </c>
      <c r="BT399" s="30" t="inlineStr">
        <is>
          <t>Above 2</t>
        </is>
      </c>
      <c r="BU399" s="30">
        <f>IF(BT399="Above 2",0,IF(BT399="Between 1.5 to 2",5,IF(BT399="Less than 1.5",10,0)))</f>
        <v/>
      </c>
      <c r="BV399" s="30" t="inlineStr">
        <is>
          <t>Less than 50% and Borrowings are increasing</t>
        </is>
      </c>
      <c r="BW399" s="30">
        <f>IF(BV399="Above 70%",10,IF(BV399="Between 50% to 70%",5,IF(BV399="Less than 50%",0,IF(BV399="Negative",-10,IF(BV399="Less than 50% and Borrowings are increasing",-5,0)))))</f>
        <v/>
      </c>
      <c r="BX399" s="30" t="inlineStr">
        <is>
          <t>More than 1.2</t>
        </is>
      </c>
      <c r="BY399" s="30">
        <f>IF(BX399="More than 1.2",-10,IF(BX399="Between 0.7 to 1.2",0,IF(BX399="Less than 0.7",10,0)))</f>
        <v/>
      </c>
      <c r="BZ399" s="30" t="inlineStr">
        <is>
          <t>No</t>
        </is>
      </c>
      <c r="CA399" s="30">
        <f>IF(BZ399="Yes",-10,0)</f>
        <v/>
      </c>
      <c r="CB399" s="30" t="inlineStr">
        <is>
          <t>Less than 15%</t>
        </is>
      </c>
      <c r="CC399" s="30">
        <f>IF(CB399="More than 15%",-10,IF(CB399="Less than 15%",10,0))</f>
        <v/>
      </c>
      <c r="CD399" s="30" t="inlineStr">
        <is>
          <t>No</t>
        </is>
      </c>
      <c r="CE399" s="30">
        <f>IF(CD399="Yes, more than 10%",-10,IF(CD399="No",10,0))</f>
        <v/>
      </c>
    </row>
    <row r="400">
      <c r="A400" s="30">
        <f>IF(B400=0,"",RANK(B400,$B$2:$B$400,0))</f>
        <v/>
      </c>
      <c r="B400" s="31">
        <f>SUM(N400,Y400,AA400,AC400,AE400,AG400,AI400,AK400,AM400,AO400,AQ400,AS400,AU400,AW400,AY400,BA400,BC400,BE400,BG400,BI400,BK400,BM400,BO400,BQ400,BS400,BU400,BW400,BY400,CA400,CC400,CE400)</f>
        <v/>
      </c>
      <c r="C400" s="32" t="inlineStr">
        <is>
          <t>JINDALSTEL</t>
        </is>
      </c>
      <c r="D400" s="32" t="inlineStr">
        <is>
          <t>Jindal Steel Ltd</t>
        </is>
      </c>
      <c r="E400" s="30" t="inlineStr">
        <is>
          <t>metals &amp; mining</t>
        </is>
      </c>
      <c r="F400" s="30" t="inlineStr">
        <is>
          <t>steel - large</t>
        </is>
      </c>
      <c r="G400" s="30" t="inlineStr">
        <is>
          <t>largecap</t>
        </is>
      </c>
      <c r="H400" s="31" t="n">
        <v>112515.72</v>
      </c>
      <c r="I400" s="31" t="n">
        <v>1125</v>
      </c>
      <c r="J400" s="31" t="n">
        <v>1.99</v>
      </c>
      <c r="K400" s="31" t="n">
        <v>1775160</v>
      </c>
      <c r="L400" s="30" t="n">
        <v>8</v>
      </c>
      <c r="M400" s="30" t="inlineStr">
        <is>
          <t>Underperforming</t>
        </is>
      </c>
      <c r="N400" s="31">
        <f>IF(M400="Underperforming",-5,IF(L400&gt;=95,15,IF(L400&gt;=90,10,IF(L400&gt;=80,5,0))))</f>
        <v/>
      </c>
      <c r="O400" s="31" t="n">
        <v>47.9</v>
      </c>
      <c r="P400" s="31" t="n">
        <v>16.58</v>
      </c>
      <c r="Q400" s="31" t="inlineStr"/>
      <c r="R400" s="30" t="inlineStr">
        <is>
          <t>Earnings / Momentum Support</t>
        </is>
      </c>
      <c r="S400" s="30" t="inlineStr">
        <is>
          <t>Nifty Metal</t>
        </is>
      </c>
      <c r="T400" s="31" t="n">
        <v>31.49</v>
      </c>
      <c r="U400" s="31" t="n">
        <v>7.3</v>
      </c>
      <c r="V400" s="31" t="n">
        <v>-18.4</v>
      </c>
      <c r="W400" s="31" t="n">
        <v>-1.56</v>
      </c>
      <c r="X400" s="30" t="inlineStr">
        <is>
          <t>Cyclical in an Upturn</t>
        </is>
      </c>
      <c r="Y400" s="30">
        <f>IF(X400="Growing Industry",10,IF(X400="Cyclical in an Upturn",5,0))</f>
        <v/>
      </c>
      <c r="Z400" s="30" t="inlineStr">
        <is>
          <t>Too Many Players with High ROCE</t>
        </is>
      </c>
      <c r="AA400" s="30">
        <f>IF(Z400="Monopoly",10,IF(Z400="Oligopoly",5,IF(Z400="Duopoly that cooperate",10,IF(Z400="Duopoly that compete",5,IF(Z400="Too many players with High ROCE",5,0)))))</f>
        <v/>
      </c>
      <c r="AB400" s="30" t="inlineStr">
        <is>
          <t>No</t>
        </is>
      </c>
      <c r="AC400" s="30">
        <f>IF(AB400="No",5,0)</f>
        <v/>
      </c>
      <c r="AD400" s="30" t="inlineStr">
        <is>
          <t>Headwind</t>
        </is>
      </c>
      <c r="AE400" s="30">
        <f>IF(AD400="Tailwind",10,0)</f>
        <v/>
      </c>
      <c r="AF400" s="30" t="inlineStr">
        <is>
          <t>Cyclical</t>
        </is>
      </c>
      <c r="AG400" s="30">
        <f>IF(AF400="Structural (10 Years Consistency)",10,IF(AF400="Shallow Cyclical (2 to 3 years growth)",5,0))</f>
        <v/>
      </c>
      <c r="AH400" s="30" t="inlineStr">
        <is>
          <t>No</t>
        </is>
      </c>
      <c r="AI400" s="30">
        <f>IF(AH400="Yes due to Product Mix change or Operating Leverage",10,IF(AH400="Yes, these are peak margins",-5,IF(AH400="No",5,0)))</f>
        <v/>
      </c>
      <c r="AJ400" s="30" t="inlineStr">
        <is>
          <t>Volatile</t>
        </is>
      </c>
      <c r="AK400" s="30">
        <f>IF(AJ400="Stable",10,0)</f>
        <v/>
      </c>
      <c r="AL400" s="30" t="inlineStr">
        <is>
          <t>Yes</t>
        </is>
      </c>
      <c r="AM400" s="30">
        <f>IF(AL400="Yes",10,0)</f>
        <v/>
      </c>
      <c r="AN400" s="30" t="inlineStr">
        <is>
          <t>B2B</t>
        </is>
      </c>
      <c r="AO400" s="30">
        <f>IF(AN400="B2C",10,IF(AN400="B2B",5,0))</f>
        <v/>
      </c>
      <c r="AP400" s="30" t="inlineStr">
        <is>
          <t>No</t>
        </is>
      </c>
      <c r="AQ400" s="30">
        <f>IF(AP400="Yes",10,0)</f>
        <v/>
      </c>
      <c r="AR400" s="30" t="inlineStr">
        <is>
          <t>Higher One Time, Lower Annuity</t>
        </is>
      </c>
      <c r="AS400" s="30">
        <f>IF(AR400="Fully Annuity",10,IF(AR400="Higher Annuity, Lower One Time",5,IF(AR400="Higher One Time, Lower Annuity",3,0)))</f>
        <v/>
      </c>
      <c r="AT400" s="30" t="inlineStr">
        <is>
          <t>Good</t>
        </is>
      </c>
      <c r="AU400" s="30">
        <f>IF(AT400="Good",10,0)</f>
        <v/>
      </c>
      <c r="AV400" s="30" t="inlineStr">
        <is>
          <t>Yes for more than 2 years</t>
        </is>
      </c>
      <c r="AW400" s="30">
        <f>IF(AV400="Yes for more than 2 years",10,IF(AV400="Yes only for next 1 to 2 years",5,0))</f>
        <v/>
      </c>
      <c r="AX400" s="30" t="inlineStr">
        <is>
          <t>0 to 20</t>
        </is>
      </c>
      <c r="AY400" s="30">
        <f>IF(AX400="Above 40",20,IF(AX400="20 to 40",10,IF(AX400="0 to 20",-5,0)))</f>
        <v/>
      </c>
      <c r="AZ400" s="30" t="inlineStr">
        <is>
          <t>Below 45</t>
        </is>
      </c>
      <c r="BA400" s="30">
        <f>IF(AZ400="Between 50 to 75",10,IF(AZ400="Above 75",0,0))</f>
        <v/>
      </c>
      <c r="BB400" s="30" t="inlineStr">
        <is>
          <t>Stage 4</t>
        </is>
      </c>
      <c r="BC400" s="30">
        <f>IF(BB400="Stage 2",20,IF(BB400="Stage 1",0,IF(BB400="Stage 3",5,IF(BB400="Stage 4",-5,0))))</f>
        <v/>
      </c>
      <c r="BD400" s="30" t="inlineStr">
        <is>
          <t>Negative Trend</t>
        </is>
      </c>
      <c r="BE400" s="30">
        <f>IF(BD400="Positive Trend",20,IF(BD400="Negative Trend",-10,0))</f>
        <v/>
      </c>
      <c r="BF400" s="30" t="inlineStr">
        <is>
          <t>Uptrend</t>
        </is>
      </c>
      <c r="BG400" s="30">
        <f>IF(BF400="Uptrend",10,IF(BF400="Sideways",5,0))</f>
        <v/>
      </c>
      <c r="BH400" s="30" t="inlineStr">
        <is>
          <t>Uptrend</t>
        </is>
      </c>
      <c r="BI400" s="30">
        <f>IF(BH400="Uptrend",10,IF(BH400="Sideways",5,0))</f>
        <v/>
      </c>
      <c r="BJ400" s="30" t="inlineStr">
        <is>
          <t>Close to 52 week high or retracement</t>
        </is>
      </c>
      <c r="BK400" s="30">
        <f>IF(BJ400="Overhead supply in last 2 years in last 2 years",-5,IF(BJ400="Close to 52 week high or retracement",5,IF(BJ400="Blue sky scenario",10,IF(BJ400="Long term Downtrend",-10,0))))</f>
        <v/>
      </c>
      <c r="BL400" s="30" t="inlineStr">
        <is>
          <t>Yes</t>
        </is>
      </c>
      <c r="BM400" s="30">
        <f>IF(BL400="Yes",10,0)</f>
        <v/>
      </c>
      <c r="BN400" s="30" t="inlineStr">
        <is>
          <t>Less than 12%</t>
        </is>
      </c>
      <c r="BO400" s="30">
        <f>IF(BN400="More than 20%",10,IF(BN400="Between 12 to 20%",5,IF(BN400="Less than 12%",0,0)))</f>
        <v/>
      </c>
      <c r="BP400" s="30" t="inlineStr">
        <is>
          <t>No</t>
        </is>
      </c>
      <c r="BQ400" s="30">
        <f>IF(BP400="No",10,0)</f>
        <v/>
      </c>
      <c r="BR400" s="30" t="inlineStr">
        <is>
          <t>Yes</t>
        </is>
      </c>
      <c r="BS400" s="30">
        <f>IF(BR400="NO",5,0)</f>
        <v/>
      </c>
      <c r="BT400" s="30" t="inlineStr">
        <is>
          <t>Above 2</t>
        </is>
      </c>
      <c r="BU400" s="30">
        <f>IF(BT400="Above 2",0,IF(BT400="Between 1.5 to 2",5,IF(BT400="Less than 1.5",10,0)))</f>
        <v/>
      </c>
      <c r="BV400" s="30" t="inlineStr">
        <is>
          <t>Above 70%</t>
        </is>
      </c>
      <c r="BW400" s="30">
        <f>IF(BV400="Above 70%",10,IF(BV400="Between 50% to 70%",5,IF(BV400="Less than 50%",0,IF(BV400="Negative",-10,IF(BV400="Less than 50% and Borrowings are increasing",-5,0)))))</f>
        <v/>
      </c>
      <c r="BX400" s="30" t="inlineStr">
        <is>
          <t>Less than 0.7</t>
        </is>
      </c>
      <c r="BY400" s="30">
        <f>IF(BX400="More than 1.2",-10,IF(BX400="Between 0.7 to 1.2",0,IF(BX400="Less than 0.7",10,0)))</f>
        <v/>
      </c>
      <c r="BZ400" s="30" t="inlineStr">
        <is>
          <t>No</t>
        </is>
      </c>
      <c r="CA400" s="30">
        <f>IF(BZ400="Yes",-10,0)</f>
        <v/>
      </c>
      <c r="CB400" s="30" t="inlineStr">
        <is>
          <t>Less than 15%</t>
        </is>
      </c>
      <c r="CC400" s="30">
        <f>IF(CB400="More than 15%",-10,IF(CB400="Less than 15%",10,0))</f>
        <v/>
      </c>
      <c r="CD400" s="30" t="inlineStr">
        <is>
          <t>No</t>
        </is>
      </c>
      <c r="CE400" s="30">
        <f>IF(CD400="Yes, more than 10%",-10,IF(CD400="No",10,0))</f>
        <v/>
      </c>
    </row>
  </sheetData>
  <autoFilter ref="A1:CE400"/>
  <conditionalFormatting sqref="B2:B40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0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0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0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0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0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0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0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0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0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0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0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0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0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0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0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0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0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0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0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0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0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0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0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0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0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0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0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0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40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0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400">
    <cfRule type="cellIs" priority="36" operator="equal" dxfId="3" stopIfTrue="1">
      <formula>"Underperforming"</formula>
    </cfRule>
  </conditionalFormatting>
  <conditionalFormatting sqref="N2:N400">
    <cfRule type="cellIs" priority="37" operator="equal" dxfId="3" stopIfTrue="1">
      <formula>-5</formula>
    </cfRule>
  </conditionalFormatting>
  <conditionalFormatting sqref="Q2:Q40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400" showDropDown="0" showInputMessage="0" showErrorMessage="0" allowBlank="1" type="list">
      <formula1>"Growing Industry,Stagnant Industry,Cyclical in an Upturn"</formula1>
    </dataValidation>
    <dataValidation sqref="Z2:Z40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400" showDropDown="0" showInputMessage="0" showErrorMessage="0" allowBlank="1" type="list">
      <formula1>"Yes,No"</formula1>
    </dataValidation>
    <dataValidation sqref="AD2:AD400" showDropDown="0" showInputMessage="0" showErrorMessage="0" allowBlank="1" type="list">
      <formula1>"Tailwind,Headwind"</formula1>
    </dataValidation>
    <dataValidation sqref="AF2:AF400" showDropDown="0" showInputMessage="0" showErrorMessage="0" allowBlank="1" type="list">
      <formula1>"Structural (10 Years Consistency),Shallow Cyclical (2 to 3 Years Growth),Cyclical"</formula1>
    </dataValidation>
    <dataValidation sqref="AH2:AH400" showDropDown="0" showInputMessage="0" showErrorMessage="0" allowBlank="1" type="list">
      <formula1>"Yes due to Product Mix change or Operating Leverage,Yes, these are peak margins,No"</formula1>
    </dataValidation>
    <dataValidation sqref="AJ2:AJ400" showDropDown="0" showInputMessage="0" showErrorMessage="0" allowBlank="1" type="list">
      <formula1>"Stable,Volatile"</formula1>
    </dataValidation>
    <dataValidation sqref="AL2:AL400" showDropDown="0" showInputMessage="0" showErrorMessage="0" allowBlank="1" type="list">
      <formula1>"Yes,No"</formula1>
    </dataValidation>
    <dataValidation sqref="AN2:AN400" showDropDown="0" showInputMessage="0" showErrorMessage="0" allowBlank="1" type="list">
      <formula1>"B2C,B2B,B2G"</formula1>
    </dataValidation>
    <dataValidation sqref="AP2:AP400" showDropDown="0" showInputMessage="0" showErrorMessage="0" allowBlank="1" type="list">
      <formula1>"Yes,No"</formula1>
    </dataValidation>
    <dataValidation sqref="AR2:AR400" showDropDown="0" showInputMessage="0" showErrorMessage="0" allowBlank="1" type="list">
      <formula1>"Fully Annuity,Higher Annuity, Lower One time,Higher One Time, Lower Annuity,Fully One Time"</formula1>
    </dataValidation>
    <dataValidation sqref="AT2:AT400" showDropDown="0" showInputMessage="0" showErrorMessage="0" allowBlank="1" type="list">
      <formula1>"Good,Allocated capital in Non-core Areas"</formula1>
    </dataValidation>
    <dataValidation sqref="AV2:AV400" showDropDown="0" showInputMessage="0" showErrorMessage="0" allowBlank="1" type="list">
      <formula1>"Yes for more than 2 years,Yes only for next 1 to 2 years,No"</formula1>
    </dataValidation>
    <dataValidation sqref="AX2:AX400" showDropDown="0" showInputMessage="0" showErrorMessage="0" allowBlank="1" type="list">
      <formula1>"Above 40,20 to 40,0 to 20"</formula1>
    </dataValidation>
    <dataValidation sqref="AZ2:AZ400" showDropDown="0" showInputMessage="0" showErrorMessage="0" allowBlank="1" type="list">
      <formula1>"Between 50 to 75,Above 75,Below 45"</formula1>
    </dataValidation>
    <dataValidation sqref="BB2:BB400" showDropDown="0" showInputMessage="0" showErrorMessage="0" allowBlank="1" type="list">
      <formula1>"Stage 1,Stage 2,Stage 3,Stage 4"</formula1>
    </dataValidation>
    <dataValidation sqref="BD2:BD400" showDropDown="0" showInputMessage="0" showErrorMessage="0" allowBlank="1" type="list">
      <formula1>"Positive Trend,Negative Trend"</formula1>
    </dataValidation>
    <dataValidation sqref="BF2:BF400" showDropDown="0" showInputMessage="0" showErrorMessage="0" allowBlank="1" type="list">
      <formula1>"Uptrend,Sideways,Downtrend"</formula1>
    </dataValidation>
    <dataValidation sqref="BH2:BH400" showDropDown="0" showInputMessage="0" showErrorMessage="0" allowBlank="1" type="list">
      <formula1>"Uptrend,Sideways,Downtrend"</formula1>
    </dataValidation>
    <dataValidation sqref="BJ2:BJ40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400" showDropDown="0" showInputMessage="0" showErrorMessage="0" allowBlank="1" type="list">
      <formula1>"Yes,No"</formula1>
    </dataValidation>
    <dataValidation sqref="BN2:BN400" showDropDown="0" showInputMessage="0" showErrorMessage="0" allowBlank="1" type="list">
      <formula1>"More than 20%,Between 12 to 20%,Less than 12%"</formula1>
    </dataValidation>
    <dataValidation sqref="BP2:BP400" showDropDown="0" showInputMessage="0" showErrorMessage="0" allowBlank="1" type="list">
      <formula1>"Yes,No"</formula1>
    </dataValidation>
    <dataValidation sqref="BR2:BR400" showDropDown="0" showInputMessage="0" showErrorMessage="0" allowBlank="1" type="list">
      <formula1>"Yes,No"</formula1>
    </dataValidation>
    <dataValidation sqref="BT2:BT400" showDropDown="0" showInputMessage="0" showErrorMessage="0" allowBlank="1" type="list">
      <formula1>"Above 2,Between 1.5 to 2,Less than 1.5"</formula1>
    </dataValidation>
    <dataValidation sqref="BV2:BV400" showDropDown="0" showInputMessage="0" showErrorMessage="0" allowBlank="1" type="list">
      <formula1>"Above 70%,Between 50% to 70%,Less than 50%,Less than 50% and Borrowings are increasing,Negative"</formula1>
    </dataValidation>
    <dataValidation sqref="BX2:BX400" showDropDown="0" showInputMessage="0" showErrorMessage="0" allowBlank="1" type="list">
      <formula1>"More than 1.2,Between 0.7 to 1.2,Less than 0.7"</formula1>
    </dataValidation>
    <dataValidation sqref="BZ2:BZ400" showDropDown="0" showInputMessage="0" showErrorMessage="0" allowBlank="1" type="list">
      <formula1>"Yes,No"</formula1>
    </dataValidation>
    <dataValidation sqref="CB2:CB400" showDropDown="0" showInputMessage="0" showErrorMessage="0" allowBlank="1" type="list">
      <formula1>"More than 15%,Less than 15%"</formula1>
    </dataValidation>
    <dataValidation sqref="CD2:CD40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IF(B2=0,"",RANK(B2,$B$2:$B$41,0))</f>
        <v/>
      </c>
      <c r="B2" s="31">
        <f>SUM(N2,Y2,AA2,AC2,AE2,AG2,AI2,AK2,AM2,AO2,AQ2,AS2,AU2,AW2,AY2,BA2,BC2,BE2,BG2,BI2,BK2,BM2,BO2,BQ2,BS2,BU2,BW2,BY2,CA2)</f>
        <v/>
      </c>
      <c r="C2" s="30" t="inlineStr">
        <is>
          <t>ARMANFIN</t>
        </is>
      </c>
      <c r="D2" s="30" t="inlineStr">
        <is>
          <t>Arman Financial Services Limited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smallcap</t>
        </is>
      </c>
      <c r="H2" s="31" t="n">
        <v>2136.6</v>
      </c>
      <c r="I2" s="31" t="n">
        <v>1990</v>
      </c>
      <c r="J2" s="31" t="n">
        <v>-2.07</v>
      </c>
      <c r="K2" s="31" t="n">
        <v>76652</v>
      </c>
      <c r="L2" s="30" t="n">
        <v>58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66.54000000000001</v>
      </c>
      <c r="P2" s="31" t="n">
        <v>22.88</v>
      </c>
      <c r="Q2" s="31" t="inlineStr"/>
      <c r="R2" s="30" t="inlineStr">
        <is>
          <t>Earnings / Momentum Support</t>
        </is>
      </c>
      <c r="S2" s="30" t="inlineStr">
        <is>
          <t>Nifty Bank</t>
        </is>
      </c>
      <c r="T2" s="31" t="n">
        <v>4.98</v>
      </c>
      <c r="U2" s="31" t="n">
        <v>37.1</v>
      </c>
      <c r="V2" s="31" t="n">
        <v>30.59</v>
      </c>
      <c r="W2" s="31" t="n">
        <v>9.98</v>
      </c>
      <c r="X2" s="30" t="inlineStr">
        <is>
          <t>Cyclical in an Upturn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Cyclical in an Uptick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Not Applicable</t>
        </is>
      </c>
      <c r="AK2" s="30">
        <f>IF(AJ2="Yes",10,0)</f>
        <v/>
      </c>
      <c r="AL2" s="30" t="inlineStr">
        <is>
          <t>Yes</t>
        </is>
      </c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Not Applicable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between 2.5x to 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Sideways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IF(B3=0,"",RANK(B3,$B$2:$B$41,0))</f>
        <v/>
      </c>
      <c r="B3" s="31">
        <f>SUM(N3,Y3,AA3,AC3,AE3,AG3,AI3,AK3,AM3,AO3,AQ3,AS3,AU3,AW3,AY3,BA3,BC3,BE3,BG3,BI3,BK3,BM3,BO3,BQ3,BS3,BU3,BW3,BY3,CA3)</f>
        <v/>
      </c>
      <c r="C3" s="30" t="inlineStr">
        <is>
          <t>KTKBANK</t>
        </is>
      </c>
      <c r="D3" s="30" t="inlineStr">
        <is>
          <t>The Karnataka Bank Limited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midcap</t>
        </is>
      </c>
      <c r="H3" s="31" t="n">
        <v>11724.3</v>
      </c>
      <c r="I3" s="31" t="n">
        <v>305.25</v>
      </c>
      <c r="J3" s="31" t="n">
        <v>-1.53</v>
      </c>
      <c r="K3" s="31" t="n">
        <v>1598287</v>
      </c>
      <c r="L3" s="30" t="n">
        <v>78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74.62</v>
      </c>
      <c r="P3" s="31" t="n">
        <v>45.49</v>
      </c>
      <c r="Q3" s="31" t="inlineStr"/>
      <c r="R3" s="30" t="inlineStr">
        <is>
          <t>Earnings / Momentum Support</t>
        </is>
      </c>
      <c r="S3" s="30" t="inlineStr">
        <is>
          <t>Nifty Bank</t>
        </is>
      </c>
      <c r="T3" s="31" t="n">
        <v>4.98</v>
      </c>
      <c r="U3" s="31" t="n">
        <v>85.15000000000001</v>
      </c>
      <c r="V3" s="31" t="n">
        <v>76.36</v>
      </c>
      <c r="W3" s="31" t="n">
        <v>17.46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Headwind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No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3</t>
        </is>
      </c>
      <c r="BQ3" s="30">
        <f>IF(BP3="Stage 2",20,IF(BP3="Stage 1",0,IF(BP3="Stage 3",5,IF(BP3="Stage 4",-5,0))))</f>
        <v/>
      </c>
      <c r="BR3" s="30" t="inlineStr">
        <is>
          <t>Negative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Close to 52 week high or retracement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IF(B4=0,"",RANK(B4,$B$2:$B$41,0))</f>
        <v/>
      </c>
      <c r="B4" s="31">
        <f>SUM(N4,Y4,AA4,AC4,AE4,AG4,AI4,AK4,AM4,AO4,AQ4,AS4,AU4,AW4,AY4,BA4,BC4,BE4,BG4,BI4,BK4,BM4,BO4,BQ4,BS4,BU4,BW4,BY4,CA4)</f>
        <v/>
      </c>
      <c r="C4" s="30" t="inlineStr">
        <is>
          <t>TMB</t>
        </is>
      </c>
      <c r="D4" s="30" t="inlineStr">
        <is>
          <t>Tamilnad Mercantile Bank Ltd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midcap</t>
        </is>
      </c>
      <c r="H4" s="31" t="n">
        <v>13870.8</v>
      </c>
      <c r="I4" s="31" t="n">
        <v>890.2</v>
      </c>
      <c r="J4" s="31" t="n">
        <v>1.63</v>
      </c>
      <c r="K4" s="31" t="n">
        <v>181662</v>
      </c>
      <c r="L4" s="30" t="n">
        <v>82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73.48</v>
      </c>
      <c r="P4" s="31" t="n">
        <v>37.86</v>
      </c>
      <c r="Q4" s="31" t="inlineStr"/>
      <c r="R4" s="30" t="inlineStr">
        <is>
          <t>Earnings / Momentum Support</t>
        </is>
      </c>
      <c r="S4" s="30" t="inlineStr">
        <is>
          <t>Nifty Bank</t>
        </is>
      </c>
      <c r="T4" s="31" t="n">
        <v>4.98</v>
      </c>
      <c r="U4" s="31" t="n">
        <v>107.32</v>
      </c>
      <c r="V4" s="31" t="n">
        <v>97.48</v>
      </c>
      <c r="W4" s="31" t="n">
        <v>20.42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Headwind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No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3</t>
        </is>
      </c>
      <c r="BQ4" s="30">
        <f>IF(BP4="Stage 2",20,IF(BP4="Stage 1",0,IF(BP4="Stage 3",5,IF(BP4="Stage 4",-5,0))))</f>
        <v/>
      </c>
      <c r="BR4" s="30" t="inlineStr">
        <is>
          <t>Negative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IF(B5=0,"",RANK(B5,$B$2:$B$41,0))</f>
        <v/>
      </c>
      <c r="B5" s="31">
        <f>SUM(N5,Y5,AA5,AC5,AE5,AG5,AI5,AK5,AM5,AO5,AQ5,AS5,AU5,AW5,AY5,BA5,BC5,BE5,BG5,BI5,BK5,BM5,BO5,BQ5,BS5,BU5,BW5,BY5,CA5)</f>
        <v/>
      </c>
      <c r="C5" s="30" t="inlineStr">
        <is>
          <t>BFINVEST</t>
        </is>
      </c>
      <c r="D5" s="30" t="inlineStr">
        <is>
          <t>Bf Investment Limited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smallcap</t>
        </is>
      </c>
      <c r="H5" s="31" t="n">
        <v>1768.68</v>
      </c>
      <c r="I5" s="31" t="n">
        <v>475.65</v>
      </c>
      <c r="J5" s="31" t="n">
        <v>1.3</v>
      </c>
      <c r="K5" s="31" t="n">
        <v>52032</v>
      </c>
      <c r="L5" s="30" t="n">
        <v>28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59.56</v>
      </c>
      <c r="P5" s="31" t="n">
        <v>31.7</v>
      </c>
      <c r="Q5" s="31" t="inlineStr"/>
      <c r="R5" s="30" t="inlineStr">
        <is>
          <t>Earnings / Momentum Support</t>
        </is>
      </c>
      <c r="S5" s="30" t="inlineStr">
        <is>
          <t>Nifty Bank</t>
        </is>
      </c>
      <c r="T5" s="31" t="n">
        <v>4.98</v>
      </c>
      <c r="U5" s="31" t="n">
        <v>6.05</v>
      </c>
      <c r="V5" s="31" t="n">
        <v>1.01</v>
      </c>
      <c r="W5" s="31" t="n">
        <v>3.16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Headwind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No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3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IF(B6=0,"",RANK(B6,$B$2:$B$41,0))</f>
        <v/>
      </c>
      <c r="B6" s="31">
        <f>SUM(N6,Y6,AA6,AC6,AE6,AG6,AI6,AK6,AM6,AO6,AQ6,AS6,AU6,AW6,AY6,BA6,BC6,BE6,BG6,BI6,BK6,BM6,BO6,BQ6,BS6,BU6,BW6,BY6,CA6)</f>
        <v/>
      </c>
      <c r="C6" s="30" t="inlineStr">
        <is>
          <t>M&amp;MFIN</t>
        </is>
      </c>
      <c r="D6" s="30" t="inlineStr">
        <is>
          <t>Mahindra &amp; Mahindra Financial Services Limited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largecap</t>
        </is>
      </c>
      <c r="H6" s="31" t="n">
        <v>56773.37</v>
      </c>
      <c r="I6" s="31" t="n">
        <v>412.3</v>
      </c>
      <c r="J6" s="31" t="n">
        <v>0.9399999999999999</v>
      </c>
      <c r="K6" s="31" t="n">
        <v>3517041</v>
      </c>
      <c r="L6" s="30" t="n">
        <v>75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69.89</v>
      </c>
      <c r="P6" s="31" t="n">
        <v>22.3</v>
      </c>
      <c r="Q6" s="31" t="inlineStr"/>
      <c r="R6" s="30" t="inlineStr">
        <is>
          <t>Earnings / Momentum Support</t>
        </is>
      </c>
      <c r="S6" s="30" t="inlineStr">
        <is>
          <t>Nifty Bank</t>
        </is>
      </c>
      <c r="T6" s="31" t="n">
        <v>4.98</v>
      </c>
      <c r="U6" s="31" t="n">
        <v>65.40000000000001</v>
      </c>
      <c r="V6" s="31" t="n">
        <v>57.55</v>
      </c>
      <c r="W6" s="31" t="n">
        <v>16.19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Headwind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3</t>
        </is>
      </c>
      <c r="BQ6" s="30">
        <f>IF(BP6="Stage 2",20,IF(BP6="Stage 1",0,IF(BP6="Stage 3",5,IF(BP6="Stage 4",-5,0))))</f>
        <v/>
      </c>
      <c r="BR6" s="30" t="inlineStr">
        <is>
          <t>Negative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IF(B7=0,"",RANK(B7,$B$2:$B$41,0))</f>
        <v/>
      </c>
      <c r="B7" s="31">
        <f>SUM(N7,Y7,AA7,AC7,AE7,AG7,AI7,AK7,AM7,AO7,AQ7,AS7,AU7,AW7,AY7,BA7,BC7,BE7,BG7,BI7,BK7,BM7,BO7,BQ7,BS7,BU7,BW7,BY7,CA7)</f>
        <v/>
      </c>
      <c r="C7" s="30" t="inlineStr">
        <is>
          <t>MANAPPURAM</t>
        </is>
      </c>
      <c r="D7" s="30" t="inlineStr">
        <is>
          <t>Manappuram Finance Limited</t>
        </is>
      </c>
      <c r="E7" s="30" t="inlineStr">
        <is>
          <t>financials</t>
        </is>
      </c>
      <c r="F7" s="30" t="inlineStr">
        <is>
          <t>finance &amp; investments</t>
        </is>
      </c>
      <c r="G7" s="30" t="inlineStr">
        <is>
          <t>largecap</t>
        </is>
      </c>
      <c r="H7" s="31" t="n">
        <v>34450.15</v>
      </c>
      <c r="I7" s="31" t="n">
        <v>369.3</v>
      </c>
      <c r="J7" s="31" t="n">
        <v>0.7</v>
      </c>
      <c r="K7" s="31" t="n">
        <v>5708346</v>
      </c>
      <c r="L7" s="30" t="n">
        <v>60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67.15000000000001</v>
      </c>
      <c r="P7" s="31" t="n">
        <v>20.24</v>
      </c>
      <c r="Q7" s="31" t="inlineStr"/>
      <c r="R7" s="30" t="inlineStr">
        <is>
          <t>Earnings / Momentum Support</t>
        </is>
      </c>
      <c r="S7" s="30" t="inlineStr">
        <is>
          <t>Nifty Bank</t>
        </is>
      </c>
      <c r="T7" s="31" t="n">
        <v>4.98</v>
      </c>
      <c r="U7" s="31" t="n">
        <v>42.88</v>
      </c>
      <c r="V7" s="31" t="n">
        <v>36.1</v>
      </c>
      <c r="W7" s="31" t="n">
        <v>10.79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No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3</t>
        </is>
      </c>
      <c r="BQ7" s="30">
        <f>IF(BP7="Stage 2",20,IF(BP7="Stage 1",0,IF(BP7="Stage 3",5,IF(BP7="Stage 4",-5,0))))</f>
        <v/>
      </c>
      <c r="BR7" s="30" t="inlineStr">
        <is>
          <t>Negative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IF(B8=0,"",RANK(B8,$B$2:$B$41,0))</f>
        <v/>
      </c>
      <c r="B8" s="31">
        <f>SUM(N8,Y8,AA8,AC8,AE8,AG8,AI8,AK8,AM8,AO8,AQ8,AS8,AU8,AW8,AY8,BA8,BC8,BE8,BG8,BI8,BK8,BM8,BO8,BQ8,BS8,BU8,BW8,BY8,CA8)</f>
        <v/>
      </c>
      <c r="C8" s="30" t="inlineStr">
        <is>
          <t>INDUSINDBK</t>
        </is>
      </c>
      <c r="D8" s="30" t="inlineStr">
        <is>
          <t>Indusind Bank Limited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largecap</t>
        </is>
      </c>
      <c r="H8" s="31" t="n">
        <v>79627.37</v>
      </c>
      <c r="I8" s="31" t="n">
        <v>1027.3</v>
      </c>
      <c r="J8" s="31" t="n">
        <v>0.52</v>
      </c>
      <c r="K8" s="31" t="n">
        <v>2062731</v>
      </c>
      <c r="L8" s="30" t="n">
        <v>47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63.46</v>
      </c>
      <c r="P8" s="31" t="n">
        <v>27.71</v>
      </c>
      <c r="Q8" s="31" t="inlineStr"/>
      <c r="R8" s="30" t="inlineStr">
        <is>
          <t>Earnings / Momentum Support</t>
        </is>
      </c>
      <c r="S8" s="30" t="inlineStr">
        <is>
          <t>Nifty Bank</t>
        </is>
      </c>
      <c r="T8" s="31" t="n">
        <v>4.98</v>
      </c>
      <c r="U8" s="31" t="n">
        <v>30.83</v>
      </c>
      <c r="V8" s="31" t="n">
        <v>24.62</v>
      </c>
      <c r="W8" s="31" t="n">
        <v>7.16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Headwind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No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3</t>
        </is>
      </c>
      <c r="BQ8" s="30">
        <f>IF(BP8="Stage 2",20,IF(BP8="Stage 1",0,IF(BP8="Stage 3",5,IF(BP8="Stage 4",-5,0))))</f>
        <v/>
      </c>
      <c r="BR8" s="30" t="inlineStr">
        <is>
          <t>Negative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IF(B9=0,"",RANK(B9,$B$2:$B$41,0))</f>
        <v/>
      </c>
      <c r="B9" s="31">
        <f>SUM(N9,Y9,AA9,AC9,AE9,AG9,AI9,AK9,AM9,AO9,AQ9,AS9,AU9,AW9,AY9,BA9,BC9,BE9,BG9,BI9,BK9,BM9,BO9,BQ9,BS9,BU9,BW9,BY9,CA9)</f>
        <v/>
      </c>
      <c r="C9" s="30" t="inlineStr">
        <is>
          <t>RBLBANK</t>
        </is>
      </c>
      <c r="D9" s="30" t="inlineStr">
        <is>
          <t>Rbl Bank Limited</t>
        </is>
      </c>
      <c r="E9" s="30" t="inlineStr">
        <is>
          <t>bank</t>
        </is>
      </c>
      <c r="F9" s="30" t="inlineStr">
        <is>
          <t>banks - private sector</t>
        </is>
      </c>
      <c r="G9" s="30" t="inlineStr">
        <is>
          <t>largecap</t>
        </is>
      </c>
      <c r="H9" s="31" t="n">
        <v>60362.79</v>
      </c>
      <c r="I9" s="31" t="n">
        <v>391</v>
      </c>
      <c r="J9" s="31" t="n">
        <v>0.31</v>
      </c>
      <c r="K9" s="31" t="n">
        <v>3804712</v>
      </c>
      <c r="L9" s="30" t="n">
        <v>63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65.29000000000001</v>
      </c>
      <c r="P9" s="31" t="n">
        <v>36.9</v>
      </c>
      <c r="Q9" s="31" t="inlineStr"/>
      <c r="R9" s="30" t="inlineStr">
        <is>
          <t>Earnings / Momentum Support</t>
        </is>
      </c>
      <c r="S9" s="30" t="inlineStr">
        <is>
          <t>Nifty Bank</t>
        </is>
      </c>
      <c r="T9" s="31" t="n">
        <v>4.98</v>
      </c>
      <c r="U9" s="31" t="n">
        <v>49.49</v>
      </c>
      <c r="V9" s="31" t="n">
        <v>42.39</v>
      </c>
      <c r="W9" s="31" t="n">
        <v>11.72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No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3</t>
        </is>
      </c>
      <c r="BQ9" s="30">
        <f>IF(BP9="Stage 2",20,IF(BP9="Stage 1",0,IF(BP9="Stage 3",5,IF(BP9="Stage 4",-5,0))))</f>
        <v/>
      </c>
      <c r="BR9" s="30" t="inlineStr">
        <is>
          <t>Negative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IF(B10=0,"",RANK(B10,$B$2:$B$41,0))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UJJIVANSFB</t>
        </is>
      </c>
      <c r="D10" s="30" t="inlineStr">
        <is>
          <t>Ujjivan Small Finance Bank Ltd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midcap</t>
        </is>
      </c>
      <c r="H10" s="31" t="n">
        <v>13638.19</v>
      </c>
      <c r="I10" s="31" t="n">
        <v>69.76000000000001</v>
      </c>
      <c r="J10" s="31" t="n">
        <v>-0.5</v>
      </c>
      <c r="K10" s="31" t="n">
        <v>6802846</v>
      </c>
      <c r="L10" s="30" t="n">
        <v>65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65.93000000000001</v>
      </c>
      <c r="P10" s="31" t="n">
        <v>35.92</v>
      </c>
      <c r="Q10" s="31" t="inlineStr"/>
      <c r="R10" s="30" t="inlineStr">
        <is>
          <t>Earnings / Momentum Support</t>
        </is>
      </c>
      <c r="S10" s="30" t="inlineStr">
        <is>
          <t>Nifty Bank</t>
        </is>
      </c>
      <c r="T10" s="31" t="n">
        <v>4.98</v>
      </c>
      <c r="U10" s="31" t="n">
        <v>58.98</v>
      </c>
      <c r="V10" s="31" t="n">
        <v>51.43</v>
      </c>
      <c r="W10" s="31" t="n">
        <v>12.55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No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3</t>
        </is>
      </c>
      <c r="BQ10" s="30">
        <f>IF(BP10="Stage 2",20,IF(BP10="Stage 1",0,IF(BP10="Stage 3",5,IF(BP10="Stage 4",-5,0))))</f>
        <v/>
      </c>
      <c r="BR10" s="30" t="inlineStr">
        <is>
          <t>Negative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IF(B11=0,"",RANK(B11,$B$2:$B$41,0))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ESAFSFB</t>
        </is>
      </c>
      <c r="D11" s="30" t="inlineStr">
        <is>
          <t>ESAF Small Finance Bank Ltd</t>
        </is>
      </c>
      <c r="E11" s="30" t="inlineStr">
        <is>
          <t>bank</t>
        </is>
      </c>
      <c r="F11" s="30" t="inlineStr">
        <is>
          <t>banks - private sector</t>
        </is>
      </c>
      <c r="G11" s="30" t="inlineStr">
        <is>
          <t>smallcap</t>
        </is>
      </c>
      <c r="H11" s="31" t="n">
        <v>2077.74</v>
      </c>
      <c r="I11" s="31" t="n">
        <v>39.85</v>
      </c>
      <c r="J11" s="31" t="n">
        <v>-1.04</v>
      </c>
      <c r="K11" s="31" t="n">
        <v>2058165</v>
      </c>
      <c r="L11" s="30" t="n">
        <v>71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68.09999999999999</v>
      </c>
      <c r="P11" s="31" t="n">
        <v>33.46</v>
      </c>
      <c r="Q11" s="31" t="inlineStr"/>
      <c r="R11" s="30" t="inlineStr">
        <is>
          <t>Earnings / Momentum Support</t>
        </is>
      </c>
      <c r="S11" s="30" t="inlineStr">
        <is>
          <t>Nifty Bank</t>
        </is>
      </c>
      <c r="T11" s="31" t="n">
        <v>4.98</v>
      </c>
      <c r="U11" s="31" t="n">
        <v>32.55</v>
      </c>
      <c r="V11" s="31" t="n">
        <v>26.26</v>
      </c>
      <c r="W11" s="31" t="n">
        <v>14.14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No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3</t>
        </is>
      </c>
      <c r="BQ11" s="30">
        <f>IF(BP11="Stage 2",20,IF(BP11="Stage 1",0,IF(BP11="Stage 3",5,IF(BP11="Stage 4",-5,0))))</f>
        <v/>
      </c>
      <c r="BR11" s="30" t="inlineStr">
        <is>
          <t>Negative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IF(B12=0,"",RANK(B12,$B$2:$B$41,0))</f>
        <v/>
      </c>
      <c r="B12" s="31">
        <f>SUM(N12,Y12,AA12,AC12,AE12,AG12,AI12,AK12,AM12,AO12,AQ12,AS12,AU12,AW12,AY12,BA12,BC12,BE12,BG12,BI12,BK12,BM12,BO12,BQ12,BS12,BU12,BW12,BY12,CA12)</f>
        <v/>
      </c>
      <c r="C12" s="32" t="inlineStr">
        <is>
          <t>GEECEE</t>
        </is>
      </c>
      <c r="D12" s="32" t="inlineStr">
        <is>
          <t>Geecee Ventures Limited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smallcap</t>
        </is>
      </c>
      <c r="H12" s="31" t="n">
        <v>760.04</v>
      </c>
      <c r="I12" s="31" t="n">
        <v>370</v>
      </c>
      <c r="J12" s="31" t="n">
        <v>1.8</v>
      </c>
      <c r="K12" s="31" t="n">
        <v>7109</v>
      </c>
      <c r="L12" s="30" t="n">
        <v>35</v>
      </c>
      <c r="M12" s="30" t="inlineStr">
        <is>
          <t>Underperforming</t>
        </is>
      </c>
      <c r="N12" s="31">
        <f>IF(M12="Underperforming",-5,IF(L12&gt;=95,15,IF(L12&gt;=90,10,IF(L12&gt;=80,5,0))))</f>
        <v/>
      </c>
      <c r="O12" s="31" t="n">
        <v>60.85</v>
      </c>
      <c r="P12" s="31" t="n">
        <v>31.1</v>
      </c>
      <c r="Q12" s="31" t="inlineStr"/>
      <c r="R12" s="30" t="inlineStr">
        <is>
          <t>Earnings / Momentum Support</t>
        </is>
      </c>
      <c r="S12" s="30" t="inlineStr">
        <is>
          <t>Nifty Bank</t>
        </is>
      </c>
      <c r="T12" s="31" t="n">
        <v>4.98</v>
      </c>
      <c r="U12" s="31" t="n">
        <v>-0.62</v>
      </c>
      <c r="V12" s="31" t="n">
        <v>-5.34</v>
      </c>
      <c r="W12" s="31" t="n">
        <v>4.86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No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3</t>
        </is>
      </c>
      <c r="BQ12" s="30">
        <f>IF(BP12="Stage 2",20,IF(BP12="Stage 1",0,IF(BP12="Stage 3",5,IF(BP12="Stage 4",-5,0))))</f>
        <v/>
      </c>
      <c r="BR12" s="30" t="inlineStr">
        <is>
          <t>Negative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IF(B13=0,"",RANK(B13,$B$2:$B$41,0))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TFCILTD</t>
        </is>
      </c>
      <c r="D13" s="30" t="inlineStr">
        <is>
          <t>Tourism Finance Corporation Of India Limited</t>
        </is>
      </c>
      <c r="E13" s="30" t="inlineStr">
        <is>
          <t>financials</t>
        </is>
      </c>
      <c r="F13" s="30" t="inlineStr">
        <is>
          <t>finance - term-lending institutions</t>
        </is>
      </c>
      <c r="G13" s="30" t="inlineStr">
        <is>
          <t>midcap</t>
        </is>
      </c>
      <c r="H13" s="31" t="n">
        <v>5439.06</v>
      </c>
      <c r="I13" s="31" t="n">
        <v>115.22</v>
      </c>
      <c r="J13" s="31" t="n">
        <v>-1.92</v>
      </c>
      <c r="K13" s="31" t="n">
        <v>20454753</v>
      </c>
      <c r="L13" s="30" t="n">
        <v>89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79.68000000000001</v>
      </c>
      <c r="P13" s="31" t="n">
        <v>51.36</v>
      </c>
      <c r="Q13" s="31" t="inlineStr"/>
      <c r="R13" s="30" t="inlineStr">
        <is>
          <t>Earnings / Momentum Support</t>
        </is>
      </c>
      <c r="S13" s="30" t="inlineStr">
        <is>
          <t>Nifty Bank</t>
        </is>
      </c>
      <c r="T13" s="31" t="n">
        <v>4.98</v>
      </c>
      <c r="U13" s="31" t="n">
        <v>108.68</v>
      </c>
      <c r="V13" s="31" t="n">
        <v>98.77</v>
      </c>
      <c r="W13" s="31" t="n">
        <v>25.07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No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Above 40</t>
        </is>
      </c>
      <c r="BM13" s="30">
        <f>IF(BL13="Above 40",20,IF(BL13="20 to 40",10,IF(BL13="0 to 20",-5,0)))</f>
        <v/>
      </c>
      <c r="BN13" s="30" t="inlineStr">
        <is>
          <t>Above 75</t>
        </is>
      </c>
      <c r="BO13" s="30">
        <f>IF(BN13="Between 50 to 75",10,IF(BN13="Above 75",0,0))</f>
        <v/>
      </c>
      <c r="BP13" s="30" t="inlineStr">
        <is>
          <t>Stage 3</t>
        </is>
      </c>
      <c r="BQ13" s="30">
        <f>IF(BP13="Stage 2",20,IF(BP13="Stage 1",0,IF(BP13="Stage 3",5,IF(BP13="Stage 4",-5,0))))</f>
        <v/>
      </c>
      <c r="BR13" s="30" t="inlineStr">
        <is>
          <t>Negative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IF(B14=0,"",RANK(B14,$B$2:$B$41,0))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MONARCH</t>
        </is>
      </c>
      <c r="D14" s="30" t="inlineStr">
        <is>
          <t>Monarch Networth Capital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3098.18</v>
      </c>
      <c r="I14" s="31" t="n">
        <v>393.15</v>
      </c>
      <c r="J14" s="31" t="n">
        <v>0.64</v>
      </c>
      <c r="K14" s="31" t="n">
        <v>197141</v>
      </c>
      <c r="L14" s="30" t="n">
        <v>54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72.31999999999999</v>
      </c>
      <c r="P14" s="31" t="n">
        <v>32.5</v>
      </c>
      <c r="Q14" s="31" t="inlineStr"/>
      <c r="R14" s="30" t="inlineStr">
        <is>
          <t>Earnings / Momentum Support</t>
        </is>
      </c>
      <c r="S14" s="30" t="inlineStr">
        <is>
          <t>Nifty Bank</t>
        </is>
      </c>
      <c r="T14" s="31" t="n">
        <v>4.98</v>
      </c>
      <c r="U14" s="31" t="n">
        <v>16.86</v>
      </c>
      <c r="V14" s="31" t="n">
        <v>11.31</v>
      </c>
      <c r="W14" s="31" t="n">
        <v>9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No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3</t>
        </is>
      </c>
      <c r="BQ14" s="30">
        <f>IF(BP14="Stage 2",20,IF(BP14="Stage 1",0,IF(BP14="Stage 3",5,IF(BP14="Stage 4",-5,0))))</f>
        <v/>
      </c>
      <c r="BR14" s="30" t="inlineStr">
        <is>
          <t>Negative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IF(B15=0,"",RANK(B15,$B$2:$B$41,0))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FEDERALBNK</t>
        </is>
      </c>
      <c r="D15" s="30" t="inlineStr">
        <is>
          <t>The Federal Bank  Limited</t>
        </is>
      </c>
      <c r="E15" s="30" t="inlineStr">
        <is>
          <t>bank</t>
        </is>
      </c>
      <c r="F15" s="30" t="inlineStr">
        <is>
          <t>banks - private sector</t>
        </is>
      </c>
      <c r="G15" s="30" t="inlineStr">
        <is>
          <t>largecap</t>
        </is>
      </c>
      <c r="H15" s="31" t="n">
        <v>87923.89</v>
      </c>
      <c r="I15" s="31" t="n">
        <v>358.35</v>
      </c>
      <c r="J15" s="31" t="n">
        <v>0.59</v>
      </c>
      <c r="K15" s="31" t="n">
        <v>5439195</v>
      </c>
      <c r="L15" s="30" t="n">
        <v>77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76.75</v>
      </c>
      <c r="P15" s="31" t="n">
        <v>37.61</v>
      </c>
      <c r="Q15" s="31" t="inlineStr"/>
      <c r="R15" s="30" t="inlineStr">
        <is>
          <t>Earnings / Momentum Support</t>
        </is>
      </c>
      <c r="S15" s="30" t="inlineStr">
        <is>
          <t>Nifty Bank</t>
        </is>
      </c>
      <c r="T15" s="31" t="n">
        <v>4.98</v>
      </c>
      <c r="U15" s="31" t="n">
        <v>82.53</v>
      </c>
      <c r="V15" s="31" t="n">
        <v>73.87</v>
      </c>
      <c r="W15" s="31" t="n">
        <v>17.16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No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Above 75</t>
        </is>
      </c>
      <c r="BO15" s="30">
        <f>IF(BN15="Between 50 to 75",10,IF(BN15="Above 75",0,0))</f>
        <v/>
      </c>
      <c r="BP15" s="30" t="inlineStr">
        <is>
          <t>Stage 3</t>
        </is>
      </c>
      <c r="BQ15" s="30">
        <f>IF(BP15="Stage 2",20,IF(BP15="Stage 1",0,IF(BP15="Stage 3",5,IF(BP15="Stage 4",-5,0))))</f>
        <v/>
      </c>
      <c r="BR15" s="30" t="inlineStr">
        <is>
          <t>Negative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IF(B16=0,"",RANK(B16,$B$2:$B$41,0))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MUFIN</t>
        </is>
      </c>
      <c r="D16" s="30" t="inlineStr">
        <is>
          <t>Mufin Green Finance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smallcap</t>
        </is>
      </c>
      <c r="H16" s="31" t="n">
        <v>2718.59</v>
      </c>
      <c r="I16" s="31" t="n">
        <v>137.79</v>
      </c>
      <c r="J16" s="31" t="n">
        <v>0.44</v>
      </c>
      <c r="K16" s="31" t="n">
        <v>862614</v>
      </c>
      <c r="L16" s="30" t="n">
        <v>67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65.3</v>
      </c>
      <c r="P16" s="31" t="n">
        <v>33.96</v>
      </c>
      <c r="Q16" s="31" t="inlineStr"/>
      <c r="R16" s="30" t="inlineStr">
        <is>
          <t>Earnings / Momentum Support</t>
        </is>
      </c>
      <c r="S16" s="30" t="inlineStr">
        <is>
          <t>Nifty Bank</t>
        </is>
      </c>
      <c r="T16" s="31" t="n">
        <v>4.98</v>
      </c>
      <c r="U16" s="31" t="n">
        <v>55.9</v>
      </c>
      <c r="V16" s="31" t="n">
        <v>48.5</v>
      </c>
      <c r="W16" s="31" t="n">
        <v>13.49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No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between 2.5x to 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3</t>
        </is>
      </c>
      <c r="BQ16" s="30">
        <f>IF(BP16="Stage 2",20,IF(BP16="Stage 1",0,IF(BP16="Stage 3",5,IF(BP16="Stage 4",-5,0))))</f>
        <v/>
      </c>
      <c r="BR16" s="30" t="inlineStr">
        <is>
          <t>Negative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IF(B17=0,"",RANK(B17,$B$2:$B$41,0))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AUBANK</t>
        </is>
      </c>
      <c r="D17" s="30" t="inlineStr">
        <is>
          <t>AU Small Finance Bank Ltd</t>
        </is>
      </c>
      <c r="E17" s="30" t="inlineStr">
        <is>
          <t>bank</t>
        </is>
      </c>
      <c r="F17" s="30" t="inlineStr">
        <is>
          <t>banks - private sector</t>
        </is>
      </c>
      <c r="G17" s="30" t="inlineStr">
        <is>
          <t>largecap</t>
        </is>
      </c>
      <c r="H17" s="31" t="n">
        <v>79915.31</v>
      </c>
      <c r="I17" s="31" t="n">
        <v>1068</v>
      </c>
      <c r="J17" s="31" t="n">
        <v>0.09</v>
      </c>
      <c r="K17" s="31" t="n">
        <v>1602756</v>
      </c>
      <c r="L17" s="30" t="n">
        <v>51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59.6</v>
      </c>
      <c r="P17" s="31" t="n">
        <v>23.92</v>
      </c>
      <c r="Q17" s="31" t="inlineStr"/>
      <c r="R17" s="30" t="inlineStr">
        <is>
          <t>Earnings / Momentum Support</t>
        </is>
      </c>
      <c r="S17" s="30" t="inlineStr">
        <is>
          <t>Nifty Bank</t>
        </is>
      </c>
      <c r="T17" s="31" t="n">
        <v>4.98</v>
      </c>
      <c r="U17" s="31" t="n">
        <v>44.52</v>
      </c>
      <c r="V17" s="31" t="n">
        <v>37.66</v>
      </c>
      <c r="W17" s="31" t="n">
        <v>8.27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No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between 2.5x to 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3</t>
        </is>
      </c>
      <c r="BQ17" s="30">
        <f>IF(BP17="Stage 2",20,IF(BP17="Stage 1",0,IF(BP17="Stage 3",5,IF(BP17="Stage 4",-5,0))))</f>
        <v/>
      </c>
      <c r="BR17" s="30" t="inlineStr">
        <is>
          <t>Negative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IF(B18=0,"",RANK(B18,$B$2:$B$41,0))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IIFL</t>
        </is>
      </c>
      <c r="D18" s="30" t="inlineStr">
        <is>
          <t>IIFL Finance Ltd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largecap</t>
        </is>
      </c>
      <c r="H18" s="31" t="n">
        <v>26019.26</v>
      </c>
      <c r="I18" s="31" t="n">
        <v>625.9</v>
      </c>
      <c r="J18" s="31" t="n">
        <v>2.31</v>
      </c>
      <c r="K18" s="31" t="n">
        <v>1267266</v>
      </c>
      <c r="L18" s="30" t="n">
        <v>70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68.97</v>
      </c>
      <c r="P18" s="31" t="n">
        <v>19.81</v>
      </c>
      <c r="Q18" s="31" t="inlineStr"/>
      <c r="R18" s="30" t="inlineStr">
        <is>
          <t>Earnings / Momentum Support</t>
        </is>
      </c>
      <c r="S18" s="30" t="inlineStr">
        <is>
          <t>Nifty Bank</t>
        </is>
      </c>
      <c r="T18" s="31" t="n">
        <v>4.98</v>
      </c>
      <c r="U18" s="31" t="n">
        <v>37.29</v>
      </c>
      <c r="V18" s="31" t="n">
        <v>30.77</v>
      </c>
      <c r="W18" s="31" t="n">
        <v>14.13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No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more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0 to 20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3</t>
        </is>
      </c>
      <c r="BQ18" s="30">
        <f>IF(BP18="Stage 2",20,IF(BP18="Stage 1",0,IF(BP18="Stage 3",5,IF(BP18="Stage 4",-5,0))))</f>
        <v/>
      </c>
      <c r="BR18" s="30" t="inlineStr">
        <is>
          <t>Negative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IF(B19=0,"",RANK(B19,$B$2:$B$41,0))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ANANDRATHI</t>
        </is>
      </c>
      <c r="D19" s="30" t="inlineStr">
        <is>
          <t>Anand Rathi Wealth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largecap</t>
        </is>
      </c>
      <c r="H19" s="31" t="n">
        <v>34893.57</v>
      </c>
      <c r="I19" s="31" t="n">
        <v>2131.5</v>
      </c>
      <c r="J19" s="31" t="n">
        <v>1.43</v>
      </c>
      <c r="K19" s="31" t="n">
        <v>268620</v>
      </c>
      <c r="L19" s="30" t="n">
        <v>71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72.22</v>
      </c>
      <c r="P19" s="31" t="n">
        <v>50.98</v>
      </c>
      <c r="Q19" s="31" t="inlineStr"/>
      <c r="R19" s="30" t="inlineStr">
        <is>
          <t>Earnings / Momentum Support</t>
        </is>
      </c>
      <c r="S19" s="30" t="inlineStr">
        <is>
          <t>Nifty Bank</t>
        </is>
      </c>
      <c r="T19" s="31" t="n">
        <v>4.98</v>
      </c>
      <c r="U19" s="31" t="n">
        <v>63.05</v>
      </c>
      <c r="V19" s="31" t="n">
        <v>55.31</v>
      </c>
      <c r="W19" s="31" t="n">
        <v>14.21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Headwind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No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above 5x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Above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3</t>
        </is>
      </c>
      <c r="BQ19" s="30">
        <f>IF(BP19="Stage 2",20,IF(BP19="Stage 1",0,IF(BP19="Stage 3",5,IF(BP19="Stage 4",-5,0))))</f>
        <v/>
      </c>
      <c r="BR19" s="30" t="inlineStr">
        <is>
          <t>Negative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IF(B20=0,"",RANK(B20,$B$2:$B$41,0))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IDFCFIRSTB</t>
        </is>
      </c>
      <c r="D20" s="30" t="inlineStr">
        <is>
          <t>IDFC First Bank Ltd</t>
        </is>
      </c>
      <c r="E20" s="30" t="inlineStr">
        <is>
          <t>bank</t>
        </is>
      </c>
      <c r="F20" s="30" t="inlineStr">
        <is>
          <t>banks - private sector</t>
        </is>
      </c>
      <c r="G20" s="30" t="inlineStr">
        <is>
          <t>largecap</t>
        </is>
      </c>
      <c r="H20" s="31" t="n">
        <v>72897.89</v>
      </c>
      <c r="I20" s="31" t="n">
        <v>85.09999999999999</v>
      </c>
      <c r="J20" s="31" t="n">
        <v>0.57</v>
      </c>
      <c r="K20" s="31" t="n">
        <v>23863808</v>
      </c>
      <c r="L20" s="30" t="n">
        <v>53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66.94</v>
      </c>
      <c r="P20" s="31" t="n">
        <v>23.13</v>
      </c>
      <c r="Q20" s="31" t="inlineStr"/>
      <c r="R20" s="30" t="inlineStr">
        <is>
          <t>Earnings / Momentum Support</t>
        </is>
      </c>
      <c r="S20" s="30" t="inlineStr">
        <is>
          <t>Nifty Bank</t>
        </is>
      </c>
      <c r="T20" s="31" t="n">
        <v>4.98</v>
      </c>
      <c r="U20" s="31" t="n">
        <v>22.8</v>
      </c>
      <c r="V20" s="31" t="n">
        <v>16.97</v>
      </c>
      <c r="W20" s="31" t="n">
        <v>8.85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No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less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3</t>
        </is>
      </c>
      <c r="BQ20" s="30">
        <f>IF(BP20="Stage 2",20,IF(BP20="Stage 1",0,IF(BP20="Stage 3",5,IF(BP20="Stage 4",-5,0))))</f>
        <v/>
      </c>
      <c r="BR20" s="30" t="inlineStr">
        <is>
          <t>Negative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IF(B21=0,"",RANK(B21,$B$2:$B$41,0))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PNBHOUSING</t>
        </is>
      </c>
      <c r="D21" s="30" t="inlineStr">
        <is>
          <t>Pnb Housing Finance Limited</t>
        </is>
      </c>
      <c r="E21" s="30" t="inlineStr">
        <is>
          <t>financials</t>
        </is>
      </c>
      <c r="F21" s="30" t="inlineStr">
        <is>
          <t>finance - housing</t>
        </is>
      </c>
      <c r="G21" s="30" t="inlineStr">
        <is>
          <t>largecap</t>
        </is>
      </c>
      <c r="H21" s="31" t="n">
        <v>29785.43</v>
      </c>
      <c r="I21" s="31" t="n">
        <v>1149.3</v>
      </c>
      <c r="J21" s="31" t="n">
        <v>0.55</v>
      </c>
      <c r="K21" s="31" t="n">
        <v>2396413</v>
      </c>
      <c r="L21" s="30" t="n">
        <v>58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67.15000000000001</v>
      </c>
      <c r="P21" s="31" t="n">
        <v>32.94</v>
      </c>
      <c r="Q21" s="31" t="inlineStr"/>
      <c r="R21" s="30" t="inlineStr">
        <is>
          <t>Earnings / Momentum Support</t>
        </is>
      </c>
      <c r="S21" s="30" t="inlineStr">
        <is>
          <t>Nifty Bank</t>
        </is>
      </c>
      <c r="T21" s="31" t="n">
        <v>4.98</v>
      </c>
      <c r="U21" s="31" t="n">
        <v>49.45</v>
      </c>
      <c r="V21" s="31" t="n">
        <v>42.36</v>
      </c>
      <c r="W21" s="31" t="n">
        <v>10.13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Headwind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No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less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3</t>
        </is>
      </c>
      <c r="BQ21" s="30">
        <f>IF(BP21="Stage 2",20,IF(BP21="Stage 1",0,IF(BP21="Stage 3",5,IF(BP21="Stage 4",-5,0))))</f>
        <v/>
      </c>
      <c r="BR21" s="30" t="inlineStr">
        <is>
          <t>Negative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IF(B22=0,"",RANK(B22,$B$2:$B$41,0))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SMCGLOBAL</t>
        </is>
      </c>
      <c r="D22" s="30" t="inlineStr">
        <is>
          <t>SMC Global Securities Ltd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smallcap</t>
        </is>
      </c>
      <c r="H22" s="31" t="n">
        <v>1665.57</v>
      </c>
      <c r="I22" s="31" t="n">
        <v>79.39</v>
      </c>
      <c r="J22" s="31" t="n">
        <v>-0.19</v>
      </c>
      <c r="K22" s="31" t="n">
        <v>607516</v>
      </c>
      <c r="L22" s="30" t="n">
        <v>56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58.45</v>
      </c>
      <c r="P22" s="31" t="n">
        <v>18.55</v>
      </c>
      <c r="Q22" s="31" t="inlineStr"/>
      <c r="R22" s="30" t="inlineStr">
        <is>
          <t>Earnings / Momentum Support</t>
        </is>
      </c>
      <c r="S22" s="30" t="inlineStr">
        <is>
          <t>Nifty Bank</t>
        </is>
      </c>
      <c r="T22" s="31" t="n">
        <v>4.98</v>
      </c>
      <c r="U22" s="31" t="n">
        <v>16.9</v>
      </c>
      <c r="V22" s="31" t="n">
        <v>11.35</v>
      </c>
      <c r="W22" s="31" t="n">
        <v>9.380000000000001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Headwind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No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more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0 to 20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3</t>
        </is>
      </c>
      <c r="BQ22" s="30">
        <f>IF(BP22="Stage 2",20,IF(BP22="Stage 1",0,IF(BP22="Stage 3",5,IF(BP22="Stage 4",-5,0))))</f>
        <v/>
      </c>
      <c r="BR22" s="30" t="inlineStr">
        <is>
          <t>Negative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IF(B23=0,"",RANK(B23,$B$2:$B$41,0))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INDIANB</t>
        </is>
      </c>
      <c r="D23" s="30" t="inlineStr">
        <is>
          <t>Indian Bank Ltd</t>
        </is>
      </c>
      <c r="E23" s="30" t="inlineStr">
        <is>
          <t>bank</t>
        </is>
      </c>
      <c r="F23" s="30" t="inlineStr">
        <is>
          <t>banks - public sector</t>
        </is>
      </c>
      <c r="G23" s="30" t="inlineStr">
        <is>
          <t>largecap</t>
        </is>
      </c>
      <c r="H23" s="31" t="n">
        <v>119812.45</v>
      </c>
      <c r="I23" s="31" t="n">
        <v>884.15</v>
      </c>
      <c r="J23" s="31" t="n">
        <v>-0.6</v>
      </c>
      <c r="K23" s="31" t="n">
        <v>5179088</v>
      </c>
      <c r="L23" s="30" t="n">
        <v>53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56.51</v>
      </c>
      <c r="P23" s="31" t="n">
        <v>8.050000000000001</v>
      </c>
      <c r="Q23" s="31" t="inlineStr"/>
      <c r="R23" s="30" t="inlineStr">
        <is>
          <t>Earnings / Momentum Support</t>
        </is>
      </c>
      <c r="S23" s="30" t="inlineStr">
        <is>
          <t>Nifty Bank</t>
        </is>
      </c>
      <c r="T23" s="31" t="n">
        <v>4.98</v>
      </c>
      <c r="U23" s="31" t="n">
        <v>39.58</v>
      </c>
      <c r="V23" s="31" t="n">
        <v>32.95</v>
      </c>
      <c r="W23" s="31" t="n">
        <v>8.65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No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0 to 20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3</t>
        </is>
      </c>
      <c r="BQ23" s="30">
        <f>IF(BP23="Stage 2",20,IF(BP23="Stage 1",0,IF(BP23="Stage 3",5,IF(BP23="Stage 4",-5,0))))</f>
        <v/>
      </c>
      <c r="BR23" s="30" t="inlineStr">
        <is>
          <t>Negative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IF(B24=0,"",RANK(B24,$B$2:$B$41,0))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OFSS</t>
        </is>
      </c>
      <c r="D24" s="30" t="inlineStr">
        <is>
          <t>Oracle Financial Services Software Limited</t>
        </is>
      </c>
      <c r="E24" s="30" t="inlineStr">
        <is>
          <t>i.t</t>
        </is>
      </c>
      <c r="F24" s="30" t="inlineStr">
        <is>
          <t>computers - software - large</t>
        </is>
      </c>
      <c r="G24" s="30" t="inlineStr">
        <is>
          <t>largecap</t>
        </is>
      </c>
      <c r="H24" s="31" t="n">
        <v>102788.66</v>
      </c>
      <c r="I24" s="31" t="n">
        <v>11890</v>
      </c>
      <c r="J24" s="31" t="n">
        <v>0.72</v>
      </c>
      <c r="K24" s="31" t="n">
        <v>239490</v>
      </c>
      <c r="L24" s="30" t="n">
        <v>72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69.08</v>
      </c>
      <c r="P24" s="31" t="n">
        <v>30.74</v>
      </c>
      <c r="Q24" s="31" t="inlineStr"/>
      <c r="R24" s="30" t="inlineStr">
        <is>
          <t>Earnings / Momentum Support</t>
        </is>
      </c>
      <c r="S24" s="30" t="inlineStr">
        <is>
          <t>Nifty IT</t>
        </is>
      </c>
      <c r="T24" s="31" t="n">
        <v>-8.289999999999999</v>
      </c>
      <c r="U24" s="31" t="n">
        <v>46.38</v>
      </c>
      <c r="V24" s="31" t="n">
        <v>59.61</v>
      </c>
      <c r="W24" s="31" t="n">
        <v>14.46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No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No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above 5x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3</t>
        </is>
      </c>
      <c r="BQ24" s="30">
        <f>IF(BP24="Stage 2",20,IF(BP24="Stage 1",0,IF(BP24="Stage 3",5,IF(BP24="Stage 4",-5,0))))</f>
        <v/>
      </c>
      <c r="BR24" s="30" t="inlineStr">
        <is>
          <t>Negative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IF(B25=0,"",RANK(B25,$B$2:$B$41,0))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PRIMESECU</t>
        </is>
      </c>
      <c r="D25" s="30" t="inlineStr">
        <is>
          <t>Prime Securities Limited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smallcap</t>
        </is>
      </c>
      <c r="H25" s="31" t="n">
        <v>1004.8</v>
      </c>
      <c r="I25" s="31" t="n">
        <v>304</v>
      </c>
      <c r="J25" s="31" t="n">
        <v>2.69</v>
      </c>
      <c r="K25" s="31" t="n">
        <v>78747</v>
      </c>
      <c r="L25" s="30" t="n">
        <v>26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55.92</v>
      </c>
      <c r="P25" s="31" t="n">
        <v>26.06</v>
      </c>
      <c r="Q25" s="31" t="inlineStr"/>
      <c r="R25" s="30" t="inlineStr">
        <is>
          <t>Earnings / Momentum Support</t>
        </is>
      </c>
      <c r="S25" s="30" t="inlineStr">
        <is>
          <t>Nifty Bank</t>
        </is>
      </c>
      <c r="T25" s="31" t="n">
        <v>4.98</v>
      </c>
      <c r="U25" s="31" t="n">
        <v>9.470000000000001</v>
      </c>
      <c r="V25" s="31" t="n">
        <v>4.27</v>
      </c>
      <c r="W25" s="31" t="n">
        <v>2.71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Headwind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No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between 2.5x to 5x and Growth less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3</t>
        </is>
      </c>
      <c r="BQ25" s="30">
        <f>IF(BP25="Stage 2",20,IF(BP25="Stage 1",0,IF(BP25="Stage 3",5,IF(BP25="Stage 4",-5,0))))</f>
        <v/>
      </c>
      <c r="BR25" s="30" t="inlineStr">
        <is>
          <t>Negative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IF(B26=0,"",RANK(B26,$B$2:$B$41,0))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BAJFINANCE</t>
        </is>
      </c>
      <c r="D26" s="30" t="inlineStr">
        <is>
          <t>Bajaj Finance Limited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largecap</t>
        </is>
      </c>
      <c r="H26" s="31" t="n">
        <v>671157.87</v>
      </c>
      <c r="I26" s="31" t="n">
        <v>1102.2</v>
      </c>
      <c r="J26" s="31" t="n">
        <v>2.24</v>
      </c>
      <c r="K26" s="31" t="n">
        <v>14369402</v>
      </c>
      <c r="L26" s="30" t="n">
        <v>48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60.1</v>
      </c>
      <c r="P26" s="31" t="n">
        <v>21.02</v>
      </c>
      <c r="Q26" s="31" t="inlineStr"/>
      <c r="R26" s="30" t="inlineStr">
        <is>
          <t>Earnings / Momentum Support</t>
        </is>
      </c>
      <c r="S26" s="30" t="inlineStr">
        <is>
          <t>Nifty Bank</t>
        </is>
      </c>
      <c r="T26" s="31" t="n">
        <v>4.98</v>
      </c>
      <c r="U26" s="31" t="n">
        <v>23.65</v>
      </c>
      <c r="V26" s="31" t="n">
        <v>17.78</v>
      </c>
      <c r="W26" s="31" t="n">
        <v>7.6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No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above 5x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3</t>
        </is>
      </c>
      <c r="BQ26" s="30">
        <f>IF(BP26="Stage 2",20,IF(BP26="Stage 1",0,IF(BP26="Stage 3",5,IF(BP26="Stage 4",-5,0))))</f>
        <v/>
      </c>
      <c r="BR26" s="30" t="inlineStr">
        <is>
          <t>Negative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IF(B27=0,"",RANK(B27,$B$2:$B$41,0))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SHRIRAMFIN</t>
        </is>
      </c>
      <c r="D27" s="30" t="inlineStr">
        <is>
          <t>Shriram Finance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largecap</t>
        </is>
      </c>
      <c r="H27" s="31" t="n">
        <v>262350.04</v>
      </c>
      <c r="I27" s="31" t="n">
        <v>1137.8</v>
      </c>
      <c r="J27" s="31" t="n">
        <v>2.04</v>
      </c>
      <c r="K27" s="31" t="n">
        <v>6860607</v>
      </c>
      <c r="L27" s="30" t="n">
        <v>75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64.55</v>
      </c>
      <c r="P27" s="31" t="n">
        <v>15.46</v>
      </c>
      <c r="Q27" s="31" t="inlineStr"/>
      <c r="R27" s="30" t="inlineStr">
        <is>
          <t>Earnings / Momentum Support</t>
        </is>
      </c>
      <c r="S27" s="30" t="inlineStr">
        <is>
          <t>Nifty Bank</t>
        </is>
      </c>
      <c r="T27" s="31" t="n">
        <v>4.98</v>
      </c>
      <c r="U27" s="31" t="n">
        <v>85.05</v>
      </c>
      <c r="V27" s="31" t="n">
        <v>76.26000000000001</v>
      </c>
      <c r="W27" s="31" t="n">
        <v>16.12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Headwind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between 2.5x to 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0 to 20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3</t>
        </is>
      </c>
      <c r="BQ27" s="30">
        <f>IF(BP27="Stage 2",20,IF(BP27="Stage 1",0,IF(BP27="Stage 3",5,IF(BP27="Stage 4",-5,0))))</f>
        <v/>
      </c>
      <c r="BR27" s="30" t="inlineStr">
        <is>
          <t>Negative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IF(B28=0,"",RANK(B28,$B$2:$B$41,0))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CHOICEIN</t>
        </is>
      </c>
      <c r="D28" s="30" t="inlineStr">
        <is>
          <t>Choice International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midcap</t>
        </is>
      </c>
      <c r="H28" s="31" t="n">
        <v>18738.85</v>
      </c>
      <c r="I28" s="31" t="n">
        <v>844.75</v>
      </c>
      <c r="J28" s="31" t="n">
        <v>0.43</v>
      </c>
      <c r="K28" s="31" t="n">
        <v>488977</v>
      </c>
      <c r="L28" s="30" t="n">
        <v>48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63.89</v>
      </c>
      <c r="P28" s="31" t="n">
        <v>21.99</v>
      </c>
      <c r="Q28" s="31" t="inlineStr"/>
      <c r="R28" s="30" t="inlineStr">
        <is>
          <t>Earnings / Momentum Support</t>
        </is>
      </c>
      <c r="S28" s="30" t="inlineStr">
        <is>
          <t>Nifty Bank</t>
        </is>
      </c>
      <c r="T28" s="31" t="n">
        <v>4.98</v>
      </c>
      <c r="U28" s="31" t="n">
        <v>13.55</v>
      </c>
      <c r="V28" s="31" t="n">
        <v>8.16</v>
      </c>
      <c r="W28" s="31" t="n">
        <v>7.58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No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above 5x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20 to 40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3</t>
        </is>
      </c>
      <c r="BQ28" s="30">
        <f>IF(BP28="Stage 2",20,IF(BP28="Stage 1",0,IF(BP28="Stage 3",5,IF(BP28="Stage 4",-5,0))))</f>
        <v/>
      </c>
      <c r="BR28" s="30" t="inlineStr">
        <is>
          <t>Negative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IF(B29=0,"",RANK(B29,$B$2:$B$41,0))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PRUDENT</t>
        </is>
      </c>
      <c r="D29" s="30" t="inlineStr">
        <is>
          <t>Prudent Corporate Advisory Services Ltd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midcap</t>
        </is>
      </c>
      <c r="H29" s="31" t="n">
        <v>13961.5</v>
      </c>
      <c r="I29" s="31" t="n">
        <v>3379.7</v>
      </c>
      <c r="J29" s="31" t="n">
        <v>0.23</v>
      </c>
      <c r="K29" s="31" t="n">
        <v>19500</v>
      </c>
      <c r="L29" s="30" t="n">
        <v>55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70.68000000000001</v>
      </c>
      <c r="P29" s="31" t="n">
        <v>28.59</v>
      </c>
      <c r="Q29" s="31" t="inlineStr"/>
      <c r="R29" s="30" t="inlineStr">
        <is>
          <t>Earnings / Momentum Support</t>
        </is>
      </c>
      <c r="S29" s="30" t="inlineStr">
        <is>
          <t>Nifty Bank</t>
        </is>
      </c>
      <c r="T29" s="31" t="n">
        <v>4.98</v>
      </c>
      <c r="U29" s="31" t="n">
        <v>27.94</v>
      </c>
      <c r="V29" s="31" t="n">
        <v>21.87</v>
      </c>
      <c r="W29" s="31" t="n">
        <v>9.220000000000001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No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above 5x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20 to 40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3</t>
        </is>
      </c>
      <c r="BQ29" s="30">
        <f>IF(BP29="Stage 2",20,IF(BP29="Stage 1",0,IF(BP29="Stage 3",5,IF(BP29="Stage 4",-5,0))))</f>
        <v/>
      </c>
      <c r="BR29" s="30" t="inlineStr">
        <is>
          <t>Negative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IF(B30=0,"",RANK(B30,$B$2:$B$41,0))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POONAWALLA</t>
        </is>
      </c>
      <c r="D30" s="30" t="inlineStr">
        <is>
          <t>Poonawalla Fincorp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largecap</t>
        </is>
      </c>
      <c r="H30" s="31" t="n">
        <v>42268.34</v>
      </c>
      <c r="I30" s="31" t="n">
        <v>476.7</v>
      </c>
      <c r="J30" s="31" t="n">
        <v>-0.7</v>
      </c>
      <c r="K30" s="31" t="n">
        <v>1283245</v>
      </c>
      <c r="L30" s="30" t="n">
        <v>27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60.03</v>
      </c>
      <c r="P30" s="31" t="n">
        <v>15.39</v>
      </c>
      <c r="Q30" s="31" t="inlineStr"/>
      <c r="R30" s="30" t="inlineStr">
        <is>
          <t>Earnings / Momentum Support</t>
        </is>
      </c>
      <c r="S30" s="30" t="inlineStr">
        <is>
          <t>Nifty Bank</t>
        </is>
      </c>
      <c r="T30" s="31" t="n">
        <v>4.98</v>
      </c>
      <c r="U30" s="31" t="n">
        <v>10.53</v>
      </c>
      <c r="V30" s="31" t="n">
        <v>5.29</v>
      </c>
      <c r="W30" s="31" t="n">
        <v>2.93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No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between 2.5x to 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3</t>
        </is>
      </c>
      <c r="BQ30" s="30">
        <f>IF(BP30="Stage 2",20,IF(BP30="Stage 1",0,IF(BP30="Stage 3",5,IF(BP30="Stage 4",-5,0))))</f>
        <v/>
      </c>
      <c r="BR30" s="30" t="inlineStr">
        <is>
          <t>Negative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IF(B31=0,"",RANK(B31,$B$2:$B$41,0))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PNB</t>
        </is>
      </c>
      <c r="D31" s="30" t="inlineStr">
        <is>
          <t>Punjab National Bank Ltd</t>
        </is>
      </c>
      <c r="E31" s="30" t="inlineStr">
        <is>
          <t>bank</t>
        </is>
      </c>
      <c r="F31" s="30" t="inlineStr">
        <is>
          <t>banks - public sector</t>
        </is>
      </c>
      <c r="G31" s="30" t="inlineStr">
        <is>
          <t>largecap</t>
        </is>
      </c>
      <c r="H31" s="31" t="n">
        <v>131950.48</v>
      </c>
      <c r="I31" s="31" t="n">
        <v>113.5</v>
      </c>
      <c r="J31" s="31" t="n">
        <v>-1.14</v>
      </c>
      <c r="K31" s="31" t="n">
        <v>21833390</v>
      </c>
      <c r="L31" s="30" t="n">
        <v>37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58.2</v>
      </c>
      <c r="P31" s="31" t="n">
        <v>9.43</v>
      </c>
      <c r="Q31" s="31" t="inlineStr"/>
      <c r="R31" s="30" t="inlineStr">
        <is>
          <t>Earnings / Momentum Support</t>
        </is>
      </c>
      <c r="S31" s="30" t="inlineStr">
        <is>
          <t>Nifty Bank</t>
        </is>
      </c>
      <c r="T31" s="31" t="n">
        <v>4.98</v>
      </c>
      <c r="U31" s="31" t="n">
        <v>13.66</v>
      </c>
      <c r="V31" s="31" t="n">
        <v>8.26</v>
      </c>
      <c r="W31" s="31" t="n">
        <v>5.15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No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less than 2.5x and Growth less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0 to 20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3</t>
        </is>
      </c>
      <c r="BQ31" s="30">
        <f>IF(BP31="Stage 2",20,IF(BP31="Stage 1",0,IF(BP31="Stage 3",5,IF(BP31="Stage 4",-5,0))))</f>
        <v/>
      </c>
      <c r="BR31" s="30" t="inlineStr">
        <is>
          <t>Negative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IF(B32=0,"",RANK(B32,$B$2:$B$41,0))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UNIONBANK</t>
        </is>
      </c>
      <c r="D32" s="30" t="inlineStr">
        <is>
          <t>Union Bank Of India Ltd</t>
        </is>
      </c>
      <c r="E32" s="30" t="inlineStr">
        <is>
          <t>bank</t>
        </is>
      </c>
      <c r="F32" s="30" t="inlineStr">
        <is>
          <t>banks - public sector</t>
        </is>
      </c>
      <c r="G32" s="30" t="inlineStr">
        <is>
          <t>largecap</t>
        </is>
      </c>
      <c r="H32" s="31" t="n">
        <v>140153</v>
      </c>
      <c r="I32" s="31" t="n">
        <v>181.14</v>
      </c>
      <c r="J32" s="31" t="n">
        <v>-1.34</v>
      </c>
      <c r="K32" s="31" t="n">
        <v>17642755</v>
      </c>
      <c r="L32" s="30" t="n">
        <v>60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63.35</v>
      </c>
      <c r="P32" s="31" t="n">
        <v>16.77</v>
      </c>
      <c r="Q32" s="31" t="inlineStr"/>
      <c r="R32" s="30" t="inlineStr">
        <is>
          <t>Earnings / Momentum Support</t>
        </is>
      </c>
      <c r="S32" s="30" t="inlineStr">
        <is>
          <t>Nifty Bank</t>
        </is>
      </c>
      <c r="T32" s="31" t="n">
        <v>4.98</v>
      </c>
      <c r="U32" s="31" t="n">
        <v>44.31</v>
      </c>
      <c r="V32" s="31" t="n">
        <v>37.46</v>
      </c>
      <c r="W32" s="31" t="n">
        <v>10.79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No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less than 2.5x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0 to 20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3</t>
        </is>
      </c>
      <c r="BQ32" s="30">
        <f>IF(BP32="Stage 2",20,IF(BP32="Stage 1",0,IF(BP32="Stage 3",5,IF(BP32="Stage 4",-5,0))))</f>
        <v/>
      </c>
      <c r="BR32" s="30" t="inlineStr">
        <is>
          <t>Negative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IF(B33=0,"",RANK(B33,$B$2:$B$41,0))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SBIN</t>
        </is>
      </c>
      <c r="D33" s="30" t="inlineStr">
        <is>
          <t>State Bank Of India Ltd</t>
        </is>
      </c>
      <c r="E33" s="30" t="inlineStr">
        <is>
          <t>bank</t>
        </is>
      </c>
      <c r="F33" s="30" t="inlineStr">
        <is>
          <t>banks - public sector</t>
        </is>
      </c>
      <c r="G33" s="30" t="inlineStr">
        <is>
          <t>largecap</t>
        </is>
      </c>
      <c r="H33" s="31" t="n">
        <v>1012783.36</v>
      </c>
      <c r="I33" s="31" t="n">
        <v>1071</v>
      </c>
      <c r="J33" s="31" t="n">
        <v>-2.39</v>
      </c>
      <c r="K33" s="31" t="n">
        <v>33068816</v>
      </c>
      <c r="L33" s="30" t="n">
        <v>54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61.79</v>
      </c>
      <c r="P33" s="31" t="n">
        <v>10.69</v>
      </c>
      <c r="Q33" s="31" t="inlineStr"/>
      <c r="R33" s="30" t="inlineStr">
        <is>
          <t>Earnings / Momentum Support</t>
        </is>
      </c>
      <c r="S33" s="30" t="inlineStr">
        <is>
          <t>Nifty Bank</t>
        </is>
      </c>
      <c r="T33" s="31" t="n">
        <v>4.98</v>
      </c>
      <c r="U33" s="31" t="n">
        <v>38.88</v>
      </c>
      <c r="V33" s="31" t="n">
        <v>32.28</v>
      </c>
      <c r="W33" s="31" t="n">
        <v>9.029999999999999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Headwind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No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less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3</t>
        </is>
      </c>
      <c r="BQ33" s="30">
        <f>IF(BP33="Stage 2",20,IF(BP33="Stage 1",0,IF(BP33="Stage 3",5,IF(BP33="Stage 4",-5,0))))</f>
        <v/>
      </c>
      <c r="BR33" s="30" t="inlineStr">
        <is>
          <t>Negative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IF(B34=0,"",RANK(B34,$B$2:$B$41,0))</f>
        <v/>
      </c>
      <c r="B34" s="31">
        <f>SUM(N34,Y34,AA34,AC34,AE34,AG34,AI34,AK34,AM34,AO34,AQ34,AS34,AU34,AW34,AY34,BA34,BC34,BE34,BG34,BI34,BK34,BM34,BO34,BQ34,BS34,BU34,BW34,BY34,CA34)</f>
        <v/>
      </c>
      <c r="C34" s="32" t="inlineStr">
        <is>
          <t>5PAISA</t>
        </is>
      </c>
      <c r="D34" s="32" t="inlineStr">
        <is>
          <t>5Paisa Capital Ltd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smallcap</t>
        </is>
      </c>
      <c r="H34" s="31" t="n">
        <v>1723.16</v>
      </c>
      <c r="I34" s="31" t="n">
        <v>384.4</v>
      </c>
      <c r="J34" s="31" t="n">
        <v>4.58</v>
      </c>
      <c r="K34" s="31" t="n">
        <v>116119</v>
      </c>
      <c r="L34" s="30" t="n">
        <v>24</v>
      </c>
      <c r="M34" s="30" t="inlineStr">
        <is>
          <t>Underperforming</t>
        </is>
      </c>
      <c r="N34" s="31">
        <f>IF(M34="Underperforming",-5,IF(L34&gt;=95,15,IF(L34&gt;=90,10,IF(L34&gt;=80,5,0))))</f>
        <v/>
      </c>
      <c r="O34" s="31" t="n">
        <v>57.12</v>
      </c>
      <c r="P34" s="31" t="n">
        <v>15.84</v>
      </c>
      <c r="Q34" s="31" t="inlineStr"/>
      <c r="R34" s="30" t="inlineStr">
        <is>
          <t>Earnings / Momentum Support</t>
        </is>
      </c>
      <c r="S34" s="30" t="inlineStr">
        <is>
          <t>Nifty Bank</t>
        </is>
      </c>
      <c r="T34" s="31" t="n">
        <v>4.98</v>
      </c>
      <c r="U34" s="31" t="n">
        <v>-0.47</v>
      </c>
      <c r="V34" s="31" t="n">
        <v>-5.2</v>
      </c>
      <c r="W34" s="31" t="n">
        <v>2.39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No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less than 2.5x and Growth less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3</t>
        </is>
      </c>
      <c r="BQ34" s="30">
        <f>IF(BP34="Stage 2",20,IF(BP34="Stage 1",0,IF(BP34="Stage 3",5,IF(BP34="Stage 4",-5,0))))</f>
        <v/>
      </c>
      <c r="BR34" s="30" t="inlineStr">
        <is>
          <t>Negative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IF(B35=0,"",RANK(B35,$B$2:$B$41,0))</f>
        <v/>
      </c>
      <c r="B35" s="31">
        <f>SUM(N35,Y35,AA35,AC35,AE35,AG35,AI35,AK35,AM35,AO35,AQ35,AS35,AU35,AW35,AY35,BA35,BC35,BE35,BG35,BI35,BK35,BM35,BO35,BQ35,BS35,BU35,BW35,BY35,CA35)</f>
        <v/>
      </c>
      <c r="C35" s="32" t="inlineStr">
        <is>
          <t>VHL</t>
        </is>
      </c>
      <c r="D35" s="32" t="inlineStr">
        <is>
          <t>Vardhman Holdings Limited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smallcap</t>
        </is>
      </c>
      <c r="H35" s="31" t="n">
        <v>1138.96</v>
      </c>
      <c r="I35" s="31" t="n">
        <v>3568</v>
      </c>
      <c r="J35" s="31" t="n">
        <v>-0.02</v>
      </c>
      <c r="K35" s="31" t="n">
        <v>1009</v>
      </c>
      <c r="L35" s="30" t="n">
        <v>9</v>
      </c>
      <c r="M35" s="30" t="inlineStr">
        <is>
          <t>Underperforming</t>
        </is>
      </c>
      <c r="N35" s="31">
        <f>IF(M35="Underperforming",-5,IF(L35&gt;=95,15,IF(L35&gt;=90,10,IF(L35&gt;=80,5,0))))</f>
        <v/>
      </c>
      <c r="O35" s="31" t="n">
        <v>53.91</v>
      </c>
      <c r="P35" s="31" t="n">
        <v>7.61</v>
      </c>
      <c r="Q35" s="31" t="inlineStr"/>
      <c r="R35" s="30" t="inlineStr">
        <is>
          <t>Earnings / Momentum Support</t>
        </is>
      </c>
      <c r="S35" s="30" t="inlineStr">
        <is>
          <t>Nifty Bank</t>
        </is>
      </c>
      <c r="T35" s="31" t="n">
        <v>4.98</v>
      </c>
      <c r="U35" s="31" t="n">
        <v>-7.07</v>
      </c>
      <c r="V35" s="31" t="n">
        <v>-11.48</v>
      </c>
      <c r="W35" s="31" t="n">
        <v>-1.41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No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less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0 to 20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3</t>
        </is>
      </c>
      <c r="BQ35" s="30">
        <f>IF(BP35="Stage 2",20,IF(BP35="Stage 1",0,IF(BP35="Stage 3",5,IF(BP35="Stage 4",-5,0))))</f>
        <v/>
      </c>
      <c r="BR35" s="30" t="inlineStr">
        <is>
          <t>Negative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IF(B36=0,"",RANK(B36,$B$2:$B$41,0))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CHOLAFIN</t>
        </is>
      </c>
      <c r="D36" s="30" t="inlineStr">
        <is>
          <t>Cholamandalam Investment And Finance Company Limited</t>
        </is>
      </c>
      <c r="E36" s="30" t="inlineStr">
        <is>
          <t>financials</t>
        </is>
      </c>
      <c r="F36" s="30" t="inlineStr">
        <is>
          <t>finance &amp; investments</t>
        </is>
      </c>
      <c r="G36" s="30" t="inlineStr">
        <is>
          <t>largecap</t>
        </is>
      </c>
      <c r="H36" s="31" t="n">
        <v>159109.72</v>
      </c>
      <c r="I36" s="31" t="n">
        <v>1920</v>
      </c>
      <c r="J36" s="31" t="n">
        <v>2.88</v>
      </c>
      <c r="K36" s="31" t="n">
        <v>3158303</v>
      </c>
      <c r="L36" s="30" t="n">
        <v>49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62.69</v>
      </c>
      <c r="P36" s="31" t="n">
        <v>17.15</v>
      </c>
      <c r="Q36" s="31" t="inlineStr"/>
      <c r="R36" s="30" t="inlineStr">
        <is>
          <t>Earnings / Momentum Support</t>
        </is>
      </c>
      <c r="S36" s="30" t="inlineStr">
        <is>
          <t>Nifty Bank</t>
        </is>
      </c>
      <c r="T36" s="31" t="n">
        <v>4.98</v>
      </c>
      <c r="U36" s="31" t="n">
        <v>28.75</v>
      </c>
      <c r="V36" s="31" t="n">
        <v>22.64</v>
      </c>
      <c r="W36" s="31" t="n">
        <v>7.77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No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above 5x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0 to 20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3</t>
        </is>
      </c>
      <c r="BQ36" s="30">
        <f>IF(BP36="Stage 2",20,IF(BP36="Stage 1",0,IF(BP36="Stage 3",5,IF(BP36="Stage 4",-5,0))))</f>
        <v/>
      </c>
      <c r="BR36" s="30" t="inlineStr">
        <is>
          <t>Negative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IF(B37=0,"",RANK(B37,$B$2:$B$41,0))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360ONE</t>
        </is>
      </c>
      <c r="D37" s="30" t="inlineStr">
        <is>
          <t>360 ONE WAM Ltd</t>
        </is>
      </c>
      <c r="E37" s="30" t="inlineStr">
        <is>
          <t>financials</t>
        </is>
      </c>
      <c r="F37" s="30" t="inlineStr">
        <is>
          <t>finance &amp; investments</t>
        </is>
      </c>
      <c r="G37" s="30" t="inlineStr">
        <is>
          <t>largecap</t>
        </is>
      </c>
      <c r="H37" s="31" t="n">
        <v>47504.88</v>
      </c>
      <c r="I37" s="31" t="n">
        <v>1175.6</v>
      </c>
      <c r="J37" s="31" t="n">
        <v>0.64</v>
      </c>
      <c r="K37" s="31" t="n">
        <v>1042275</v>
      </c>
      <c r="L37" s="30" t="n">
        <v>29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57.83</v>
      </c>
      <c r="P37" s="31" t="n">
        <v>14.6</v>
      </c>
      <c r="Q37" s="31" t="inlineStr"/>
      <c r="R37" s="30" t="inlineStr">
        <is>
          <t>Earnings / Momentum Support</t>
        </is>
      </c>
      <c r="S37" s="30" t="inlineStr">
        <is>
          <t>Nifty Bank</t>
        </is>
      </c>
      <c r="T37" s="31" t="n">
        <v>4.98</v>
      </c>
      <c r="U37" s="31" t="n">
        <v>13.24</v>
      </c>
      <c r="V37" s="31" t="n">
        <v>7.86</v>
      </c>
      <c r="W37" s="31" t="n">
        <v>3.42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No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between 2.5x to 5x and Growth less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3</t>
        </is>
      </c>
      <c r="BQ37" s="30">
        <f>IF(BP37="Stage 2",20,IF(BP37="Stage 1",0,IF(BP37="Stage 3",5,IF(BP37="Stage 4",-5,0))))</f>
        <v/>
      </c>
      <c r="BR37" s="30" t="inlineStr">
        <is>
          <t>Negative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IF(B38=0,"",RANK(B38,$B$2:$B$41,0))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CARERATING</t>
        </is>
      </c>
      <c r="D38" s="30" t="inlineStr">
        <is>
          <t>CARE Ratings Ltd</t>
        </is>
      </c>
      <c r="E38" s="30" t="inlineStr">
        <is>
          <t>financials</t>
        </is>
      </c>
      <c r="F38" s="30" t="inlineStr">
        <is>
          <t>miscellaneous</t>
        </is>
      </c>
      <c r="G38" s="30" t="inlineStr">
        <is>
          <t>midcap</t>
        </is>
      </c>
      <c r="H38" s="31" t="n">
        <v>5258.17</v>
      </c>
      <c r="I38" s="31" t="n">
        <v>1729.9</v>
      </c>
      <c r="J38" s="31" t="n">
        <v>-1.1</v>
      </c>
      <c r="K38" s="31" t="n">
        <v>64118</v>
      </c>
      <c r="L38" s="30" t="n">
        <v>26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60.81</v>
      </c>
      <c r="P38" s="31" t="n">
        <v>19.97</v>
      </c>
      <c r="Q38" s="31" t="inlineStr"/>
      <c r="R38" s="30" t="inlineStr">
        <is>
          <t>Earnings / Momentum Support</t>
        </is>
      </c>
      <c r="S38" s="30" t="inlineStr">
        <is>
          <t>Nifty Bank</t>
        </is>
      </c>
      <c r="T38" s="31" t="n">
        <v>4.98</v>
      </c>
      <c r="U38" s="31" t="n">
        <v>6.19</v>
      </c>
      <c r="V38" s="31" t="n">
        <v>1.15</v>
      </c>
      <c r="W38" s="31" t="n">
        <v>2.64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No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above 5x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3</t>
        </is>
      </c>
      <c r="BQ38" s="30">
        <f>IF(BP38="Stage 2",20,IF(BP38="Stage 1",0,IF(BP38="Stage 3",5,IF(BP38="Stage 4",-5,0))))</f>
        <v/>
      </c>
      <c r="BR38" s="30" t="inlineStr">
        <is>
          <t>Negative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Close to 52 week high or retracement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IF(B39=0,"",RANK(B39,$B$2:$B$41,0))</f>
        <v/>
      </c>
      <c r="B39" s="31">
        <f>SUM(N39,Y39,AA39,AC39,AE39,AG39,AI39,AK39,AM39,AO39,AQ39,AS39,AU39,AW39,AY39,BA39,BC39,BE39,BG39,BI39,BK39,BM39,BO39,BQ39,BS39,BU39,BW39,BY39,CA39)</f>
        <v/>
      </c>
      <c r="C39" s="32" t="inlineStr">
        <is>
          <t>BAJAJFINSV</t>
        </is>
      </c>
      <c r="D39" s="32" t="inlineStr">
        <is>
          <t>Bajaj Finserv Limited</t>
        </is>
      </c>
      <c r="E39" s="30" t="inlineStr">
        <is>
          <t>financials</t>
        </is>
      </c>
      <c r="F39" s="30" t="inlineStr">
        <is>
          <t>finance &amp; investments</t>
        </is>
      </c>
      <c r="G39" s="30" t="inlineStr">
        <is>
          <t>largecap</t>
        </is>
      </c>
      <c r="H39" s="31" t="n">
        <v>321534.49</v>
      </c>
      <c r="I39" s="31" t="n">
        <v>2021.3</v>
      </c>
      <c r="J39" s="31" t="n">
        <v>0.62</v>
      </c>
      <c r="K39" s="31" t="n">
        <v>1868822</v>
      </c>
      <c r="L39" s="30" t="n">
        <v>28</v>
      </c>
      <c r="M39" s="30" t="inlineStr">
        <is>
          <t>Underperforming</t>
        </is>
      </c>
      <c r="N39" s="31">
        <f>IF(M39="Underperforming",-5,IF(L39&gt;=95,15,IF(L39&gt;=90,10,IF(L39&gt;=80,5,0))))</f>
        <v/>
      </c>
      <c r="O39" s="31" t="n">
        <v>59.78</v>
      </c>
      <c r="P39" s="31" t="n">
        <v>16.84</v>
      </c>
      <c r="Q39" s="31" t="inlineStr"/>
      <c r="R39" s="30" t="inlineStr">
        <is>
          <t>Earnings / Momentum Support</t>
        </is>
      </c>
      <c r="S39" s="30" t="inlineStr">
        <is>
          <t>Nifty Bank</t>
        </is>
      </c>
      <c r="T39" s="31" t="n">
        <v>4.98</v>
      </c>
      <c r="U39" s="31" t="n">
        <v>4.76</v>
      </c>
      <c r="V39" s="31" t="n">
        <v>-0.21</v>
      </c>
      <c r="W39" s="31" t="n">
        <v>3.36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No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between 2.5x to 5x and Growth less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3</t>
        </is>
      </c>
      <c r="BQ39" s="30">
        <f>IF(BP39="Stage 2",20,IF(BP39="Stage 1",0,IF(BP39="Stage 3",5,IF(BP39="Stage 4",-5,0))))</f>
        <v/>
      </c>
      <c r="BR39" s="30" t="inlineStr">
        <is>
          <t>Negative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IF(B40=0,"",RANK(B40,$B$2:$B$41,0))</f>
        <v/>
      </c>
      <c r="B40" s="31">
        <f>SUM(N40,Y40,AA40,AC40,AE40,AG40,AI40,AK40,AM40,AO40,AQ40,AS40,AU40,AW40,AY40,BA40,BC40,BE40,BG40,BI40,BK40,BM40,BO40,BQ40,BS40,BU40,BW40,BY40,CA40)</f>
        <v/>
      </c>
      <c r="C40" s="32" t="inlineStr">
        <is>
          <t>CRISIL</t>
        </is>
      </c>
      <c r="D40" s="32" t="inlineStr">
        <is>
          <t>Crisil Limited</t>
        </is>
      </c>
      <c r="E40" s="30" t="inlineStr">
        <is>
          <t>financials</t>
        </is>
      </c>
      <c r="F40" s="30" t="inlineStr">
        <is>
          <t>miscellaneous</t>
        </is>
      </c>
      <c r="G40" s="30" t="inlineStr">
        <is>
          <t>largecap</t>
        </is>
      </c>
      <c r="H40" s="31" t="n">
        <v>33691</v>
      </c>
      <c r="I40" s="31" t="n">
        <v>4635.4</v>
      </c>
      <c r="J40" s="31" t="n">
        <v>0.62</v>
      </c>
      <c r="K40" s="31" t="n">
        <v>62423</v>
      </c>
      <c r="L40" s="30" t="n">
        <v>16</v>
      </c>
      <c r="M40" s="30" t="inlineStr">
        <is>
          <t>Underperforming</t>
        </is>
      </c>
      <c r="N40" s="31">
        <f>IF(M40="Underperforming",-5,IF(L40&gt;=95,15,IF(L40&gt;=90,10,IF(L40&gt;=80,5,0))))</f>
        <v/>
      </c>
      <c r="O40" s="31" t="n">
        <v>61.65</v>
      </c>
      <c r="P40" s="31" t="n">
        <v>15.06</v>
      </c>
      <c r="Q40" s="31" t="inlineStr"/>
      <c r="R40" s="30" t="inlineStr">
        <is>
          <t>Earnings / Momentum Support</t>
        </is>
      </c>
      <c r="S40" s="30" t="inlineStr">
        <is>
          <t>Nifty Bank</t>
        </is>
      </c>
      <c r="T40" s="31" t="n">
        <v>4.98</v>
      </c>
      <c r="U40" s="31" t="n">
        <v>-10.14</v>
      </c>
      <c r="V40" s="31" t="n">
        <v>-14.4</v>
      </c>
      <c r="W40" s="31" t="n">
        <v>0.39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No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above 5x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3</t>
        </is>
      </c>
      <c r="BQ40" s="30">
        <f>IF(BP40="Stage 2",20,IF(BP40="Stage 1",0,IF(BP40="Stage 3",5,IF(BP40="Stage 4",-5,0))))</f>
        <v/>
      </c>
      <c r="BR40" s="30" t="inlineStr">
        <is>
          <t>Negative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IF(B41=0,"",RANK(B41,$B$2:$B$41,0))</f>
        <v/>
      </c>
      <c r="B41" s="31">
        <f>SUM(N41,Y41,AA41,AC41,AE41,AG41,AI41,AK41,AM41,AO41,AQ41,AS41,AU41,AW41,AY41,BA41,BC41,BE41,BG41,BI41,BK41,BM41,BO41,BQ41,BS41,BU41,BW41,BY41,CA41)</f>
        <v/>
      </c>
      <c r="C41" s="32" t="inlineStr">
        <is>
          <t>AIIL</t>
        </is>
      </c>
      <c r="D41" s="32" t="inlineStr">
        <is>
          <t>Authum Investment &amp; Infrastructure Ltd</t>
        </is>
      </c>
      <c r="E41" s="30" t="inlineStr">
        <is>
          <t>financials</t>
        </is>
      </c>
      <c r="F41" s="30" t="inlineStr">
        <is>
          <t>finance &amp; investments</t>
        </is>
      </c>
      <c r="G41" s="30" t="inlineStr">
        <is>
          <t>largecap</t>
        </is>
      </c>
      <c r="H41" s="31" t="n">
        <v>50664.79</v>
      </c>
      <c r="I41" s="31" t="n">
        <v>588.45</v>
      </c>
      <c r="J41" s="31" t="n">
        <v>-1.37</v>
      </c>
      <c r="K41" s="31" t="n">
        <v>184819</v>
      </c>
      <c r="L41" s="30" t="n">
        <v>39</v>
      </c>
      <c r="M41" s="30" t="inlineStr">
        <is>
          <t>Underperforming</t>
        </is>
      </c>
      <c r="N41" s="31">
        <f>IF(M41="Underperforming",-5,IF(L41&gt;=95,15,IF(L41&gt;=90,10,IF(L41&gt;=80,5,0))))</f>
        <v/>
      </c>
      <c r="O41" s="31" t="n">
        <v>60.58</v>
      </c>
      <c r="P41" s="31" t="n">
        <v>15.48</v>
      </c>
      <c r="Q41" s="31" t="inlineStr"/>
      <c r="R41" s="30" t="inlineStr">
        <is>
          <t>Earnings / Momentum Support</t>
        </is>
      </c>
      <c r="S41" s="30" t="inlineStr">
        <is>
          <t>Nifty Bank</t>
        </is>
      </c>
      <c r="T41" s="31" t="n">
        <v>4.98</v>
      </c>
      <c r="U41" s="31" t="n">
        <v>4.9</v>
      </c>
      <c r="V41" s="31" t="n">
        <v>-0.08</v>
      </c>
      <c r="W41" s="31" t="n">
        <v>5.55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between 2.5x to 5x and Growth less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3</t>
        </is>
      </c>
      <c r="BQ41" s="30">
        <f>IF(BP41="Stage 2",20,IF(BP41="Stage 1",0,IF(BP41="Stage 3",5,IF(BP41="Stage 4",-5,0))))</f>
        <v/>
      </c>
      <c r="BR41" s="30" t="inlineStr">
        <is>
          <t>Negative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</sheetData>
  <autoFilter ref="A1:CA41"/>
  <conditionalFormatting sqref="B2:B4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1">
    <cfRule type="cellIs" priority="34" operator="equal" dxfId="3" stopIfTrue="1">
      <formula>"Underperforming"</formula>
    </cfRule>
  </conditionalFormatting>
  <conditionalFormatting sqref="N2:N41">
    <cfRule type="cellIs" priority="35" operator="equal" dxfId="3" stopIfTrue="1">
      <formula>-5</formula>
    </cfRule>
  </conditionalFormatting>
  <conditionalFormatting sqref="Q2:Q41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1" showDropDown="0" showInputMessage="0" showErrorMessage="0" allowBlank="1" type="list">
      <formula1>"Growing Industry,Stagnant Industry,Cyclical in an Upturn"</formula1>
    </dataValidation>
    <dataValidation sqref="Z2:Z41" showDropDown="0" showInputMessage="0" showErrorMessage="0" allowBlank="1" type="list">
      <formula1>"Fragmented with Low ROE,Fragmented with High ROE,Highly Cyclical"</formula1>
    </dataValidation>
    <dataValidation sqref="AB2:AB41" showDropDown="0" showInputMessage="0" showErrorMessage="0" allowBlank="1" type="list">
      <formula1>"Yes,No"</formula1>
    </dataValidation>
    <dataValidation sqref="AD2:AD41" showDropDown="0" showInputMessage="0" showErrorMessage="0" allowBlank="1" type="list">
      <formula1>"Tailwind,Headwind"</formula1>
    </dataValidation>
    <dataValidation sqref="AF2:AF4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1" showDropDown="0" showInputMessage="0" showErrorMessage="0" allowBlank="1" type="list">
      <formula1>"Yes,No"</formula1>
    </dataValidation>
    <dataValidation sqref="AJ2:AJ41" showDropDown="0" showInputMessage="0" showErrorMessage="0" allowBlank="1" type="list">
      <formula1>"Yes,No,Not Applicable"</formula1>
    </dataValidation>
    <dataValidation sqref="AL2:AL41" showDropDown="0" showInputMessage="0" showErrorMessage="0" allowBlank="1" type="list">
      <formula1>"Yes,No"</formula1>
    </dataValidation>
    <dataValidation sqref="AN2:AN41" showDropDown="0" showInputMessage="0" showErrorMessage="0" allowBlank="1" type="list">
      <formula1>"Yes,No"</formula1>
    </dataValidation>
    <dataValidation sqref="AP2:AP41" showDropDown="0" showInputMessage="0" showErrorMessage="0" allowBlank="1" type="list">
      <formula1>"Yes,No"</formula1>
    </dataValidation>
    <dataValidation sqref="AR2:AR41" showDropDown="0" showInputMessage="0" showErrorMessage="0" allowBlank="1" type="list">
      <formula1>"Yes,No"</formula1>
    </dataValidation>
    <dataValidation sqref="AT2:AT41" showDropDown="0" showInputMessage="0" showErrorMessage="0" allowBlank="1" type="list">
      <formula1>"No,Yes"</formula1>
    </dataValidation>
    <dataValidation sqref="AV2:AV41" showDropDown="0" showInputMessage="0" showErrorMessage="0" allowBlank="1" type="list">
      <formula1>"No,Yes"</formula1>
    </dataValidation>
    <dataValidation sqref="AX2:AX41" showDropDown="0" showInputMessage="0" showErrorMessage="0" allowBlank="1" type="list">
      <formula1>"No,Yes CEO Resignation,Yes CEO Retirement"</formula1>
    </dataValidation>
    <dataValidation sqref="AZ2:AZ41" showDropDown="0" showInputMessage="0" showErrorMessage="0" allowBlank="1" type="list">
      <formula1>"No,Yes"</formula1>
    </dataValidation>
    <dataValidation sqref="BB2:BB41" showDropDown="0" showInputMessage="0" showErrorMessage="0" allowBlank="1" type="list">
      <formula1>"No,Yes"</formula1>
    </dataValidation>
    <dataValidation sqref="BD2:BD41" showDropDown="0" showInputMessage="0" showErrorMessage="0" allowBlank="1" type="list">
      <formula1>"Yes,No"</formula1>
    </dataValidation>
    <dataValidation sqref="BF2:BF41" showDropDown="0" showInputMessage="0" showErrorMessage="0" allowBlank="1" type="list">
      <formula1>"Yes,No"</formula1>
    </dataValidation>
    <dataValidation sqref="BH2:BH41" showDropDown="0" showInputMessage="0" showErrorMessage="0" allowBlank="1" type="list">
      <formula1>"Yes,No"</formula1>
    </dataValidation>
    <dataValidation sqref="BJ2:BJ4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1" showDropDown="0" showInputMessage="0" showErrorMessage="0" allowBlank="1" type="list">
      <formula1>"Above 40,20 to 40,0 to 20"</formula1>
    </dataValidation>
    <dataValidation sqref="BN2:BN41" showDropDown="0" showInputMessage="0" showErrorMessage="0" allowBlank="1" type="list">
      <formula1>"Between 50 to 75,Above 75,Below 45"</formula1>
    </dataValidation>
    <dataValidation sqref="BP2:BP41" showDropDown="0" showInputMessage="0" showErrorMessage="0" allowBlank="1" type="list">
      <formula1>"Stage 1,Stage 2,Stage 3,Stage 4"</formula1>
    </dataValidation>
    <dataValidation sqref="BR2:BR41" showDropDown="0" showInputMessage="0" showErrorMessage="0" allowBlank="1" type="list">
      <formula1>"Positive Trend,Negative Trend"</formula1>
    </dataValidation>
    <dataValidation sqref="BT2:BT41" showDropDown="0" showInputMessage="0" showErrorMessage="0" allowBlank="1" type="list">
      <formula1>"Uptrend,Sideways,Downtrend"</formula1>
    </dataValidation>
    <dataValidation sqref="BV2:BV41" showDropDown="0" showInputMessage="0" showErrorMessage="0" allowBlank="1" type="list">
      <formula1>"Uptrend,Sideways,Downtrend"</formula1>
    </dataValidation>
    <dataValidation sqref="BX2:BX4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140</v>
      </c>
      <c r="E2" s="31" t="inlineStr">
        <is>
          <t>5%</t>
        </is>
      </c>
      <c r="F2" s="31" t="n">
        <v>50000</v>
      </c>
      <c r="G2" s="31" t="n">
        <v>45</v>
      </c>
      <c r="H2" s="32" t="inlineStr">
        <is>
          <t>SBCL</t>
        </is>
      </c>
      <c r="I2" s="32" t="inlineStr">
        <is>
          <t>Shivalik Bimetal Controls Ltd</t>
        </is>
      </c>
      <c r="J2" s="30" t="inlineStr">
        <is>
          <t>metals &amp; mining</t>
        </is>
      </c>
      <c r="K2" s="30" t="inlineStr">
        <is>
          <t>mining / minerals / metals</t>
        </is>
      </c>
      <c r="L2" s="30" t="inlineStr">
        <is>
          <t>midcap</t>
        </is>
      </c>
      <c r="M2" s="31" t="n">
        <v>5304.77</v>
      </c>
      <c r="N2" s="31" t="n">
        <v>1105.05</v>
      </c>
      <c r="O2" s="31" t="n">
        <v>20</v>
      </c>
      <c r="P2" s="31" t="n">
        <v>10977326</v>
      </c>
      <c r="Q2" s="30" t="n">
        <v>72</v>
      </c>
      <c r="R2" s="30" t="inlineStr">
        <is>
          <t>Underperforming</t>
        </is>
      </c>
      <c r="S2" s="31">
        <f>IF(R2="Underperforming",-5,IF(Q2&gt;=95,15,IF(Q2&gt;=90,10,IF(Q2&gt;=80,5,0))))</f>
        <v/>
      </c>
      <c r="T2" s="31" t="n">
        <v>76.2</v>
      </c>
      <c r="U2" s="31" t="n">
        <v>45.6</v>
      </c>
      <c r="V2" s="31" t="inlineStr"/>
      <c r="W2" s="30" t="inlineStr">
        <is>
          <t>Volume Spike / Accumulation</t>
        </is>
      </c>
      <c r="X2" s="30" t="inlineStr">
        <is>
          <t>Nifty Metal</t>
        </is>
      </c>
      <c r="Y2" s="31" t="n">
        <v>31.49</v>
      </c>
      <c r="Z2" s="31" t="n">
        <v>23.64</v>
      </c>
      <c r="AA2" s="31" t="n">
        <v>-5.97</v>
      </c>
      <c r="AB2" s="31" t="n">
        <v>14.67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Monopoly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Shallow Cyclical (2 to 3 Years Growth)</t>
        </is>
      </c>
      <c r="AL2" s="30">
        <f>IF(AK2="Structural (10 Years Consistency)",10,IF(AK2="Shallow Cyclical (2 to 3 years growth)",5,0))</f>
        <v/>
      </c>
      <c r="AM2" s="30" t="inlineStr">
        <is>
          <t>Yes due to Product Mix change or Operating Leverage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Fully One Time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20 to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Close to 52 week high or retracement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Yes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Between 1.5 to 2</t>
        </is>
      </c>
      <c r="BZ2" s="30">
        <f>IF(BY2="Above 2",0,IF(BY2="Between 1.5 to 2",5,IF(BY2="Less than 1.5",10,0)))</f>
        <v/>
      </c>
      <c r="CA2" s="30" t="inlineStr">
        <is>
          <t>Less than 50%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139.6</v>
      </c>
      <c r="E3" s="31" t="inlineStr">
        <is>
          <t>5%</t>
        </is>
      </c>
      <c r="F3" s="31" t="n">
        <v>50000</v>
      </c>
      <c r="G3" s="31" t="n">
        <v>32</v>
      </c>
      <c r="H3" s="30" t="inlineStr">
        <is>
          <t>SYRMA</t>
        </is>
      </c>
      <c r="I3" s="30" t="inlineStr">
        <is>
          <t>Syrma SGS Technology Ltd</t>
        </is>
      </c>
      <c r="J3" s="30" t="inlineStr">
        <is>
          <t>consumer discretionary</t>
        </is>
      </c>
      <c r="K3" s="30" t="inlineStr">
        <is>
          <t>electronics - components</t>
        </is>
      </c>
      <c r="L3" s="30" t="inlineStr">
        <is>
          <t>largecap</t>
        </is>
      </c>
      <c r="M3" s="31" t="n">
        <v>27472.56</v>
      </c>
      <c r="N3" s="31" t="n">
        <v>1516.4</v>
      </c>
      <c r="O3" s="31" t="n">
        <v>6.44</v>
      </c>
      <c r="P3" s="31" t="n">
        <v>3864241</v>
      </c>
      <c r="Q3" s="30" t="n">
        <v>84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67.89</v>
      </c>
      <c r="U3" s="31" t="n">
        <v>59.69</v>
      </c>
      <c r="V3" s="31" t="inlineStr"/>
      <c r="W3" s="30" t="inlineStr">
        <is>
          <t>Earnings / Momentum Support</t>
        </is>
      </c>
      <c r="X3" s="30" t="inlineStr">
        <is>
          <t>Nifty 50</t>
        </is>
      </c>
      <c r="Y3" s="31" t="n">
        <v>0.85</v>
      </c>
      <c r="Z3" s="31" t="n">
        <v>103.05</v>
      </c>
      <c r="AA3" s="31" t="n">
        <v>101.34</v>
      </c>
      <c r="AB3" s="31" t="n">
        <v>21.65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Headwind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No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Between 50 to 75</t>
        </is>
      </c>
      <c r="BF3" s="30">
        <f>IF(BE3="Between 50 to 75",10,IF(BE3="Above 75",0,0))</f>
        <v/>
      </c>
      <c r="BG3" s="30" t="inlineStr">
        <is>
          <t>Stage 3</t>
        </is>
      </c>
      <c r="BH3" s="30">
        <f>IF(BG3="Stage 2",20,IF(BG3="Stage 1",0,IF(BG3="Stage 3",5,IF(BG3="Stage 4",-5,0))))</f>
        <v/>
      </c>
      <c r="BI3" s="30" t="inlineStr">
        <is>
          <t>Negative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Close to 52 week high or retracement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139.1</v>
      </c>
      <c r="E4" s="31" t="inlineStr">
        <is>
          <t>5%</t>
        </is>
      </c>
      <c r="F4" s="31" t="n">
        <v>50000</v>
      </c>
      <c r="G4" s="31" t="n">
        <v>10</v>
      </c>
      <c r="H4" s="30" t="inlineStr">
        <is>
          <t>RADICO</t>
        </is>
      </c>
      <c r="I4" s="30" t="inlineStr">
        <is>
          <t>Radico Khaitan Limited</t>
        </is>
      </c>
      <c r="J4" s="30" t="inlineStr">
        <is>
          <t>fmcg</t>
        </is>
      </c>
      <c r="K4" s="30" t="inlineStr">
        <is>
          <t>breweries &amp; distilleries</t>
        </is>
      </c>
      <c r="L4" s="30" t="inlineStr">
        <is>
          <t>largecap</t>
        </is>
      </c>
      <c r="M4" s="31" t="n">
        <v>60255.71</v>
      </c>
      <c r="N4" s="31" t="n">
        <v>4550</v>
      </c>
      <c r="O4" s="31" t="n">
        <v>1.13</v>
      </c>
      <c r="P4" s="31" t="n">
        <v>751749</v>
      </c>
      <c r="Q4" s="30" t="n">
        <v>73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85.51000000000001</v>
      </c>
      <c r="U4" s="31" t="n">
        <v>62.9</v>
      </c>
      <c r="V4" s="31" t="inlineStr"/>
      <c r="W4" s="30" t="inlineStr">
        <is>
          <t>Earnings / Momentum Support</t>
        </is>
      </c>
      <c r="X4" s="30" t="inlineStr">
        <is>
          <t>Nifty FMCG</t>
        </is>
      </c>
      <c r="Y4" s="31" t="n">
        <v>-13.73</v>
      </c>
      <c r="Z4" s="31" t="n">
        <v>50.97</v>
      </c>
      <c r="AA4" s="31" t="n">
        <v>75</v>
      </c>
      <c r="AB4" s="31" t="n">
        <v>14.99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Headwind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B2C</t>
        </is>
      </c>
      <c r="AT4" s="30">
        <f>IF(AS4="B2C",10,IF(AS4="B2B",5,0))</f>
        <v/>
      </c>
      <c r="AU4" s="30" t="inlineStr">
        <is>
          <t>No</t>
        </is>
      </c>
      <c r="AV4" s="30">
        <f>IF(AU4="Yes",10,0)</f>
        <v/>
      </c>
      <c r="AW4" s="30" t="inlineStr">
        <is>
          <t>Higher Annuity, Lower One Time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3</t>
        </is>
      </c>
      <c r="BH4" s="30">
        <f>IF(BG4="Stage 2",20,IF(BG4="Stage 1",0,IF(BG4="Stage 3",5,IF(BG4="Stage 4",-5,0))))</f>
        <v/>
      </c>
      <c r="BI4" s="30" t="inlineStr">
        <is>
          <t>Negative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Close to 52 week high or retracement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Yes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139.6</v>
      </c>
      <c r="E5" s="31" t="inlineStr">
        <is>
          <t>5%</t>
        </is>
      </c>
      <c r="F5" s="31" t="n">
        <v>50000</v>
      </c>
      <c r="G5" s="31" t="n">
        <v>80</v>
      </c>
      <c r="H5" s="30" t="inlineStr">
        <is>
          <t>THYROCARE</t>
        </is>
      </c>
      <c r="I5" s="30" t="inlineStr">
        <is>
          <t>Thyrocare Technologies Limited</t>
        </is>
      </c>
      <c r="J5" s="30" t="inlineStr">
        <is>
          <t>healthcare</t>
        </is>
      </c>
      <c r="K5" s="30" t="inlineStr">
        <is>
          <t>healthcare</t>
        </is>
      </c>
      <c r="L5" s="30" t="inlineStr">
        <is>
          <t>midcap</t>
        </is>
      </c>
      <c r="M5" s="31" t="n">
        <v>9601.65</v>
      </c>
      <c r="N5" s="31" t="n">
        <v>622.1</v>
      </c>
      <c r="O5" s="31" t="n">
        <v>3.12</v>
      </c>
      <c r="P5" s="31" t="n">
        <v>342145</v>
      </c>
      <c r="Q5" s="30" t="n">
        <v>65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71.43000000000001</v>
      </c>
      <c r="U5" s="31" t="n">
        <v>57.05</v>
      </c>
      <c r="V5" s="31" t="inlineStr"/>
      <c r="W5" s="30" t="inlineStr">
        <is>
          <t>Earnings / Momentum Support</t>
        </is>
      </c>
      <c r="X5" s="30" t="inlineStr">
        <is>
          <t>Nifty Pharma</t>
        </is>
      </c>
      <c r="Y5" s="31" t="n">
        <v>24.01</v>
      </c>
      <c r="Z5" s="31" t="n">
        <v>37.85</v>
      </c>
      <c r="AA5" s="31" t="n">
        <v>11.16</v>
      </c>
      <c r="AB5" s="31" t="n">
        <v>12.65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Yes</t>
        </is>
      </c>
      <c r="AH5" s="30">
        <f>IF(AG5="No",5,0)</f>
        <v/>
      </c>
      <c r="AI5" s="30" t="inlineStr">
        <is>
          <t>Headwind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No</t>
        </is>
      </c>
      <c r="AV5" s="30">
        <f>IF(AU5="Yes",10,0)</f>
        <v/>
      </c>
      <c r="AW5" s="30" t="inlineStr">
        <is>
          <t>Higher Annuity, Lower One Time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Between 50 to 75</t>
        </is>
      </c>
      <c r="BF5" s="30">
        <f>IF(BE5="Between 50 to 75",10,IF(BE5="Above 75",0,0))</f>
        <v/>
      </c>
      <c r="BG5" s="30" t="inlineStr">
        <is>
          <t>Stage 3</t>
        </is>
      </c>
      <c r="BH5" s="30">
        <f>IF(BG5="Stage 2",20,IF(BG5="Stage 1",0,IF(BG5="Stage 3",5,IF(BG5="Stage 4",-5,0))))</f>
        <v/>
      </c>
      <c r="BI5" s="30" t="inlineStr">
        <is>
          <t>Negative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Close to 52 week high or retracement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Between 1.5 to 2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139.3</v>
      </c>
      <c r="E6" s="31" t="inlineStr">
        <is>
          <t>5%</t>
        </is>
      </c>
      <c r="F6" s="31" t="n">
        <v>50000</v>
      </c>
      <c r="G6" s="31" t="n">
        <v>18</v>
      </c>
      <c r="H6" s="30" t="inlineStr">
        <is>
          <t>GLAND</t>
        </is>
      </c>
      <c r="I6" s="30" t="inlineStr">
        <is>
          <t>Gland Pharma Ltd</t>
        </is>
      </c>
      <c r="J6" s="30" t="inlineStr">
        <is>
          <t>healthcare</t>
        </is>
      </c>
      <c r="K6" s="30" t="inlineStr">
        <is>
          <t>pharmaceuticals - indian - formulations</t>
        </is>
      </c>
      <c r="L6" s="30" t="inlineStr">
        <is>
          <t>largecap</t>
        </is>
      </c>
      <c r="M6" s="31" t="n">
        <v>42906.01</v>
      </c>
      <c r="N6" s="31" t="n">
        <v>2667.3</v>
      </c>
      <c r="O6" s="31" t="n">
        <v>2.55</v>
      </c>
      <c r="P6" s="31" t="n">
        <v>720772</v>
      </c>
      <c r="Q6" s="30" t="n">
        <v>72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72.26000000000001</v>
      </c>
      <c r="U6" s="31" t="n">
        <v>57.92</v>
      </c>
      <c r="V6" s="31" t="inlineStr"/>
      <c r="W6" s="30" t="inlineStr">
        <is>
          <t>Earnings / Momentum Support</t>
        </is>
      </c>
      <c r="X6" s="30" t="inlineStr">
        <is>
          <t>Nifty Pharma</t>
        </is>
      </c>
      <c r="Y6" s="31" t="n">
        <v>24.01</v>
      </c>
      <c r="Z6" s="31" t="n">
        <v>35.7</v>
      </c>
      <c r="AA6" s="31" t="n">
        <v>9.42</v>
      </c>
      <c r="AB6" s="31" t="n">
        <v>14.52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Yes</t>
        </is>
      </c>
      <c r="AH6" s="30">
        <f>IF(AG6="No",5,0)</f>
        <v/>
      </c>
      <c r="AI6" s="30" t="inlineStr">
        <is>
          <t>Headwind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No</t>
        </is>
      </c>
      <c r="AV6" s="30">
        <f>IF(AU6="Yes",10,0)</f>
        <v/>
      </c>
      <c r="AW6" s="30" t="inlineStr">
        <is>
          <t>Higher Annuity, Lower One Time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Between 50 to 75</t>
        </is>
      </c>
      <c r="BF6" s="30">
        <f>IF(BE6="Between 50 to 75",10,IF(BE6="Above 75",0,0))</f>
        <v/>
      </c>
      <c r="BG6" s="30" t="inlineStr">
        <is>
          <t>Stage 3</t>
        </is>
      </c>
      <c r="BH6" s="30">
        <f>IF(BG6="Stage 2",20,IF(BG6="Stage 1",0,IF(BG6="Stage 3",5,IF(BG6="Stage 4",-5,0))))</f>
        <v/>
      </c>
      <c r="BI6" s="30" t="inlineStr">
        <is>
          <t>Negative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Close to 52 week high or retracement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Less than 1.5</t>
        </is>
      </c>
      <c r="BZ6" s="30">
        <f>IF(BY6="Above 2",0,IF(BY6="Between 1.5 to 2",5,IF(BY6="Less than 1.5",10,0)))</f>
        <v/>
      </c>
      <c r="CA6" s="30" t="inlineStr">
        <is>
          <t>Between 50% to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139.2</v>
      </c>
      <c r="E7" s="31" t="inlineStr">
        <is>
          <t>5%</t>
        </is>
      </c>
      <c r="F7" s="31" t="n">
        <v>50000</v>
      </c>
      <c r="G7" s="31" t="n">
        <v>104</v>
      </c>
      <c r="H7" s="30" t="inlineStr">
        <is>
          <t>NRBBEARING</t>
        </is>
      </c>
      <c r="I7" s="30" t="inlineStr">
        <is>
          <t>Nrb Bearing Limited</t>
        </is>
      </c>
      <c r="J7" s="30" t="inlineStr">
        <is>
          <t>industrials</t>
        </is>
      </c>
      <c r="K7" s="30" t="inlineStr">
        <is>
          <t>bearings</t>
        </is>
      </c>
      <c r="L7" s="30" t="inlineStr">
        <is>
          <t>smallcap</t>
        </is>
      </c>
      <c r="M7" s="31" t="n">
        <v>4472.98</v>
      </c>
      <c r="N7" s="31" t="n">
        <v>478.25</v>
      </c>
      <c r="O7" s="31" t="n">
        <v>3.63</v>
      </c>
      <c r="P7" s="31" t="n">
        <v>2221157</v>
      </c>
      <c r="Q7" s="30" t="n">
        <v>84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74.79000000000001</v>
      </c>
      <c r="U7" s="31" t="n">
        <v>49.29</v>
      </c>
      <c r="V7" s="31" t="inlineStr"/>
      <c r="W7" s="30" t="inlineStr">
        <is>
          <t>Earnings / Momentum Support</t>
        </is>
      </c>
      <c r="X7" s="30" t="inlineStr">
        <is>
          <t>Nifty 50</t>
        </is>
      </c>
      <c r="Y7" s="31" t="n">
        <v>0.85</v>
      </c>
      <c r="Z7" s="31" t="n">
        <v>71.51000000000001</v>
      </c>
      <c r="AA7" s="31" t="n">
        <v>70.06999999999999</v>
      </c>
      <c r="AB7" s="31" t="n">
        <v>21.92</v>
      </c>
      <c r="AC7" s="30" t="inlineStr">
        <is>
          <t>Cyclical in an Upturn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Headwind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No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3</t>
        </is>
      </c>
      <c r="BH7" s="30">
        <f>IF(BG7="Stage 2",20,IF(BG7="Stage 1",0,IF(BG7="Stage 3",5,IF(BG7="Stage 4",-5,0))))</f>
        <v/>
      </c>
      <c r="BI7" s="30" t="inlineStr">
        <is>
          <t>Negative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Close to 52 week high or retracement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Between 12 to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No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139.1</v>
      </c>
      <c r="E8" s="31" t="inlineStr">
        <is>
          <t>5%</t>
        </is>
      </c>
      <c r="F8" s="31" t="n">
        <v>50000</v>
      </c>
      <c r="G8" s="31" t="n">
        <v>27</v>
      </c>
      <c r="H8" s="30" t="inlineStr">
        <is>
          <t>WELCORP</t>
        </is>
      </c>
      <c r="I8" s="30" t="inlineStr">
        <is>
          <t>Welspun Corp Limited</t>
        </is>
      </c>
      <c r="J8" s="30" t="inlineStr">
        <is>
          <t>industrials</t>
        </is>
      </c>
      <c r="K8" s="30" t="inlineStr">
        <is>
          <t>steel - large</t>
        </is>
      </c>
      <c r="L8" s="30" t="inlineStr">
        <is>
          <t>largecap</t>
        </is>
      </c>
      <c r="M8" s="31" t="n">
        <v>48532.2</v>
      </c>
      <c r="N8" s="31" t="n">
        <v>1848.5</v>
      </c>
      <c r="O8" s="31" t="n">
        <v>0.47</v>
      </c>
      <c r="P8" s="31" t="n">
        <v>446106</v>
      </c>
      <c r="Q8" s="30" t="n">
        <v>87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88.33</v>
      </c>
      <c r="U8" s="31" t="n">
        <v>70.72</v>
      </c>
      <c r="V8" s="31" t="inlineStr"/>
      <c r="W8" s="30" t="inlineStr">
        <is>
          <t>Earnings / Momentum Support</t>
        </is>
      </c>
      <c r="X8" s="30" t="inlineStr">
        <is>
          <t>Nifty Metal</t>
        </is>
      </c>
      <c r="Y8" s="31" t="n">
        <v>31.49</v>
      </c>
      <c r="Z8" s="31" t="n">
        <v>71.81999999999999</v>
      </c>
      <c r="AA8" s="31" t="n">
        <v>30.67</v>
      </c>
      <c r="AB8" s="31" t="n">
        <v>23.89</v>
      </c>
      <c r="AC8" s="30" t="inlineStr">
        <is>
          <t>Cyclical in an Upturn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Headwind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No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3</t>
        </is>
      </c>
      <c r="BH8" s="30">
        <f>IF(BG8="Stage 2",20,IF(BG8="Stage 1",0,IF(BG8="Stage 3",5,IF(BG8="Stage 4",-5,0))))</f>
        <v/>
      </c>
      <c r="BI8" s="30" t="inlineStr">
        <is>
          <t>Negative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Close to 52 week high or retracement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139.1</v>
      </c>
      <c r="E9" s="31" t="inlineStr">
        <is>
          <t>5%</t>
        </is>
      </c>
      <c r="F9" s="31" t="n">
        <v>50000</v>
      </c>
      <c r="G9" s="31" t="n">
        <v>36</v>
      </c>
      <c r="H9" s="30" t="inlineStr">
        <is>
          <t>ALIVUS</t>
        </is>
      </c>
      <c r="I9" s="30" t="inlineStr">
        <is>
          <t>Alivus Life Sciences Ltd</t>
        </is>
      </c>
      <c r="J9" s="30" t="inlineStr">
        <is>
          <t>healthcare</t>
        </is>
      </c>
      <c r="K9" s="30" t="inlineStr">
        <is>
          <t>pharmaceuticals - indian - bulk drugs &amp; formln</t>
        </is>
      </c>
      <c r="L9" s="30" t="inlineStr">
        <is>
          <t>midcap</t>
        </is>
      </c>
      <c r="M9" s="31" t="n">
        <v>16321.48</v>
      </c>
      <c r="N9" s="31" t="n">
        <v>1374.5</v>
      </c>
      <c r="O9" s="31" t="n">
        <v>3.36</v>
      </c>
      <c r="P9" s="31" t="n">
        <v>342677</v>
      </c>
      <c r="Q9" s="30" t="n">
        <v>62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76.02</v>
      </c>
      <c r="U9" s="31" t="n">
        <v>39.61</v>
      </c>
      <c r="V9" s="31" t="inlineStr"/>
      <c r="W9" s="30" t="inlineStr">
        <is>
          <t>Earnings / Momentum Support</t>
        </is>
      </c>
      <c r="X9" s="30" t="inlineStr">
        <is>
          <t>Nifty Pharma</t>
        </is>
      </c>
      <c r="Y9" s="31" t="n">
        <v>24.01</v>
      </c>
      <c r="Z9" s="31" t="n">
        <v>43.01</v>
      </c>
      <c r="AA9" s="31" t="n">
        <v>15.32</v>
      </c>
      <c r="AB9" s="31" t="n">
        <v>11.55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Yes</t>
        </is>
      </c>
      <c r="AH9" s="30">
        <f>IF(AG9="No",5,0)</f>
        <v/>
      </c>
      <c r="AI9" s="30" t="inlineStr">
        <is>
          <t>Headwind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No</t>
        </is>
      </c>
      <c r="AV9" s="30">
        <f>IF(AU9="Yes",10,0)</f>
        <v/>
      </c>
      <c r="AW9" s="30" t="inlineStr">
        <is>
          <t>Higher Annuity, Lower One Time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20 to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3</t>
        </is>
      </c>
      <c r="BH9" s="30">
        <f>IF(BG9="Stage 2",20,IF(BG9="Stage 1",0,IF(BG9="Stage 3",5,IF(BG9="Stage 4",-5,0))))</f>
        <v/>
      </c>
      <c r="BI9" s="30" t="inlineStr">
        <is>
          <t>Negative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Close to 52 week high or retracement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No</t>
        </is>
      </c>
      <c r="BX9" s="30">
        <f>IF(BW9="NO",5,0)</f>
        <v/>
      </c>
      <c r="BY9" s="30" t="inlineStr">
        <is>
          <t>Less than 1.5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139.2</v>
      </c>
      <c r="E10" s="31" t="inlineStr">
        <is>
          <t>5%</t>
        </is>
      </c>
      <c r="F10" s="31" t="n">
        <v>50000</v>
      </c>
      <c r="G10" s="31" t="n">
        <v>27</v>
      </c>
      <c r="H10" s="30" t="inlineStr">
        <is>
          <t>MACPOWER</t>
        </is>
      </c>
      <c r="I10" s="30" t="inlineStr">
        <is>
          <t>Macpower CNC Machines Ltd</t>
        </is>
      </c>
      <c r="J10" s="30" t="inlineStr">
        <is>
          <t>industrials</t>
        </is>
      </c>
      <c r="K10" s="30" t="inlineStr">
        <is>
          <t>engineering</t>
        </is>
      </c>
      <c r="L10" s="30" t="inlineStr">
        <is>
          <t>smallcap</t>
        </is>
      </c>
      <c r="M10" s="31" t="n">
        <v>1681.8</v>
      </c>
      <c r="N10" s="31" t="n">
        <v>1824.3</v>
      </c>
      <c r="O10" s="31" t="n">
        <v>8.52</v>
      </c>
      <c r="P10" s="31" t="n">
        <v>138274</v>
      </c>
      <c r="Q10" s="30" t="n">
        <v>89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73.51000000000001</v>
      </c>
      <c r="U10" s="31" t="n">
        <v>30.88</v>
      </c>
      <c r="V10" s="31" t="inlineStr"/>
      <c r="W10" s="30" t="inlineStr">
        <is>
          <t>Earnings / Momentum Support</t>
        </is>
      </c>
      <c r="X10" s="30" t="inlineStr">
        <is>
          <t>Nifty 50</t>
        </is>
      </c>
      <c r="Y10" s="31" t="n">
        <v>0.85</v>
      </c>
      <c r="Z10" s="31" t="n">
        <v>105.66</v>
      </c>
      <c r="AA10" s="31" t="n">
        <v>103.92</v>
      </c>
      <c r="AB10" s="31" t="n">
        <v>24.91</v>
      </c>
      <c r="AC10" s="30" t="inlineStr">
        <is>
          <t>Cyclical in an Upturn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Headwind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No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20 to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3</t>
        </is>
      </c>
      <c r="BH10" s="30">
        <f>IF(BG10="Stage 2",20,IF(BG10="Stage 1",0,IF(BG10="Stage 3",5,IF(BG10="Stage 4",-5,0))))</f>
        <v/>
      </c>
      <c r="BI10" s="30" t="inlineStr">
        <is>
          <t>Negative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Close to 52 week high or retracement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140</v>
      </c>
      <c r="E11" s="31" t="inlineStr">
        <is>
          <t>5%</t>
        </is>
      </c>
      <c r="F11" s="31" t="n">
        <v>50000</v>
      </c>
      <c r="G11" s="31" t="n">
        <v>184</v>
      </c>
      <c r="H11" s="30" t="inlineStr">
        <is>
          <t>UEL</t>
        </is>
      </c>
      <c r="I11" s="30" t="inlineStr">
        <is>
          <t>Ujaas Energy Ltd</t>
        </is>
      </c>
      <c r="J11" s="30" t="inlineStr">
        <is>
          <t>power &amp; utilities</t>
        </is>
      </c>
      <c r="K11" s="30" t="inlineStr">
        <is>
          <t>power generation and supply</t>
        </is>
      </c>
      <c r="L11" s="30" t="inlineStr">
        <is>
          <t>smallcap</t>
        </is>
      </c>
      <c r="M11" s="31" t="n">
        <v>3438.86</v>
      </c>
      <c r="N11" s="31" t="n">
        <v>270.67</v>
      </c>
      <c r="O11" s="31" t="n">
        <v>5</v>
      </c>
      <c r="P11" s="31" t="n">
        <v>37036</v>
      </c>
      <c r="Q11" s="30" t="n">
        <v>95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77.87</v>
      </c>
      <c r="U11" s="31" t="n">
        <v>15.23</v>
      </c>
      <c r="V11" s="31" t="inlineStr"/>
      <c r="W11" s="30" t="inlineStr">
        <is>
          <t>Earnings / Momentum Support</t>
        </is>
      </c>
      <c r="X11" s="30" t="inlineStr">
        <is>
          <t>Nifty IT</t>
        </is>
      </c>
      <c r="Y11" s="31" t="n">
        <v>-8.289999999999999</v>
      </c>
      <c r="Z11" s="31" t="n">
        <v>110.93</v>
      </c>
      <c r="AA11" s="31" t="n">
        <v>129.99</v>
      </c>
      <c r="AB11" s="31" t="n">
        <v>32.09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Headwind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No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0 to 20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3</t>
        </is>
      </c>
      <c r="BH11" s="30">
        <f>IF(BG11="Stage 2",20,IF(BG11="Stage 1",0,IF(BG11="Stage 3",5,IF(BG11="Stage 4",-5,0))))</f>
        <v/>
      </c>
      <c r="BI11" s="30" t="inlineStr">
        <is>
          <t>Negative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Close to 52 week high or retracement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139.7</v>
      </c>
      <c r="E12" s="31" t="inlineStr">
        <is>
          <t>5%</t>
        </is>
      </c>
      <c r="F12" s="31" t="n">
        <v>50000</v>
      </c>
      <c r="G12" s="31" t="n">
        <v>185</v>
      </c>
      <c r="H12" s="30" t="inlineStr">
        <is>
          <t>COMSYN</t>
        </is>
      </c>
      <c r="I12" s="30" t="inlineStr">
        <is>
          <t>Commercial Syn Bags Ltd</t>
        </is>
      </c>
      <c r="J12" s="30" t="inlineStr">
        <is>
          <t>industrials</t>
        </is>
      </c>
      <c r="K12" s="30" t="inlineStr">
        <is>
          <t>packaging</t>
        </is>
      </c>
      <c r="L12" s="30" t="inlineStr">
        <is>
          <t>smallcap</t>
        </is>
      </c>
      <c r="M12" s="31" t="n">
        <v>906.95</v>
      </c>
      <c r="N12" s="31" t="n">
        <v>269.03</v>
      </c>
      <c r="O12" s="31" t="n">
        <v>19.66</v>
      </c>
      <c r="P12" s="31" t="n">
        <v>7601735</v>
      </c>
      <c r="Q12" s="30" t="n">
        <v>84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71.95999999999999</v>
      </c>
      <c r="U12" s="31" t="n">
        <v>58.68</v>
      </c>
      <c r="V12" s="31" t="inlineStr"/>
      <c r="W12" s="30" t="inlineStr">
        <is>
          <t>Earnings / Momentum Support</t>
        </is>
      </c>
      <c r="X12" s="30" t="inlineStr">
        <is>
          <t>Nifty 50</t>
        </is>
      </c>
      <c r="Y12" s="31" t="n">
        <v>0.85</v>
      </c>
      <c r="Z12" s="31" t="n">
        <v>68.75</v>
      </c>
      <c r="AA12" s="31" t="n">
        <v>67.31999999999999</v>
      </c>
      <c r="AB12" s="31" t="n">
        <v>21.99</v>
      </c>
      <c r="AC12" s="30" t="inlineStr">
        <is>
          <t>Cyclical in an Upturn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Headwind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No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3</t>
        </is>
      </c>
      <c r="BH12" s="30">
        <f>IF(BG12="Stage 2",20,IF(BG12="Stage 1",0,IF(BG12="Stage 3",5,IF(BG12="Stage 4",-5,0))))</f>
        <v/>
      </c>
      <c r="BI12" s="30" t="inlineStr">
        <is>
          <t>Negative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Close to 52 week high or retracement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Less than 12%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Between 0.7 to 1.2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139.4</v>
      </c>
      <c r="E13" s="31" t="inlineStr">
        <is>
          <t>5%</t>
        </is>
      </c>
      <c r="F13" s="31" t="n">
        <v>50000</v>
      </c>
      <c r="G13" s="31" t="n">
        <v>9</v>
      </c>
      <c r="H13" s="30" t="inlineStr">
        <is>
          <t>TITAN</t>
        </is>
      </c>
      <c r="I13" s="30" t="inlineStr">
        <is>
          <t>Titan Company Limited</t>
        </is>
      </c>
      <c r="J13" s="30" t="inlineStr">
        <is>
          <t>consumer discretionary</t>
        </is>
      </c>
      <c r="K13" s="30" t="inlineStr">
        <is>
          <t>diamond cutting / jewellery</t>
        </is>
      </c>
      <c r="L13" s="30" t="inlineStr">
        <is>
          <t>largecap</t>
        </is>
      </c>
      <c r="M13" s="31" t="n">
        <v>438655.14</v>
      </c>
      <c r="N13" s="31" t="n">
        <v>5090</v>
      </c>
      <c r="O13" s="31" t="n">
        <v>3.02</v>
      </c>
      <c r="P13" s="31" t="n">
        <v>7293715</v>
      </c>
      <c r="Q13" s="30" t="n">
        <v>56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69.54000000000001</v>
      </c>
      <c r="U13" s="31" t="n">
        <v>23.49</v>
      </c>
      <c r="V13" s="31" t="inlineStr"/>
      <c r="W13" s="30" t="inlineStr">
        <is>
          <t>Earnings / Momentum Support</t>
        </is>
      </c>
      <c r="X13" s="30" t="inlineStr">
        <is>
          <t>Nifty 50</t>
        </is>
      </c>
      <c r="Y13" s="31" t="n">
        <v>0.85</v>
      </c>
      <c r="Z13" s="31" t="n">
        <v>43.26</v>
      </c>
      <c r="AA13" s="31" t="n">
        <v>42.05</v>
      </c>
      <c r="AB13" s="31" t="n">
        <v>9.51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Headwind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No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20 to 40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3</t>
        </is>
      </c>
      <c r="BH13" s="30">
        <f>IF(BG13="Stage 2",20,IF(BG13="Stage 1",0,IF(BG13="Stage 3",5,IF(BG13="Stage 4",-5,0))))</f>
        <v/>
      </c>
      <c r="BI13" s="30" t="inlineStr">
        <is>
          <t>Negative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Close to 52 week high or retracement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Less than 1.5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More than 1.2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139.1</v>
      </c>
      <c r="E14" s="31" t="inlineStr">
        <is>
          <t>5%</t>
        </is>
      </c>
      <c r="F14" s="31" t="n">
        <v>50000</v>
      </c>
      <c r="G14" s="31" t="n">
        <v>31</v>
      </c>
      <c r="H14" s="30" t="inlineStr">
        <is>
          <t>PAYTM</t>
        </is>
      </c>
      <c r="I14" s="30" t="inlineStr">
        <is>
          <t>One 97 Communications Ltd</t>
        </is>
      </c>
      <c r="J14" s="30" t="inlineStr">
        <is>
          <t>i.t</t>
        </is>
      </c>
      <c r="K14" s="30" t="inlineStr">
        <is>
          <t>miscellaneous</t>
        </is>
      </c>
      <c r="L14" s="30" t="inlineStr">
        <is>
          <t>largecap</t>
        </is>
      </c>
      <c r="M14" s="31" t="n">
        <v>92310.98</v>
      </c>
      <c r="N14" s="31" t="n">
        <v>1584.1</v>
      </c>
      <c r="O14" s="31" t="n">
        <v>9.880000000000001</v>
      </c>
      <c r="P14" s="31" t="n">
        <v>39982128</v>
      </c>
      <c r="Q14" s="30" t="n">
        <v>63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67.34</v>
      </c>
      <c r="U14" s="31" t="n">
        <v>17.3</v>
      </c>
      <c r="V14" s="31" t="inlineStr"/>
      <c r="W14" s="30" t="inlineStr">
        <is>
          <t>Earnings / Momentum Support</t>
        </is>
      </c>
      <c r="X14" s="30" t="inlineStr">
        <is>
          <t>Nifty IT</t>
        </is>
      </c>
      <c r="Y14" s="31" t="n">
        <v>-8.289999999999999</v>
      </c>
      <c r="Z14" s="31" t="n">
        <v>35.69</v>
      </c>
      <c r="AA14" s="31" t="n">
        <v>47.95</v>
      </c>
      <c r="AB14" s="31" t="n">
        <v>11.56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Headwind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No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0 to 20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3</t>
        </is>
      </c>
      <c r="BH14" s="30">
        <f>IF(BG14="Stage 2",20,IF(BG14="Stage 1",0,IF(BG14="Stage 3",5,IF(BG14="Stage 4",-5,0))))</f>
        <v/>
      </c>
      <c r="BI14" s="30" t="inlineStr">
        <is>
          <t>Negative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Close to 52 week high or retracement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Between 1.5 to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140</v>
      </c>
      <c r="E15" s="31" t="inlineStr">
        <is>
          <t>5%</t>
        </is>
      </c>
      <c r="F15" s="31" t="n">
        <v>50000</v>
      </c>
      <c r="G15" s="31" t="n">
        <v>103</v>
      </c>
      <c r="H15" s="30" t="inlineStr">
        <is>
          <t>PANACHE</t>
        </is>
      </c>
      <c r="I15" s="30" t="inlineStr">
        <is>
          <t>Panache Digilife Ltd</t>
        </is>
      </c>
      <c r="J15" s="30" t="inlineStr">
        <is>
          <t>i.t</t>
        </is>
      </c>
      <c r="K15" s="30" t="inlineStr">
        <is>
          <t>computers - hardware</t>
        </is>
      </c>
      <c r="L15" s="30" t="inlineStr">
        <is>
          <t>smallcap</t>
        </is>
      </c>
      <c r="M15" s="31" t="n">
        <v>734.3200000000001</v>
      </c>
      <c r="N15" s="31" t="n">
        <v>481.45</v>
      </c>
      <c r="O15" s="31" t="n">
        <v>4.99</v>
      </c>
      <c r="P15" s="31" t="n">
        <v>17355</v>
      </c>
      <c r="Q15" s="30" t="n">
        <v>89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65.47</v>
      </c>
      <c r="U15" s="31" t="n">
        <v>23.98</v>
      </c>
      <c r="V15" s="31" t="inlineStr"/>
      <c r="W15" s="30" t="inlineStr">
        <is>
          <t>Earnings / Momentum Support</t>
        </is>
      </c>
      <c r="X15" s="30" t="inlineStr">
        <is>
          <t>Nifty IT</t>
        </is>
      </c>
      <c r="Y15" s="31" t="n">
        <v>-8.289999999999999</v>
      </c>
      <c r="Z15" s="31" t="n">
        <v>82.91</v>
      </c>
      <c r="AA15" s="31" t="n">
        <v>99.44</v>
      </c>
      <c r="AB15" s="31" t="n">
        <v>24.92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Headwind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No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Between 50 to 75</t>
        </is>
      </c>
      <c r="BF15" s="30">
        <f>IF(BE15="Between 50 to 75",10,IF(BE15="Above 75",0,0))</f>
        <v/>
      </c>
      <c r="BG15" s="30" t="inlineStr">
        <is>
          <t>Stage 3</t>
        </is>
      </c>
      <c r="BH15" s="30">
        <f>IF(BG15="Stage 2",20,IF(BG15="Stage 1",0,IF(BG15="Stage 3",5,IF(BG15="Stage 4",-5,0))))</f>
        <v/>
      </c>
      <c r="BI15" s="30" t="inlineStr">
        <is>
          <t>Negative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Close to 52 week high or retracement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Negative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139.7</v>
      </c>
      <c r="E16" s="31" t="inlineStr">
        <is>
          <t>5%</t>
        </is>
      </c>
      <c r="F16" s="31" t="n">
        <v>50000</v>
      </c>
      <c r="G16" s="31" t="n">
        <v>1</v>
      </c>
      <c r="H16" s="32" t="inlineStr">
        <is>
          <t>BOSCHLTD</t>
        </is>
      </c>
      <c r="I16" s="32" t="inlineStr">
        <is>
          <t>Bosch Limited</t>
        </is>
      </c>
      <c r="J16" s="30" t="inlineStr">
        <is>
          <t>auto</t>
        </is>
      </c>
      <c r="K16" s="30" t="inlineStr">
        <is>
          <t>auto ancillaries</t>
        </is>
      </c>
      <c r="L16" s="30" t="inlineStr">
        <is>
          <t>largecap</t>
        </is>
      </c>
      <c r="M16" s="31" t="n">
        <v>126685.75</v>
      </c>
      <c r="N16" s="31" t="n">
        <v>43505</v>
      </c>
      <c r="O16" s="31" t="n">
        <v>1.29</v>
      </c>
      <c r="P16" s="31" t="n">
        <v>78613</v>
      </c>
      <c r="Q16" s="30" t="n">
        <v>30</v>
      </c>
      <c r="R16" s="30" t="inlineStr">
        <is>
          <t>Underperforming</t>
        </is>
      </c>
      <c r="S16" s="31">
        <f>IF(R16="Underperforming",-5,IF(Q16&gt;=95,15,IF(Q16&gt;=90,10,IF(Q16&gt;=80,5,0))))</f>
        <v/>
      </c>
      <c r="T16" s="31" t="n">
        <v>66.73</v>
      </c>
      <c r="U16" s="31" t="n">
        <v>30.22</v>
      </c>
      <c r="V16" s="31" t="inlineStr"/>
      <c r="W16" s="30" t="inlineStr">
        <is>
          <t>Earnings / Momentum Support</t>
        </is>
      </c>
      <c r="X16" s="30" t="inlineStr">
        <is>
          <t>Nifty Auto</t>
        </is>
      </c>
      <c r="Y16" s="31" t="n">
        <v>13.41</v>
      </c>
      <c r="Z16" s="31" t="n">
        <v>8.26</v>
      </c>
      <c r="AA16" s="31" t="n">
        <v>-4.55</v>
      </c>
      <c r="AB16" s="31" t="n">
        <v>3.48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Headwind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No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3</t>
        </is>
      </c>
      <c r="BH16" s="30">
        <f>IF(BG16="Stage 2",20,IF(BG16="Stage 1",0,IF(BG16="Stage 3",5,IF(BG16="Stage 4",-5,0))))</f>
        <v/>
      </c>
      <c r="BI16" s="30" t="inlineStr">
        <is>
          <t>Negative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Close to 52 week high or retracement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Less than 12%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139.1</v>
      </c>
      <c r="E17" s="31" t="inlineStr">
        <is>
          <t>5%</t>
        </is>
      </c>
      <c r="F17" s="31" t="n">
        <v>50000</v>
      </c>
      <c r="G17" s="31" t="n">
        <v>75</v>
      </c>
      <c r="H17" s="30" t="inlineStr">
        <is>
          <t>MMFL</t>
        </is>
      </c>
      <c r="I17" s="30" t="inlineStr">
        <is>
          <t>Mm Forgings Limited</t>
        </is>
      </c>
      <c r="J17" s="30" t="inlineStr">
        <is>
          <t>industrials</t>
        </is>
      </c>
      <c r="K17" s="30" t="inlineStr">
        <is>
          <t>castings &amp; forgings</t>
        </is>
      </c>
      <c r="L17" s="30" t="inlineStr">
        <is>
          <t>smallcap</t>
        </is>
      </c>
      <c r="M17" s="31" t="n">
        <v>3037.4</v>
      </c>
      <c r="N17" s="31" t="n">
        <v>658.25</v>
      </c>
      <c r="O17" s="31" t="n">
        <v>4.63</v>
      </c>
      <c r="P17" s="31" t="n">
        <v>308671</v>
      </c>
      <c r="Q17" s="30" t="n">
        <v>85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78.56</v>
      </c>
      <c r="U17" s="31" t="n">
        <v>20.93</v>
      </c>
      <c r="V17" s="31" t="inlineStr"/>
      <c r="W17" s="30" t="inlineStr">
        <is>
          <t>Earnings / Momentum Support</t>
        </is>
      </c>
      <c r="X17" s="30" t="inlineStr">
        <is>
          <t>Nifty 50</t>
        </is>
      </c>
      <c r="Y17" s="31" t="n">
        <v>0.85</v>
      </c>
      <c r="Z17" s="31" t="n">
        <v>105.27</v>
      </c>
      <c r="AA17" s="31" t="n">
        <v>103.54</v>
      </c>
      <c r="AB17" s="31" t="n">
        <v>22.47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Headwind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No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20 to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3</t>
        </is>
      </c>
      <c r="BH17" s="30">
        <f>IF(BG17="Stage 2",20,IF(BG17="Stage 1",0,IF(BG17="Stage 3",5,IF(BG17="Stage 4",-5,0))))</f>
        <v/>
      </c>
      <c r="BI17" s="30" t="inlineStr">
        <is>
          <t>Negative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Close to 52 week high or retracement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No</t>
        </is>
      </c>
      <c r="BX17" s="30">
        <f>IF(BW17="NO",5,0)</f>
        <v/>
      </c>
      <c r="BY17" s="30" t="inlineStr">
        <is>
          <t>Less than 1.5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More than 1.2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139.3</v>
      </c>
      <c r="E18" s="31" t="inlineStr">
        <is>
          <t>5%</t>
        </is>
      </c>
      <c r="F18" s="31" t="n">
        <v>50000</v>
      </c>
      <c r="G18" s="31" t="n">
        <v>140</v>
      </c>
      <c r="H18" s="30" t="inlineStr">
        <is>
          <t>MARINE</t>
        </is>
      </c>
      <c r="I18" s="30" t="inlineStr">
        <is>
          <t>Marine Electricals (India) Ltd</t>
        </is>
      </c>
      <c r="J18" s="30" t="inlineStr">
        <is>
          <t>industrials</t>
        </is>
      </c>
      <c r="K18" s="30" t="inlineStr">
        <is>
          <t>electric equipment</t>
        </is>
      </c>
      <c r="L18" s="30" t="inlineStr">
        <is>
          <t>smallcap</t>
        </is>
      </c>
      <c r="M18" s="31" t="n">
        <v>4714.73</v>
      </c>
      <c r="N18" s="31" t="n">
        <v>355.15</v>
      </c>
      <c r="O18" s="31" t="n">
        <v>5.42</v>
      </c>
      <c r="P18" s="31" t="n">
        <v>1868563</v>
      </c>
      <c r="Q18" s="30" t="n">
        <v>88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71.8</v>
      </c>
      <c r="U18" s="31" t="n">
        <v>33.32</v>
      </c>
      <c r="V18" s="31" t="inlineStr"/>
      <c r="W18" s="30" t="inlineStr">
        <is>
          <t>Earnings / Momentum Support</t>
        </is>
      </c>
      <c r="X18" s="30" t="inlineStr">
        <is>
          <t>Nifty 50</t>
        </is>
      </c>
      <c r="Y18" s="31" t="n">
        <v>0.85</v>
      </c>
      <c r="Z18" s="31" t="n">
        <v>95.8</v>
      </c>
      <c r="AA18" s="31" t="n">
        <v>94.15000000000001</v>
      </c>
      <c r="AB18" s="31" t="n">
        <v>24.51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Headwind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No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3</t>
        </is>
      </c>
      <c r="BH18" s="30">
        <f>IF(BG18="Stage 2",20,IF(BG18="Stage 1",0,IF(BG18="Stage 3",5,IF(BG18="Stage 4",-5,0))))</f>
        <v/>
      </c>
      <c r="BI18" s="30" t="inlineStr">
        <is>
          <t>Negative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Close to 52 week high or retracement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Negative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EMA Crossover</t>
        </is>
      </c>
      <c r="D19" s="31" t="n">
        <v>145.2</v>
      </c>
      <c r="E19" s="31" t="inlineStr">
        <is>
          <t>7%</t>
        </is>
      </c>
      <c r="F19" s="31" t="n">
        <v>70000</v>
      </c>
      <c r="G19" s="31" t="n">
        <v>85</v>
      </c>
      <c r="H19" s="32" t="inlineStr">
        <is>
          <t>AARTIPHARM</t>
        </is>
      </c>
      <c r="I19" s="32" t="inlineStr">
        <is>
          <t>Aarti Pharmalabs Ltd</t>
        </is>
      </c>
      <c r="J19" s="30" t="inlineStr">
        <is>
          <t>healthcare</t>
        </is>
      </c>
      <c r="K19" s="30" t="inlineStr">
        <is>
          <t>pharmaceuticals - indian - bulk drugs &amp; formln</t>
        </is>
      </c>
      <c r="L19" s="30" t="inlineStr">
        <is>
          <t>midcap</t>
        </is>
      </c>
      <c r="M19" s="31" t="n">
        <v>6219.28</v>
      </c>
      <c r="N19" s="31" t="n">
        <v>823</v>
      </c>
      <c r="O19" s="31" t="n">
        <v>20</v>
      </c>
      <c r="P19" s="31" t="n">
        <v>3125635</v>
      </c>
      <c r="Q19" s="30" t="n">
        <v>2</v>
      </c>
      <c r="R19" s="30" t="inlineStr">
        <is>
          <t>Underperforming</t>
        </is>
      </c>
      <c r="S19" s="31">
        <f>IF(R19="Underperforming",-5,IF(Q19&gt;=95,15,IF(Q19&gt;=90,10,IF(Q19&gt;=80,5,0))))</f>
        <v/>
      </c>
      <c r="T19" s="31" t="n">
        <v>47.83</v>
      </c>
      <c r="U19" s="31" t="n">
        <v>7.37</v>
      </c>
      <c r="V19" s="31" t="inlineStr"/>
      <c r="W19" s="30" t="inlineStr">
        <is>
          <t>Volume Spike / Accumulation</t>
        </is>
      </c>
      <c r="X19" s="30" t="inlineStr">
        <is>
          <t>Nifty Pharma</t>
        </is>
      </c>
      <c r="Y19" s="31" t="n">
        <v>24.01</v>
      </c>
      <c r="Z19" s="31" t="n">
        <v>-18.56</v>
      </c>
      <c r="AA19" s="31" t="n">
        <v>-34.33</v>
      </c>
      <c r="AB19" s="31" t="n">
        <v>-5.97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Yes</t>
        </is>
      </c>
      <c r="AH19" s="30">
        <f>IF(AG19="No",5,0)</f>
        <v/>
      </c>
      <c r="AI19" s="30" t="inlineStr">
        <is>
          <t>Headwind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Annuity, Lower One Time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0 to 20</t>
        </is>
      </c>
      <c r="BD19" s="30">
        <f>IF(BC19="Above 40",20,IF(BC19="20 to 40",10,IF(BC19="0 to 20",-5,0)))</f>
        <v/>
      </c>
      <c r="BE19" s="30" t="inlineStr">
        <is>
          <t>Below 45</t>
        </is>
      </c>
      <c r="BF19" s="30">
        <f>IF(BE19="Between 50 to 75",10,IF(BE19="Above 75",0,0))</f>
        <v/>
      </c>
      <c r="BG19" s="30" t="inlineStr">
        <is>
          <t>Stage 4</t>
        </is>
      </c>
      <c r="BH19" s="30">
        <f>IF(BG19="Stage 2",20,IF(BG19="Stage 1",0,IF(BG19="Stage 3",5,IF(BG19="Stage 4",-5,0))))</f>
        <v/>
      </c>
      <c r="BI19" s="30" t="inlineStr">
        <is>
          <t>Negative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Close to 52 week high or retracement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Less than 1.5</t>
        </is>
      </c>
      <c r="BZ19" s="30">
        <f>IF(BY19="Above 2",0,IF(BY19="Between 1.5 to 2",5,IF(BY19="Less than 1.5",10,0)))</f>
        <v/>
      </c>
      <c r="CA19" s="30" t="inlineStr">
        <is>
          <t>Above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139.8</v>
      </c>
      <c r="E20" s="31" t="inlineStr">
        <is>
          <t>5%</t>
        </is>
      </c>
      <c r="F20" s="31" t="n">
        <v>50000</v>
      </c>
      <c r="G20" s="31" t="n">
        <v>11</v>
      </c>
      <c r="H20" s="30" t="inlineStr">
        <is>
          <t>TVSMOTOR</t>
        </is>
      </c>
      <c r="I20" s="30" t="inlineStr">
        <is>
          <t>Tvs Motor Company Limited</t>
        </is>
      </c>
      <c r="J20" s="30" t="inlineStr">
        <is>
          <t>auto</t>
        </is>
      </c>
      <c r="K20" s="30" t="inlineStr">
        <is>
          <t>automobiles - motorcycles / mopeds</t>
        </is>
      </c>
      <c r="L20" s="30" t="inlineStr">
        <is>
          <t>largecap</t>
        </is>
      </c>
      <c r="M20" s="31" t="n">
        <v>210981.44</v>
      </c>
      <c r="N20" s="31" t="n">
        <v>4466.2</v>
      </c>
      <c r="O20" s="31" t="n">
        <v>0.57</v>
      </c>
      <c r="P20" s="31" t="n">
        <v>1423804</v>
      </c>
      <c r="Q20" s="30" t="n">
        <v>35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72.70999999999999</v>
      </c>
      <c r="U20" s="31" t="n">
        <v>19.69</v>
      </c>
      <c r="V20" s="31" t="inlineStr"/>
      <c r="W20" s="30" t="inlineStr">
        <is>
          <t>Earnings / Momentum Support</t>
        </is>
      </c>
      <c r="X20" s="30" t="inlineStr">
        <is>
          <t>Nifty Auto</t>
        </is>
      </c>
      <c r="Y20" s="31" t="n">
        <v>13.41</v>
      </c>
      <c r="Z20" s="31" t="n">
        <v>27.43</v>
      </c>
      <c r="AA20" s="31" t="n">
        <v>12.36</v>
      </c>
      <c r="AB20" s="31" t="n">
        <v>4.91</v>
      </c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Headwind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No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0 to 20</t>
        </is>
      </c>
      <c r="BD20" s="30">
        <f>IF(BC20="Above 40",20,IF(BC20="20 to 40",10,IF(BC20="0 to 20",-5,0)))</f>
        <v/>
      </c>
      <c r="BE20" s="30" t="inlineStr">
        <is>
          <t>Between 50 to 75</t>
        </is>
      </c>
      <c r="BF20" s="30">
        <f>IF(BE20="Between 50 to 75",10,IF(BE20="Above 75",0,0))</f>
        <v/>
      </c>
      <c r="BG20" s="30" t="inlineStr">
        <is>
          <t>Stage 3</t>
        </is>
      </c>
      <c r="BH20" s="30">
        <f>IF(BG20="Stage 2",20,IF(BG20="Stage 1",0,IF(BG20="Stage 3",5,IF(BG20="Stage 4",-5,0))))</f>
        <v/>
      </c>
      <c r="BI20" s="30" t="inlineStr">
        <is>
          <t>Negative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Close to 52 week high or retracement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Less than 1.5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More than 1.2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139.4</v>
      </c>
      <c r="E21" s="31" t="inlineStr">
        <is>
          <t>5%</t>
        </is>
      </c>
      <c r="F21" s="31" t="n">
        <v>50000</v>
      </c>
      <c r="G21" s="31" t="n">
        <v>94</v>
      </c>
      <c r="H21" s="30" t="inlineStr">
        <is>
          <t>PANAMAPET</t>
        </is>
      </c>
      <c r="I21" s="30" t="inlineStr">
        <is>
          <t>Panama Petrochem Limited</t>
        </is>
      </c>
      <c r="J21" s="30" t="inlineStr">
        <is>
          <t>energy</t>
        </is>
      </c>
      <c r="K21" s="30" t="inlineStr">
        <is>
          <t>petrochemicals</t>
        </is>
      </c>
      <c r="L21" s="30" t="inlineStr">
        <is>
          <t>smallcap</t>
        </is>
      </c>
      <c r="M21" s="31" t="n">
        <v>3053.72</v>
      </c>
      <c r="N21" s="31" t="n">
        <v>528.85</v>
      </c>
      <c r="O21" s="31" t="n">
        <v>4.76</v>
      </c>
      <c r="P21" s="31" t="n">
        <v>443883</v>
      </c>
      <c r="Q21" s="30" t="n">
        <v>76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67.70999999999999</v>
      </c>
      <c r="U21" s="31" t="n">
        <v>52.58</v>
      </c>
      <c r="V21" s="31" t="inlineStr"/>
      <c r="W21" s="30" t="inlineStr">
        <is>
          <t>Earnings / Momentum Support</t>
        </is>
      </c>
      <c r="X21" s="30" t="inlineStr">
        <is>
          <t>Nifty Energy</t>
        </is>
      </c>
      <c r="Y21" s="31" t="n">
        <v>8.41</v>
      </c>
      <c r="Z21" s="31" t="n">
        <v>17.3</v>
      </c>
      <c r="AA21" s="31" t="n">
        <v>8.199999999999999</v>
      </c>
      <c r="AB21" s="31" t="n">
        <v>16.41</v>
      </c>
      <c r="AC21" s="30" t="inlineStr">
        <is>
          <t>Cyclical in an Upturn</t>
        </is>
      </c>
      <c r="AD21" s="30">
        <f>IF(AC21="Growing Industry",10,IF(AC21="Cyclical in an Upturn",5,0))</f>
        <v/>
      </c>
      <c r="AE21" s="30" t="inlineStr">
        <is>
          <t>Oligopoly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Yes</t>
        </is>
      </c>
      <c r="AH21" s="30">
        <f>IF(AG21="No",5,0)</f>
        <v/>
      </c>
      <c r="AI21" s="30" t="inlineStr">
        <is>
          <t>Headwind</t>
        </is>
      </c>
      <c r="AJ21" s="30">
        <f>IF(AI21="Tailwind",10,0)</f>
        <v/>
      </c>
      <c r="AK21" s="30" t="inlineStr">
        <is>
          <t>Cyclical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Volatile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No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Above 40</t>
        </is>
      </c>
      <c r="BD21" s="30">
        <f>IF(BC21="Above 40",20,IF(BC21="20 to 40",10,IF(BC21="0 to 20",-5,0)))</f>
        <v/>
      </c>
      <c r="BE21" s="30" t="inlineStr">
        <is>
          <t>Between 50 to 75</t>
        </is>
      </c>
      <c r="BF21" s="30">
        <f>IF(BE21="Between 50 to 75",10,IF(BE21="Above 75",0,0))</f>
        <v/>
      </c>
      <c r="BG21" s="30" t="inlineStr">
        <is>
          <t>Stage 3</t>
        </is>
      </c>
      <c r="BH21" s="30">
        <f>IF(BG21="Stage 2",20,IF(BG21="Stage 1",0,IF(BG21="Stage 3",5,IF(BG21="Stage 4",-5,0))))</f>
        <v/>
      </c>
      <c r="BI21" s="30" t="inlineStr">
        <is>
          <t>Negative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Close to 52 week high or retracement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No</t>
        </is>
      </c>
      <c r="BX21" s="30">
        <f>IF(BW21="NO",5,0)</f>
        <v/>
      </c>
      <c r="BY21" s="30" t="inlineStr">
        <is>
          <t>Less than 1.5</t>
        </is>
      </c>
      <c r="BZ21" s="30">
        <f>IF(BY21="Above 2",0,IF(BY21="Between 1.5 to 2",5,IF(BY21="Less than 1.5",10,0)))</f>
        <v/>
      </c>
      <c r="CA21" s="30" t="inlineStr">
        <is>
          <t>Negative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Less than 0.7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EMA Crossover</t>
        </is>
      </c>
      <c r="D22" s="31" t="n">
        <v>146.1</v>
      </c>
      <c r="E22" s="31" t="inlineStr">
        <is>
          <t>7%</t>
        </is>
      </c>
      <c r="F22" s="31" t="n">
        <v>70000</v>
      </c>
      <c r="G22" s="31" t="n">
        <v>62</v>
      </c>
      <c r="H22" s="32" t="inlineStr">
        <is>
          <t>JINDALSTEL</t>
        </is>
      </c>
      <c r="I22" s="32" t="inlineStr">
        <is>
          <t>Jindal Steel Ltd</t>
        </is>
      </c>
      <c r="J22" s="30" t="inlineStr">
        <is>
          <t>metals &amp; mining</t>
        </is>
      </c>
      <c r="K22" s="30" t="inlineStr">
        <is>
          <t>steel - large</t>
        </is>
      </c>
      <c r="L22" s="30" t="inlineStr">
        <is>
          <t>largecap</t>
        </is>
      </c>
      <c r="M22" s="31" t="n">
        <v>112515.72</v>
      </c>
      <c r="N22" s="31" t="n">
        <v>1125</v>
      </c>
      <c r="O22" s="31" t="n">
        <v>1.99</v>
      </c>
      <c r="P22" s="31" t="n">
        <v>1775160</v>
      </c>
      <c r="Q22" s="30" t="n">
        <v>8</v>
      </c>
      <c r="R22" s="30" t="inlineStr">
        <is>
          <t>Underperforming</t>
        </is>
      </c>
      <c r="S22" s="31">
        <f>IF(R22="Underperforming",-5,IF(Q22&gt;=95,15,IF(Q22&gt;=90,10,IF(Q22&gt;=80,5,0))))</f>
        <v/>
      </c>
      <c r="T22" s="31" t="n">
        <v>47.9</v>
      </c>
      <c r="U22" s="31" t="n">
        <v>16.58</v>
      </c>
      <c r="V22" s="31" t="inlineStr"/>
      <c r="W22" s="30" t="inlineStr">
        <is>
          <t>Earnings / Momentum Support</t>
        </is>
      </c>
      <c r="X22" s="30" t="inlineStr">
        <is>
          <t>Nifty Metal</t>
        </is>
      </c>
      <c r="Y22" s="31" t="n">
        <v>31.49</v>
      </c>
      <c r="Z22" s="31" t="n">
        <v>7.3</v>
      </c>
      <c r="AA22" s="31" t="n">
        <v>-18.4</v>
      </c>
      <c r="AB22" s="31" t="n">
        <v>-1.56</v>
      </c>
      <c r="AC22" s="30" t="inlineStr">
        <is>
          <t>Cyclical in an Upturn</t>
        </is>
      </c>
      <c r="AD22" s="30">
        <f>IF(AC22="Growing Industry",10,IF(AC22="Cyclical in an Upturn",5,0))</f>
        <v/>
      </c>
      <c r="AE22" s="30" t="inlineStr">
        <is>
          <t>Too Many Players with High ROCE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No</t>
        </is>
      </c>
      <c r="AH22" s="30">
        <f>IF(AG22="No",5,0)</f>
        <v/>
      </c>
      <c r="AI22" s="30" t="inlineStr">
        <is>
          <t>Headwind</t>
        </is>
      </c>
      <c r="AJ22" s="30">
        <f>IF(AI22="Tailwind",10,0)</f>
        <v/>
      </c>
      <c r="AK22" s="30" t="inlineStr">
        <is>
          <t>Cyclical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Volatile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No</t>
        </is>
      </c>
      <c r="AV22" s="30">
        <f>IF(AU22="Yes",10,0)</f>
        <v/>
      </c>
      <c r="AW22" s="30" t="inlineStr">
        <is>
          <t>Higher One Time, Lower Annuity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0 to 20</t>
        </is>
      </c>
      <c r="BD22" s="30">
        <f>IF(BC22="Above 40",20,IF(BC22="20 to 40",10,IF(BC22="0 to 20",-5,0)))</f>
        <v/>
      </c>
      <c r="BE22" s="30" t="inlineStr">
        <is>
          <t>Below 45</t>
        </is>
      </c>
      <c r="BF22" s="30">
        <f>IF(BE22="Between 50 to 75",10,IF(BE22="Above 75",0,0))</f>
        <v/>
      </c>
      <c r="BG22" s="30" t="inlineStr">
        <is>
          <t>Stage 4</t>
        </is>
      </c>
      <c r="BH22" s="30">
        <f>IF(BG22="Stage 2",20,IF(BG22="Stage 1",0,IF(BG22="Stage 3",5,IF(BG22="Stage 4",-5,0))))</f>
        <v/>
      </c>
      <c r="BI22" s="30" t="inlineStr">
        <is>
          <t>Negative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Close to 52 week high or retracement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Less than 12%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Yes</t>
        </is>
      </c>
      <c r="BX22" s="30">
        <f>IF(BW22="NO",5,0)</f>
        <v/>
      </c>
      <c r="BY22" s="30" t="inlineStr">
        <is>
          <t>Above 2</t>
        </is>
      </c>
      <c r="BZ22" s="30">
        <f>IF(BY22="Above 2",0,IF(BY22="Between 1.5 to 2",5,IF(BY22="Less than 1.5",10,0)))</f>
        <v/>
      </c>
      <c r="CA22" s="30" t="inlineStr">
        <is>
          <t>Above 70%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Less than 0.7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139.3</v>
      </c>
      <c r="E2" s="31" t="inlineStr">
        <is>
          <t>5%</t>
        </is>
      </c>
      <c r="F2" s="31" t="n">
        <v>50000</v>
      </c>
      <c r="G2" s="31" t="n">
        <v>121</v>
      </c>
      <c r="H2" s="30" t="inlineStr">
        <is>
          <t>M&amp;MFIN</t>
        </is>
      </c>
      <c r="I2" s="30" t="inlineStr">
        <is>
          <t>Mahindra &amp; Mahindra Financial Services Limited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largecap</t>
        </is>
      </c>
      <c r="M2" s="31" t="n">
        <v>56773.37</v>
      </c>
      <c r="N2" s="31" t="n">
        <v>412.3</v>
      </c>
      <c r="O2" s="31" t="n">
        <v>0.9399999999999999</v>
      </c>
      <c r="P2" s="31" t="n">
        <v>3517041</v>
      </c>
      <c r="Q2" s="30" t="n">
        <v>75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69.89</v>
      </c>
      <c r="U2" s="31" t="n">
        <v>22.3</v>
      </c>
      <c r="V2" s="31" t="inlineStr"/>
      <c r="W2" s="30" t="inlineStr">
        <is>
          <t>Earnings / Momentum Support</t>
        </is>
      </c>
      <c r="X2" s="30" t="inlineStr">
        <is>
          <t>Nifty Bank</t>
        </is>
      </c>
      <c r="Y2" s="31" t="n">
        <v>4.98</v>
      </c>
      <c r="Z2" s="31" t="n">
        <v>65.40000000000001</v>
      </c>
      <c r="AA2" s="31" t="n">
        <v>57.55</v>
      </c>
      <c r="AB2" s="31" t="n">
        <v>16.19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Headwind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No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3</t>
        </is>
      </c>
      <c r="BV2" s="30">
        <f>IF(BU2="Stage 2",20,IF(BU2="Stage 1",0,IF(BU2="Stage 3",5,IF(BU2="Stage 4",-5,0))))</f>
        <v/>
      </c>
      <c r="BW2" s="30" t="inlineStr">
        <is>
          <t>Negative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Close to 52 week high or retracement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9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IF(B2=0,"",RANK(B2,$B$2:$B$94,0))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AIMTRON</t>
        </is>
      </c>
      <c r="D2" s="30" t="inlineStr">
        <is>
          <t>Aimtron Electronics Ltd</t>
        </is>
      </c>
      <c r="E2" s="30" t="inlineStr">
        <is>
          <t>unknown</t>
        </is>
      </c>
      <c r="F2" s="30" t="inlineStr">
        <is>
          <t>EMS</t>
        </is>
      </c>
      <c r="G2" s="30" t="inlineStr">
        <is>
          <t>smallcap</t>
        </is>
      </c>
      <c r="H2" s="31" t="n">
        <v>3578.46</v>
      </c>
      <c r="I2" s="31" t="n">
        <v>1717</v>
      </c>
      <c r="J2" s="31" t="n">
        <v>3.66</v>
      </c>
      <c r="K2" s="31" t="n">
        <v>0</v>
      </c>
      <c r="L2" s="30" t="n">
        <v>94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79.29000000000001</v>
      </c>
      <c r="P2" s="31" t="n">
        <v>61.28</v>
      </c>
      <c r="Q2" s="31" t="n">
        <v>1257.38</v>
      </c>
      <c r="R2" s="30" t="inlineStr">
        <is>
          <t>Volume Spike &amp; Near 52W High Breakout</t>
        </is>
      </c>
      <c r="S2" s="30" t="inlineStr">
        <is>
          <t>Nifty 50</t>
        </is>
      </c>
      <c r="T2" s="31" t="n">
        <v>0.85</v>
      </c>
      <c r="U2" s="31" t="n">
        <v>138.4</v>
      </c>
      <c r="V2" s="31" t="n">
        <v>136.39</v>
      </c>
      <c r="W2" s="31" t="n">
        <v>31.4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20</t>
        </is>
      </c>
      <c r="CG2" s="30">
        <f>IF(CF2&gt;20,10,IF(CF2&gt;=10,5,2))</f>
        <v/>
      </c>
    </row>
    <row r="3">
      <c r="A3" s="30">
        <f>IF(B3=0,"",RANK(B3,$B$2:$B$94,0))</f>
        <v/>
      </c>
      <c r="B3" s="31">
        <f>SUM(N3,Y3,AA3,AC3,AE3,AG3,AI3,AK3,AM3,AO3,AQ3,AS3,AU3,AW3,AY3,BA3,BC3,BE3,BG3,BI3,BK3,BM3,BO3,BQ3,BS3,BU3,BW3,BY3,CA3,CC3,CE3,CG3)</f>
        <v/>
      </c>
      <c r="C3" s="32" t="inlineStr">
        <is>
          <t>SBCL</t>
        </is>
      </c>
      <c r="D3" s="32" t="inlineStr">
        <is>
          <t>Shivalik Bimetal Controls Ltd</t>
        </is>
      </c>
      <c r="E3" s="30" t="inlineStr">
        <is>
          <t>metals &amp; mining</t>
        </is>
      </c>
      <c r="F3" s="30" t="inlineStr">
        <is>
          <t>Shunt Resistors</t>
        </is>
      </c>
      <c r="G3" s="30" t="inlineStr">
        <is>
          <t>midcap</t>
        </is>
      </c>
      <c r="H3" s="31" t="n">
        <v>6365.55</v>
      </c>
      <c r="I3" s="31" t="n">
        <v>1105.05</v>
      </c>
      <c r="J3" s="31" t="n">
        <v>20</v>
      </c>
      <c r="K3" s="31" t="n">
        <v>0</v>
      </c>
      <c r="L3" s="30" t="n">
        <v>72</v>
      </c>
      <c r="M3" s="30" t="inlineStr">
        <is>
          <t>Underperforming</t>
        </is>
      </c>
      <c r="N3" s="31">
        <f>IF(M3="Underperforming",-5,IF(L3&gt;=95,15,IF(L3&gt;=90,10,IF(L3&gt;=80,5,0))))</f>
        <v/>
      </c>
      <c r="O3" s="31" t="n">
        <v>76.2</v>
      </c>
      <c r="P3" s="31" t="n">
        <v>45.6</v>
      </c>
      <c r="Q3" s="31" t="inlineStr"/>
      <c r="R3" s="30" t="inlineStr">
        <is>
          <t>Volume Spike / Accumulation</t>
        </is>
      </c>
      <c r="S3" s="30" t="inlineStr">
        <is>
          <t>Nifty Metal</t>
        </is>
      </c>
      <c r="T3" s="31" t="n">
        <v>31.49</v>
      </c>
      <c r="U3" s="31" t="n">
        <v>23.64</v>
      </c>
      <c r="V3" s="31" t="n">
        <v>-5.97</v>
      </c>
      <c r="W3" s="31" t="n">
        <v>14.67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Monopoly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Shallow Cyclical (2 to 3 Years Growth)</t>
        </is>
      </c>
      <c r="AG3" s="30">
        <f>IF(AF3="Structural (10 Years Consistency)",10,IF(AF3="Shallow Cyclical (2 to 3 years growth)",5,0))</f>
        <v/>
      </c>
      <c r="AH3" s="30" t="inlineStr">
        <is>
          <t>Yes due to Product Mix change or Operating Leverage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Fully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Close to 52 week high or retracement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Yes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Between 1.5 to 2</t>
        </is>
      </c>
      <c r="BU3" s="30">
        <f>IF(BT3="Above 2",0,IF(BT3="Between 1.5 to 2",5,IF(BT3="Less than 1.5",10,0)))</f>
        <v/>
      </c>
      <c r="BV3" s="30" t="inlineStr">
        <is>
          <t>Less than 50%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21</t>
        </is>
      </c>
      <c r="CG3" s="30">
        <f>IF(CF3&gt;20,10,IF(CF3&gt;=10,5,2))</f>
        <v/>
      </c>
    </row>
    <row r="4">
      <c r="A4" s="30">
        <f>IF(B4=0,"",RANK(B4,$B$2:$B$94,0))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PIXTRANS</t>
        </is>
      </c>
      <c r="D4" s="30" t="inlineStr">
        <is>
          <t>Pix Transmission Ltd</t>
        </is>
      </c>
      <c r="E4" s="30" t="inlineStr">
        <is>
          <t>fmcg</t>
        </is>
      </c>
      <c r="F4" s="30" t="inlineStr">
        <is>
          <t>Rubber Processing/Rubber Products</t>
        </is>
      </c>
      <c r="G4" s="30" t="inlineStr">
        <is>
          <t>smallcap</t>
        </is>
      </c>
      <c r="H4" s="31" t="n">
        <v>2793.17</v>
      </c>
      <c r="I4" s="31" t="n">
        <v>2050</v>
      </c>
      <c r="J4" s="31" t="n">
        <v>19.38</v>
      </c>
      <c r="K4" s="31" t="n">
        <v>0</v>
      </c>
      <c r="L4" s="30" t="n">
        <v>48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59.95</v>
      </c>
      <c r="P4" s="31" t="n">
        <v>43.39</v>
      </c>
      <c r="Q4" s="31" t="inlineStr"/>
      <c r="R4" s="30" t="inlineStr">
        <is>
          <t>Volume Spike / Accumulation</t>
        </is>
      </c>
      <c r="S4" s="30" t="inlineStr">
        <is>
          <t>Nifty FMCG</t>
        </is>
      </c>
      <c r="T4" s="31" t="n">
        <v>-13.73</v>
      </c>
      <c r="U4" s="31" t="n">
        <v>17.79</v>
      </c>
      <c r="V4" s="31" t="n">
        <v>36.54</v>
      </c>
      <c r="W4" s="31" t="n">
        <v>7.69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Headwind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3</t>
        </is>
      </c>
      <c r="BC4" s="30">
        <f>IF(BB4="Stage 2",20,IF(BB4="Stage 1",0,IF(BB4="Stage 3",5,IF(BB4="Stage 4",-5,0))))</f>
        <v/>
      </c>
      <c r="BD4" s="30" t="inlineStr">
        <is>
          <t>Negative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24</t>
        </is>
      </c>
      <c r="CG4" s="30">
        <f>IF(CF4&gt;20,10,IF(CF4&gt;=10,5,2))</f>
        <v/>
      </c>
    </row>
    <row r="5">
      <c r="A5" s="30">
        <f>IF(B5=0,"",RANK(B5,$B$2:$B$94,0))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NAVINFLUOR</t>
        </is>
      </c>
      <c r="D5" s="30" t="inlineStr">
        <is>
          <t>Navin Fluorine International Ltd</t>
        </is>
      </c>
      <c r="E5" s="30" t="inlineStr">
        <is>
          <t>chemicals</t>
        </is>
      </c>
      <c r="F5" s="30" t="inlineStr">
        <is>
          <t>Chemicals - Flourine</t>
        </is>
      </c>
      <c r="G5" s="30" t="inlineStr">
        <is>
          <t>largecap</t>
        </is>
      </c>
      <c r="H5" s="31" t="n">
        <v>42117.52</v>
      </c>
      <c r="I5" s="31" t="n">
        <v>8209</v>
      </c>
      <c r="J5" s="31" t="n">
        <v>-0.75</v>
      </c>
      <c r="K5" s="31" t="n">
        <v>0</v>
      </c>
      <c r="L5" s="30" t="n">
        <v>73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76.5</v>
      </c>
      <c r="P5" s="31" t="n">
        <v>55.5</v>
      </c>
      <c r="Q5" s="31" t="inlineStr"/>
      <c r="R5" s="30" t="inlineStr">
        <is>
          <t>Earnings / Momentum Support</t>
        </is>
      </c>
      <c r="S5" s="30" t="inlineStr">
        <is>
          <t>Nifty 50</t>
        </is>
      </c>
      <c r="T5" s="31" t="n">
        <v>0.85</v>
      </c>
      <c r="U5" s="31" t="n">
        <v>72.22</v>
      </c>
      <c r="V5" s="31" t="n">
        <v>70.77</v>
      </c>
      <c r="W5" s="31" t="n">
        <v>15.32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Oligopoly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Shallow Cyclical (2 to 3 Years Growth)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20 to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3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Close to 52 week high or retracement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Above 2</t>
        </is>
      </c>
      <c r="BU5" s="30">
        <f>IF(BT5="Above 2",0,IF(BT5="Between 1.5 to 2",5,IF(BT5="Less than 1.5",10,0)))</f>
        <v/>
      </c>
      <c r="BV5" s="30" t="inlineStr">
        <is>
          <t>Between 50% to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21</t>
        </is>
      </c>
      <c r="CG5" s="30">
        <f>IF(CF5&gt;20,10,IF(CF5&gt;=10,5,2))</f>
        <v/>
      </c>
    </row>
    <row r="6">
      <c r="A6" s="30">
        <f>IF(B6=0,"",RANK(B6,$B$2:$B$94,0))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APCOTEXIND</t>
        </is>
      </c>
      <c r="D6" s="30" t="inlineStr">
        <is>
          <t>Apcotex Industries Ltd</t>
        </is>
      </c>
      <c r="E6" s="30" t="inlineStr">
        <is>
          <t>chemicals</t>
        </is>
      </c>
      <c r="F6" s="30" t="inlineStr">
        <is>
          <t>Rubber Processing/Rubber Products</t>
        </is>
      </c>
      <c r="G6" s="30" t="inlineStr">
        <is>
          <t>smallcap</t>
        </is>
      </c>
      <c r="H6" s="31" t="n">
        <v>3235.38</v>
      </c>
      <c r="I6" s="31" t="n">
        <v>624.05</v>
      </c>
      <c r="J6" s="31" t="n">
        <v>1.5</v>
      </c>
      <c r="K6" s="31" t="n">
        <v>0</v>
      </c>
      <c r="L6" s="30" t="n">
        <v>71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73.88</v>
      </c>
      <c r="P6" s="31" t="n">
        <v>64.59</v>
      </c>
      <c r="Q6" s="31" t="inlineStr"/>
      <c r="R6" s="30" t="inlineStr">
        <is>
          <t>Earnings / Momentum Support</t>
        </is>
      </c>
      <c r="S6" s="30" t="inlineStr">
        <is>
          <t>Nifty 50</t>
        </is>
      </c>
      <c r="T6" s="31" t="n">
        <v>0.85</v>
      </c>
      <c r="U6" s="31" t="n">
        <v>53.86</v>
      </c>
      <c r="V6" s="31" t="n">
        <v>52.57</v>
      </c>
      <c r="W6" s="31" t="n">
        <v>14.24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Oligopoly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Cyclical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Fully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1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Sideways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Overhead supply in last 2 years in last 2 years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Between 50% to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20</t>
        </is>
      </c>
      <c r="CG6" s="30">
        <f>IF(CF6&gt;20,10,IF(CF6&gt;=10,5,2))</f>
        <v/>
      </c>
    </row>
    <row r="7">
      <c r="A7" s="30">
        <f>IF(B7=0,"",RANK(B7,$B$2:$B$94,0))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IBULLSLTD</t>
        </is>
      </c>
      <c r="D7" s="30" t="inlineStr">
        <is>
          <t>Indiabulls Limited</t>
        </is>
      </c>
      <c r="E7" s="30" t="inlineStr">
        <is>
          <t>Real Estate</t>
        </is>
      </c>
      <c r="F7" s="30" t="inlineStr">
        <is>
          <t>Diversified</t>
        </is>
      </c>
      <c r="G7" s="30" t="inlineStr">
        <is>
          <t>midcap</t>
        </is>
      </c>
      <c r="H7" s="31" t="n">
        <v>6690.45</v>
      </c>
      <c r="I7" s="31" t="n">
        <v>28.72</v>
      </c>
      <c r="J7" s="31" t="n">
        <v>-2.41</v>
      </c>
      <c r="K7" s="31" t="n">
        <v>0</v>
      </c>
      <c r="L7" s="30" t="n">
        <v>93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69.06999999999999</v>
      </c>
      <c r="P7" s="31" t="n">
        <v>45.53</v>
      </c>
      <c r="Q7" s="31" t="inlineStr"/>
      <c r="R7" s="30" t="inlineStr">
        <is>
          <t>Earnings / Momentum Support</t>
        </is>
      </c>
      <c r="S7" s="30" t="inlineStr">
        <is>
          <t>Nifty Realty</t>
        </is>
      </c>
      <c r="T7" s="31" t="n">
        <v>-8.119999999999999</v>
      </c>
      <c r="U7" s="31" t="n">
        <v>85.95</v>
      </c>
      <c r="V7" s="31" t="n">
        <v>102.39</v>
      </c>
      <c r="W7" s="31" t="n">
        <v>30.45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No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3</t>
        </is>
      </c>
      <c r="BC7" s="30">
        <f>IF(BB7="Stage 2",20,IF(BB7="Stage 1",0,IF(BB7="Stage 3",5,IF(BB7="Stage 4",-5,0))))</f>
        <v/>
      </c>
      <c r="BD7" s="30" t="inlineStr">
        <is>
          <t>Negative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Close to 52 week high or retracement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19</t>
        </is>
      </c>
      <c r="CG7" s="30">
        <f>IF(CF7&gt;20,10,IF(CF7&gt;=10,5,2))</f>
        <v/>
      </c>
    </row>
    <row r="8">
      <c r="A8" s="30">
        <f>IF(B8=0,"",RANK(B8,$B$2:$B$94,0))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PRICOLLTD</t>
        </is>
      </c>
      <c r="D8" s="30" t="inlineStr">
        <is>
          <t>Pricol Ltd</t>
        </is>
      </c>
      <c r="E8" s="30" t="inlineStr">
        <is>
          <t>auto</t>
        </is>
      </c>
      <c r="F8" s="30" t="inlineStr">
        <is>
          <t>Auto Ancillaries - 2 Wheelers</t>
        </is>
      </c>
      <c r="G8" s="30" t="inlineStr">
        <is>
          <t>midcap</t>
        </is>
      </c>
      <c r="H8" s="31" t="n">
        <v>8933.91</v>
      </c>
      <c r="I8" s="31" t="n">
        <v>733</v>
      </c>
      <c r="J8" s="31" t="n">
        <v>-0.66</v>
      </c>
      <c r="K8" s="31" t="n">
        <v>0</v>
      </c>
      <c r="L8" s="30" t="n">
        <v>48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71.13</v>
      </c>
      <c r="P8" s="31" t="n">
        <v>25.87</v>
      </c>
      <c r="Q8" s="31" t="inlineStr"/>
      <c r="R8" s="30" t="inlineStr">
        <is>
          <t>Earnings / Momentum Support</t>
        </is>
      </c>
      <c r="S8" s="30" t="inlineStr">
        <is>
          <t>Nifty Auto</t>
        </is>
      </c>
      <c r="T8" s="31" t="n">
        <v>13.41</v>
      </c>
      <c r="U8" s="31" t="n">
        <v>36.08</v>
      </c>
      <c r="V8" s="31" t="n">
        <v>19.98</v>
      </c>
      <c r="W8" s="31" t="n">
        <v>7.62</v>
      </c>
      <c r="X8" s="30" t="inlineStr">
        <is>
          <t>Cyclical in an Upturn</t>
        </is>
      </c>
      <c r="Y8" s="30">
        <f>IF(X8="Growing Industry",10,IF(X8="Cyclical in an Upturn",5,0))</f>
        <v/>
      </c>
      <c r="Z8" s="30" t="inlineStr">
        <is>
          <t>Oligopoly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Shallow Cyclical (2 to 3 Years Growth)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Fully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Allocated capital in Non-core Areas</t>
        </is>
      </c>
      <c r="AU8" s="30">
        <f>IF(AT8="Good",10,0)</f>
        <v/>
      </c>
      <c r="AV8" s="30" t="inlineStr">
        <is>
          <t>Yes only for next 1 to 2 years</t>
        </is>
      </c>
      <c r="AW8" s="30">
        <f>IF(AV8="Yes for more than 2 years",10,IF(AV8="Yes only for next 1 to 2 years",5,0))</f>
        <v/>
      </c>
      <c r="AX8" s="30" t="inlineStr">
        <is>
          <t>20 to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Between 12 to 20%</t>
        </is>
      </c>
      <c r="BO8" s="30">
        <f>IF(BN8="More than 20%",10,IF(BN8="Between 12 to 20%",5,IF(BN8="Less than 12%",0,0)))</f>
        <v/>
      </c>
      <c r="BP8" s="30" t="inlineStr">
        <is>
          <t>Yes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Between 1.5 to 2</t>
        </is>
      </c>
      <c r="BU8" s="30">
        <f>IF(BT8="Above 2",0,IF(BT8="Between 1.5 to 2",5,IF(BT8="Less than 1.5",10,0)))</f>
        <v/>
      </c>
      <c r="BV8" s="30" t="inlineStr">
        <is>
          <t>Between 50% to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20</t>
        </is>
      </c>
      <c r="CG8" s="30">
        <f>IF(CF8&gt;20,10,IF(CF8&gt;=10,5,2))</f>
        <v/>
      </c>
    </row>
    <row r="9">
      <c r="A9" s="30">
        <f>IF(B9=0,"",RANK(B9,$B$2:$B$94,0))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IOLCP</t>
        </is>
      </c>
      <c r="D9" s="30" t="inlineStr">
        <is>
          <t>IOL Chemicals &amp; Pharmaceuticals Ltd</t>
        </is>
      </c>
      <c r="E9" s="30" t="inlineStr">
        <is>
          <t>healthcare</t>
        </is>
      </c>
      <c r="F9" s="30" t="inlineStr">
        <is>
          <t>Pharma - API &amp; CRAMS</t>
        </is>
      </c>
      <c r="G9" s="30" t="inlineStr">
        <is>
          <t>smallcap</t>
        </is>
      </c>
      <c r="H9" s="31" t="n">
        <v>4813.85</v>
      </c>
      <c r="I9" s="31" t="n">
        <v>164</v>
      </c>
      <c r="J9" s="31" t="n">
        <v>-2.29</v>
      </c>
      <c r="K9" s="31" t="n">
        <v>0</v>
      </c>
      <c r="L9" s="30" t="n">
        <v>94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73</v>
      </c>
      <c r="P9" s="31" t="n">
        <v>75.97</v>
      </c>
      <c r="Q9" s="31" t="inlineStr"/>
      <c r="R9" s="30" t="inlineStr">
        <is>
          <t>Earnings / Momentum Support</t>
        </is>
      </c>
      <c r="S9" s="30" t="inlineStr">
        <is>
          <t>Nifty Pharma</t>
        </is>
      </c>
      <c r="T9" s="31" t="n">
        <v>24.01</v>
      </c>
      <c r="U9" s="31" t="n">
        <v>83.54000000000001</v>
      </c>
      <c r="V9" s="31" t="n">
        <v>48</v>
      </c>
      <c r="W9" s="31" t="n">
        <v>31.52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No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3</t>
        </is>
      </c>
      <c r="BC9" s="30">
        <f>IF(BB9="Stage 2",20,IF(BB9="Stage 1",0,IF(BB9="Stage 3",5,IF(BB9="Stage 4",-5,0))))</f>
        <v/>
      </c>
      <c r="BD9" s="30" t="inlineStr">
        <is>
          <t>Negative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Close to 52 week high or retracement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19</t>
        </is>
      </c>
      <c r="CG9" s="30">
        <f>IF(CF9&gt;20,10,IF(CF9&gt;=10,5,2))</f>
        <v/>
      </c>
    </row>
    <row r="10">
      <c r="A10" s="30">
        <f>IF(B10=0,"",RANK(B10,$B$2:$B$94,0))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RPTECH</t>
        </is>
      </c>
      <c r="D10" s="30" t="inlineStr">
        <is>
          <t>Rashi Peripherals Ltd</t>
        </is>
      </c>
      <c r="E10" s="30" t="inlineStr">
        <is>
          <t>services</t>
        </is>
      </c>
      <c r="F10" s="30" t="inlineStr">
        <is>
          <t>Trading</t>
        </is>
      </c>
      <c r="G10" s="30" t="inlineStr">
        <is>
          <t>midcap</t>
        </is>
      </c>
      <c r="H10" s="31" t="n">
        <v>5936.34</v>
      </c>
      <c r="I10" s="31" t="n">
        <v>893.95</v>
      </c>
      <c r="J10" s="31" t="n">
        <v>-0.08</v>
      </c>
      <c r="K10" s="31" t="n">
        <v>0</v>
      </c>
      <c r="L10" s="30" t="n">
        <v>97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83</v>
      </c>
      <c r="P10" s="31" t="n">
        <v>79.11</v>
      </c>
      <c r="Q10" s="31" t="inlineStr"/>
      <c r="R10" s="30" t="inlineStr">
        <is>
          <t>Earnings / Momentum Support</t>
        </is>
      </c>
      <c r="S10" s="30" t="inlineStr">
        <is>
          <t>Nifty 50</t>
        </is>
      </c>
      <c r="T10" s="31" t="n">
        <v>0.85</v>
      </c>
      <c r="U10" s="31" t="n">
        <v>221.47</v>
      </c>
      <c r="V10" s="31" t="n">
        <v>218.76</v>
      </c>
      <c r="W10" s="31" t="n">
        <v>42.09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No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3</t>
        </is>
      </c>
      <c r="BC10" s="30">
        <f>IF(BB10="Stage 2",20,IF(BB10="Stage 1",0,IF(BB10="Stage 3",5,IF(BB10="Stage 4",-5,0))))</f>
        <v/>
      </c>
      <c r="BD10" s="30" t="inlineStr">
        <is>
          <t>Negative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Close to 52 week high or retracement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25</t>
        </is>
      </c>
      <c r="CG10" s="30">
        <f>IF(CF10&gt;20,10,IF(CF10&gt;=10,5,2))</f>
        <v/>
      </c>
    </row>
    <row r="11">
      <c r="A11" s="30">
        <f>IF(B11=0,"",RANK(B11,$B$2:$B$94,0))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2" t="inlineStr">
        <is>
          <t>VMARCIND</t>
        </is>
      </c>
      <c r="D11" s="32" t="inlineStr">
        <is>
          <t>V-Marc India Ltd</t>
        </is>
      </c>
      <c r="E11" s="30" t="inlineStr">
        <is>
          <t>unknown</t>
        </is>
      </c>
      <c r="F11" s="30" t="inlineStr">
        <is>
          <t>Cables - Power</t>
        </is>
      </c>
      <c r="G11" s="30" t="inlineStr">
        <is>
          <t>midcap</t>
        </is>
      </c>
      <c r="H11" s="31" t="n">
        <v>5480</v>
      </c>
      <c r="I11" s="31" t="n">
        <v>374</v>
      </c>
      <c r="J11" s="31" t="n">
        <v>18.35</v>
      </c>
      <c r="K11" s="31" t="n">
        <v>0</v>
      </c>
      <c r="L11" s="30" t="n">
        <v>2</v>
      </c>
      <c r="M11" s="30" t="inlineStr">
        <is>
          <t>Underperforming</t>
        </is>
      </c>
      <c r="N11" s="31">
        <f>IF(M11="Underperforming",-5,IF(L11&gt;=95,15,IF(L11&gt;=90,10,IF(L11&gt;=80,5,0))))</f>
        <v/>
      </c>
      <c r="O11" s="31" t="n">
        <v>36.3</v>
      </c>
      <c r="P11" s="31" t="n">
        <v>46.76</v>
      </c>
      <c r="Q11" s="31" t="n">
        <v>1093.81</v>
      </c>
      <c r="R11" s="30" t="inlineStr">
        <is>
          <t>Volume Spike / Accumulation</t>
        </is>
      </c>
      <c r="S11" s="30" t="inlineStr">
        <is>
          <t>Nifty 50</t>
        </is>
      </c>
      <c r="T11" s="31" t="n">
        <v>0.85</v>
      </c>
      <c r="U11" s="31" t="n">
        <v>-27.36</v>
      </c>
      <c r="V11" s="31" t="n">
        <v>-27.98</v>
      </c>
      <c r="W11" s="31" t="n">
        <v>-5.57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Below 45</t>
        </is>
      </c>
      <c r="BA11" s="30">
        <f>IF(AZ11="Between 50 to 75",10,IF(AZ11="Above 75",0,0))</f>
        <v/>
      </c>
      <c r="BB11" s="30" t="inlineStr">
        <is>
          <t>Stage 4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No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19</t>
        </is>
      </c>
      <c r="CG11" s="30">
        <f>IF(CF11&gt;20,10,IF(CF11&gt;=10,5,2))</f>
        <v/>
      </c>
    </row>
    <row r="12">
      <c r="A12" s="30">
        <f>IF(B12=0,"",RANK(B12,$B$2:$B$94,0))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ASMTEC</t>
        </is>
      </c>
      <c r="D12" s="30" t="inlineStr">
        <is>
          <t>ASM Technologies Ltd</t>
        </is>
      </c>
      <c r="E12" s="30" t="inlineStr">
        <is>
          <t>Technology</t>
        </is>
      </c>
      <c r="F12" s="30" t="inlineStr">
        <is>
          <t>IT - Software</t>
        </is>
      </c>
      <c r="G12" s="30" t="inlineStr">
        <is>
          <t>midcap</t>
        </is>
      </c>
      <c r="H12" s="31" t="n">
        <v>7073.07</v>
      </c>
      <c r="I12" s="31" t="n">
        <v>4849</v>
      </c>
      <c r="J12" s="31" t="n">
        <v>0.33</v>
      </c>
      <c r="K12" s="31" t="n">
        <v>0</v>
      </c>
      <c r="L12" s="30" t="n">
        <v>87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73.18000000000001</v>
      </c>
      <c r="P12" s="31" t="n">
        <v>40.5</v>
      </c>
      <c r="Q12" s="31" t="inlineStr"/>
      <c r="R12" s="30" t="inlineStr">
        <is>
          <t>Earnings / Momentum Support</t>
        </is>
      </c>
      <c r="S12" s="30" t="inlineStr">
        <is>
          <t>Nifty 50</t>
        </is>
      </c>
      <c r="T12" s="31" t="n">
        <v>0.85</v>
      </c>
      <c r="U12" s="31" t="n">
        <v>71.48</v>
      </c>
      <c r="V12" s="31" t="n">
        <v>70.03</v>
      </c>
      <c r="W12" s="31" t="n">
        <v>24.18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No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3</t>
        </is>
      </c>
      <c r="BC12" s="30">
        <f>IF(BB12="Stage 2",20,IF(BB12="Stage 1",0,IF(BB12="Stage 3",5,IF(BB12="Stage 4",-5,0))))</f>
        <v/>
      </c>
      <c r="BD12" s="30" t="inlineStr">
        <is>
          <t>Negative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Close to 52 week high or retracement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20</t>
        </is>
      </c>
      <c r="CG12" s="30">
        <f>IF(CF12&gt;20,10,IF(CF12&gt;=10,5,2))</f>
        <v/>
      </c>
    </row>
    <row r="13">
      <c r="A13" s="30">
        <f>IF(B13=0,"",RANK(B13,$B$2:$B$94,0))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AURUM</t>
        </is>
      </c>
      <c r="D13" s="30" t="inlineStr">
        <is>
          <t>Aurum Proptech Ltd</t>
        </is>
      </c>
      <c r="E13" s="30" t="inlineStr">
        <is>
          <t>i.t</t>
        </is>
      </c>
      <c r="F13" s="30" t="inlineStr">
        <is>
          <t>IT Enabled Services</t>
        </is>
      </c>
      <c r="G13" s="30" t="inlineStr">
        <is>
          <t>smallcap</t>
        </is>
      </c>
      <c r="H13" s="31" t="n">
        <v>1672.12</v>
      </c>
      <c r="I13" s="31" t="n">
        <v>232</v>
      </c>
      <c r="J13" s="31" t="n">
        <v>2.65</v>
      </c>
      <c r="K13" s="31" t="n">
        <v>0</v>
      </c>
      <c r="L13" s="30" t="n">
        <v>59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63.48</v>
      </c>
      <c r="P13" s="31" t="n">
        <v>46.1</v>
      </c>
      <c r="Q13" s="31" t="inlineStr"/>
      <c r="R13" s="30" t="inlineStr">
        <is>
          <t>Earnings / Momentum Support</t>
        </is>
      </c>
      <c r="S13" s="30" t="inlineStr">
        <is>
          <t>Nifty IT</t>
        </is>
      </c>
      <c r="T13" s="31" t="n">
        <v>-8.289999999999999</v>
      </c>
      <c r="U13" s="31" t="n">
        <v>24.05</v>
      </c>
      <c r="V13" s="31" t="n">
        <v>35.26</v>
      </c>
      <c r="W13" s="31" t="n">
        <v>10.55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No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3</t>
        </is>
      </c>
      <c r="BC13" s="30">
        <f>IF(BB13="Stage 2",20,IF(BB13="Stage 1",0,IF(BB13="Stage 3",5,IF(BB13="Stage 4",-5,0))))</f>
        <v/>
      </c>
      <c r="BD13" s="30" t="inlineStr">
        <is>
          <t>Negative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23</t>
        </is>
      </c>
      <c r="CG13" s="30">
        <f>IF(CF13&gt;20,10,IF(CF13&gt;=10,5,2))</f>
        <v/>
      </c>
    </row>
    <row r="14">
      <c r="A14" s="30">
        <f>IF(B14=0,"",RANK(B14,$B$2:$B$94,0))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SYRMA</t>
        </is>
      </c>
      <c r="D14" s="30" t="inlineStr">
        <is>
          <t>Syrma SGS Technology Ltd</t>
        </is>
      </c>
      <c r="E14" s="30" t="inlineStr">
        <is>
          <t>consumer discretionary</t>
        </is>
      </c>
      <c r="F14" s="30" t="inlineStr">
        <is>
          <t>Consumer Electronics - EMS</t>
        </is>
      </c>
      <c r="G14" s="30" t="inlineStr">
        <is>
          <t>largecap</t>
        </is>
      </c>
      <c r="H14" s="31" t="n">
        <v>29289.02</v>
      </c>
      <c r="I14" s="31" t="n">
        <v>1518.9</v>
      </c>
      <c r="J14" s="31" t="n">
        <v>6.61</v>
      </c>
      <c r="K14" s="31" t="n">
        <v>0</v>
      </c>
      <c r="L14" s="30" t="n">
        <v>84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67.89</v>
      </c>
      <c r="P14" s="31" t="n">
        <v>59.69</v>
      </c>
      <c r="Q14" s="31" t="inlineStr"/>
      <c r="R14" s="30" t="inlineStr">
        <is>
          <t>Earnings / Momentum Support</t>
        </is>
      </c>
      <c r="S14" s="30" t="inlineStr">
        <is>
          <t>Nifty 50</t>
        </is>
      </c>
      <c r="T14" s="31" t="n">
        <v>0.85</v>
      </c>
      <c r="U14" s="31" t="n">
        <v>103.05</v>
      </c>
      <c r="V14" s="31" t="n">
        <v>101.34</v>
      </c>
      <c r="W14" s="31" t="n">
        <v>21.65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No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3</t>
        </is>
      </c>
      <c r="BC14" s="30">
        <f>IF(BB14="Stage 2",20,IF(BB14="Stage 1",0,IF(BB14="Stage 3",5,IF(BB14="Stage 4",-5,0))))</f>
        <v/>
      </c>
      <c r="BD14" s="30" t="inlineStr">
        <is>
          <t>Negative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23</t>
        </is>
      </c>
      <c r="CG14" s="30">
        <f>IF(CF14&gt;20,10,IF(CF14&gt;=10,5,2))</f>
        <v/>
      </c>
    </row>
    <row r="15">
      <c r="A15" s="30">
        <f>IF(B15=0,"",RANK(B15,$B$2:$B$94,0))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TAALTECH</t>
        </is>
      </c>
      <c r="D15" s="30" t="inlineStr">
        <is>
          <t>TAAL Tech Ltd</t>
        </is>
      </c>
      <c r="E15" s="30" t="inlineStr">
        <is>
          <t>Industrials</t>
        </is>
      </c>
      <c r="F15" s="30" t="inlineStr">
        <is>
          <t>Air Transport Service</t>
        </is>
      </c>
      <c r="G15" s="30" t="inlineStr">
        <is>
          <t>smallcap</t>
        </is>
      </c>
      <c r="H15" s="31" t="n">
        <v>1418.01</v>
      </c>
      <c r="I15" s="31" t="n">
        <v>4550.25</v>
      </c>
      <c r="J15" s="31" t="n">
        <v>1.45</v>
      </c>
      <c r="K15" s="31" t="n">
        <v>0</v>
      </c>
      <c r="L15" s="30" t="n">
        <v>81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73.69</v>
      </c>
      <c r="P15" s="31" t="n">
        <v>42.65</v>
      </c>
      <c r="Q15" s="31" t="inlineStr"/>
      <c r="R15" s="30" t="inlineStr">
        <is>
          <t>Earnings / Momentum Support</t>
        </is>
      </c>
      <c r="S15" s="30" t="inlineStr">
        <is>
          <t>Nifty 50</t>
        </is>
      </c>
      <c r="T15" s="31" t="n">
        <v>0.85</v>
      </c>
      <c r="U15" s="31" t="n">
        <v>44.87</v>
      </c>
      <c r="V15" s="31" t="n">
        <v>43.65</v>
      </c>
      <c r="W15" s="31" t="n">
        <v>19.76</v>
      </c>
      <c r="X15" s="30" t="inlineStr">
        <is>
          <t>Cyclical in an Upturn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No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3</t>
        </is>
      </c>
      <c r="BC15" s="30">
        <f>IF(BB15="Stage 2",20,IF(BB15="Stage 1",0,IF(BB15="Stage 3",5,IF(BB15="Stage 4",-5,0))))</f>
        <v/>
      </c>
      <c r="BD15" s="30" t="inlineStr">
        <is>
          <t>Negative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19</t>
        </is>
      </c>
      <c r="CG15" s="30">
        <f>IF(CF15&gt;20,10,IF(CF15&gt;=10,5,2))</f>
        <v/>
      </c>
    </row>
    <row r="16">
      <c r="A16" s="30">
        <f>IF(B16=0,"",RANK(B16,$B$2:$B$94,0))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CUPID</t>
        </is>
      </c>
      <c r="D16" s="30" t="inlineStr">
        <is>
          <t>Cupid Ltd</t>
        </is>
      </c>
      <c r="E16" s="30" t="inlineStr">
        <is>
          <t>fmcg</t>
        </is>
      </c>
      <c r="F16" s="30" t="inlineStr">
        <is>
          <t>Contraceptives/Protectives</t>
        </is>
      </c>
      <c r="G16" s="30" t="inlineStr">
        <is>
          <t>largecap</t>
        </is>
      </c>
      <c r="H16" s="31" t="n">
        <v>35559.55</v>
      </c>
      <c r="I16" s="31" t="n">
        <v>264.45</v>
      </c>
      <c r="J16" s="31" t="n">
        <v>0.89</v>
      </c>
      <c r="K16" s="31" t="n">
        <v>0</v>
      </c>
      <c r="L16" s="30" t="n">
        <v>99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91.87</v>
      </c>
      <c r="P16" s="31" t="n">
        <v>70.86</v>
      </c>
      <c r="Q16" s="31" t="inlineStr"/>
      <c r="R16" s="30" t="inlineStr">
        <is>
          <t>Earnings / Momentum Support</t>
        </is>
      </c>
      <c r="S16" s="30" t="inlineStr">
        <is>
          <t>Nifty FMCG</t>
        </is>
      </c>
      <c r="T16" s="31" t="n">
        <v>-13.73</v>
      </c>
      <c r="U16" s="31" t="n">
        <v>631.6900000000001</v>
      </c>
      <c r="V16" s="31" t="n">
        <v>748.13</v>
      </c>
      <c r="W16" s="31" t="n">
        <v>76.51000000000001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B2C</t>
        </is>
      </c>
      <c r="AO16" s="30">
        <f>IF(AN16="B2C",10,IF(AN16="B2B",5,0))</f>
        <v/>
      </c>
      <c r="AP16" s="30" t="inlineStr">
        <is>
          <t>No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3</t>
        </is>
      </c>
      <c r="BC16" s="30">
        <f>IF(BB16="Stage 2",20,IF(BB16="Stage 1",0,IF(BB16="Stage 3",5,IF(BB16="Stage 4",-5,0))))</f>
        <v/>
      </c>
      <c r="BD16" s="30" t="inlineStr">
        <is>
          <t>Negative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23</t>
        </is>
      </c>
      <c r="CG16" s="30">
        <f>IF(CF16&gt;20,10,IF(CF16&gt;=10,5,2))</f>
        <v/>
      </c>
    </row>
    <row r="17">
      <c r="A17" s="30">
        <f>IF(B17=0,"",RANK(B17,$B$2:$B$94,0))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SAKAR</t>
        </is>
      </c>
      <c r="D17" s="30" t="inlineStr">
        <is>
          <t>Sakar Healthcare Ltd</t>
        </is>
      </c>
      <c r="E17" s="30" t="inlineStr">
        <is>
          <t>healthcare</t>
        </is>
      </c>
      <c r="F17" s="30" t="inlineStr">
        <is>
          <t>Hospitals</t>
        </is>
      </c>
      <c r="G17" s="30" t="inlineStr">
        <is>
          <t>smallcap</t>
        </is>
      </c>
      <c r="H17" s="31" t="n">
        <v>2024.74</v>
      </c>
      <c r="I17" s="31" t="n">
        <v>910</v>
      </c>
      <c r="J17" s="31" t="n">
        <v>-1.58</v>
      </c>
      <c r="K17" s="31" t="n">
        <v>0</v>
      </c>
      <c r="L17" s="30" t="n">
        <v>97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71.51000000000001</v>
      </c>
      <c r="P17" s="31" t="n">
        <v>55.66</v>
      </c>
      <c r="Q17" s="31" t="inlineStr"/>
      <c r="R17" s="30" t="inlineStr">
        <is>
          <t>Earnings / Momentum Support</t>
        </is>
      </c>
      <c r="S17" s="30" t="inlineStr">
        <is>
          <t>Nifty Pharma</t>
        </is>
      </c>
      <c r="T17" s="31" t="n">
        <v>24.01</v>
      </c>
      <c r="U17" s="31" t="n">
        <v>181.31</v>
      </c>
      <c r="V17" s="31" t="n">
        <v>126.83</v>
      </c>
      <c r="W17" s="31" t="n">
        <v>38.89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No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3</t>
        </is>
      </c>
      <c r="BC17" s="30">
        <f>IF(BB17="Stage 2",20,IF(BB17="Stage 1",0,IF(BB17="Stage 3",5,IF(BB17="Stage 4",-5,0))))</f>
        <v/>
      </c>
      <c r="BD17" s="30" t="inlineStr">
        <is>
          <t>Negative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21</t>
        </is>
      </c>
      <c r="CG17" s="30">
        <f>IF(CF17&gt;20,10,IF(CF17&gt;=10,5,2))</f>
        <v/>
      </c>
    </row>
    <row r="18">
      <c r="A18" s="30">
        <f>IF(B18=0,"",RANK(B18,$B$2:$B$94,0))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RATEGAIN</t>
        </is>
      </c>
      <c r="D18" s="30" t="inlineStr">
        <is>
          <t>Rategain Travel Technologies Ltd</t>
        </is>
      </c>
      <c r="E18" s="30" t="inlineStr">
        <is>
          <t>Technology</t>
        </is>
      </c>
      <c r="F18" s="30" t="inlineStr">
        <is>
          <t>IT Product Companies</t>
        </is>
      </c>
      <c r="G18" s="30" t="inlineStr">
        <is>
          <t>midcap</t>
        </is>
      </c>
      <c r="H18" s="31" t="n">
        <v>11064.45</v>
      </c>
      <c r="I18" s="31" t="n">
        <v>934</v>
      </c>
      <c r="J18" s="31" t="n">
        <v>-1.6</v>
      </c>
      <c r="K18" s="31" t="n">
        <v>0</v>
      </c>
      <c r="L18" s="30" t="n">
        <v>92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73.37</v>
      </c>
      <c r="P18" s="31" t="n">
        <v>44.75</v>
      </c>
      <c r="Q18" s="31" t="inlineStr"/>
      <c r="R18" s="30" t="inlineStr">
        <is>
          <t>Earnings / Momentum Support</t>
        </is>
      </c>
      <c r="S18" s="30" t="inlineStr">
        <is>
          <t>Nifty IT</t>
        </is>
      </c>
      <c r="T18" s="31" t="n">
        <v>-8.289999999999999</v>
      </c>
      <c r="U18" s="31" t="n">
        <v>100.24</v>
      </c>
      <c r="V18" s="31" t="n">
        <v>118.34</v>
      </c>
      <c r="W18" s="31" t="n">
        <v>27.29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No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3</t>
        </is>
      </c>
      <c r="BC18" s="30">
        <f>IF(BB18="Stage 2",20,IF(BB18="Stage 1",0,IF(BB18="Stage 3",5,IF(BB18="Stage 4",-5,0))))</f>
        <v/>
      </c>
      <c r="BD18" s="30" t="inlineStr">
        <is>
          <t>Negative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20</t>
        </is>
      </c>
      <c r="CG18" s="30">
        <f>IF(CF18&gt;20,10,IF(CF18&gt;=10,5,2))</f>
        <v/>
      </c>
    </row>
    <row r="19">
      <c r="A19" s="30">
        <f>IF(B19=0,"",RANK(B19,$B$2:$B$94,0))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SENORES</t>
        </is>
      </c>
      <c r="D19" s="30" t="inlineStr">
        <is>
          <t>Senores Pharmaceuticals Ltd</t>
        </is>
      </c>
      <c r="E19" s="30" t="inlineStr">
        <is>
          <t>healthcare</t>
        </is>
      </c>
      <c r="F19" s="30" t="inlineStr">
        <is>
          <t>Pharma - API</t>
        </is>
      </c>
      <c r="G19" s="30" t="inlineStr">
        <is>
          <t>midcap</t>
        </is>
      </c>
      <c r="H19" s="31" t="n">
        <v>6584.74</v>
      </c>
      <c r="I19" s="31" t="n">
        <v>1429.8</v>
      </c>
      <c r="J19" s="31" t="n">
        <v>6.49</v>
      </c>
      <c r="K19" s="31" t="n">
        <v>0</v>
      </c>
      <c r="L19" s="30" t="n">
        <v>88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68.05</v>
      </c>
      <c r="P19" s="31" t="n">
        <v>61.25</v>
      </c>
      <c r="Q19" s="31" t="inlineStr"/>
      <c r="R19" s="30" t="inlineStr">
        <is>
          <t>Earnings / Momentum Support</t>
        </is>
      </c>
      <c r="S19" s="30" t="inlineStr">
        <is>
          <t>Nifty Pharma</t>
        </is>
      </c>
      <c r="T19" s="31" t="n">
        <v>24.01</v>
      </c>
      <c r="U19" s="31" t="n">
        <v>105.79</v>
      </c>
      <c r="V19" s="31" t="n">
        <v>65.94</v>
      </c>
      <c r="W19" s="31" t="n">
        <v>24.3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Headwind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No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3</t>
        </is>
      </c>
      <c r="BC19" s="30">
        <f>IF(BB19="Stage 2",20,IF(BB19="Stage 1",0,IF(BB19="Stage 3",5,IF(BB19="Stage 4",-5,0))))</f>
        <v/>
      </c>
      <c r="BD19" s="30" t="inlineStr">
        <is>
          <t>Negative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18</t>
        </is>
      </c>
      <c r="CG19" s="30">
        <f>IF(CF19&gt;20,10,IF(CF19&gt;=10,5,2))</f>
        <v/>
      </c>
    </row>
    <row r="20">
      <c r="A20" s="30">
        <f>IF(B20=0,"",RANK(B20,$B$2:$B$94,0))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UNIPARTS</t>
        </is>
      </c>
      <c r="D20" s="30" t="inlineStr">
        <is>
          <t>Uniparts India Ltd</t>
        </is>
      </c>
      <c r="E20" s="30" t="inlineStr">
        <is>
          <t>industrials</t>
        </is>
      </c>
      <c r="F20" s="30" t="inlineStr">
        <is>
          <t>Castings, Forgings &amp; Fastners</t>
        </is>
      </c>
      <c r="G20" s="30" t="inlineStr">
        <is>
          <t>smallcap</t>
        </is>
      </c>
      <c r="H20" s="31" t="n">
        <v>3717.66</v>
      </c>
      <c r="I20" s="31" t="n">
        <v>823.2</v>
      </c>
      <c r="J20" s="31" t="n">
        <v>1.06</v>
      </c>
      <c r="K20" s="31" t="n">
        <v>0</v>
      </c>
      <c r="L20" s="30" t="n">
        <v>94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78.89</v>
      </c>
      <c r="P20" s="31" t="n">
        <v>61.54</v>
      </c>
      <c r="Q20" s="31" t="inlineStr"/>
      <c r="R20" s="30" t="inlineStr">
        <is>
          <t>Earnings / Momentum Support</t>
        </is>
      </c>
      <c r="S20" s="30" t="inlineStr">
        <is>
          <t>Nifty 50</t>
        </is>
      </c>
      <c r="T20" s="31" t="n">
        <v>0.85</v>
      </c>
      <c r="U20" s="31" t="n">
        <v>159.52</v>
      </c>
      <c r="V20" s="31" t="n">
        <v>157.33</v>
      </c>
      <c r="W20" s="31" t="n">
        <v>31.72</v>
      </c>
      <c r="X20" s="30" t="inlineStr">
        <is>
          <t>Cyclical in an Upturn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No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3</t>
        </is>
      </c>
      <c r="BC20" s="30">
        <f>IF(BB20="Stage 2",20,IF(BB20="Stage 1",0,IF(BB20="Stage 3",5,IF(BB20="Stage 4",-5,0))))</f>
        <v/>
      </c>
      <c r="BD20" s="30" t="inlineStr">
        <is>
          <t>Negative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28</t>
        </is>
      </c>
      <c r="CG20" s="30">
        <f>IF(CF20&gt;20,10,IF(CF20&gt;=10,5,2))</f>
        <v/>
      </c>
    </row>
    <row r="21">
      <c r="A21" s="30">
        <f>IF(B21=0,"",RANK(B21,$B$2:$B$94,0))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PGIL</t>
        </is>
      </c>
      <c r="D21" s="30" t="inlineStr">
        <is>
          <t>Pearl Global Industries Ltd</t>
        </is>
      </c>
      <c r="E21" s="30" t="inlineStr">
        <is>
          <t>consumer discretionary</t>
        </is>
      </c>
      <c r="F21" s="30" t="inlineStr">
        <is>
          <t>Textiles - Readymade Apparel</t>
        </is>
      </c>
      <c r="G21" s="30" t="inlineStr">
        <is>
          <t>midcap</t>
        </is>
      </c>
      <c r="H21" s="31" t="n">
        <v>11207.67</v>
      </c>
      <c r="I21" s="31" t="n">
        <v>2426.4</v>
      </c>
      <c r="J21" s="31" t="n">
        <v>-1.53</v>
      </c>
      <c r="K21" s="31" t="n">
        <v>0</v>
      </c>
      <c r="L21" s="30" t="n">
        <v>91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75.76000000000001</v>
      </c>
      <c r="P21" s="31" t="n">
        <v>53.75</v>
      </c>
      <c r="Q21" s="31" t="inlineStr"/>
      <c r="R21" s="30" t="inlineStr">
        <is>
          <t>Earnings / Momentum Support</t>
        </is>
      </c>
      <c r="S21" s="30" t="inlineStr">
        <is>
          <t>Nifty 50</t>
        </is>
      </c>
      <c r="T21" s="31" t="n">
        <v>0.85</v>
      </c>
      <c r="U21" s="31" t="n">
        <v>86.56999999999999</v>
      </c>
      <c r="V21" s="31" t="n">
        <v>84.98999999999999</v>
      </c>
      <c r="W21" s="31" t="n">
        <v>26.71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Headwind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No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3</t>
        </is>
      </c>
      <c r="BC21" s="30">
        <f>IF(BB21="Stage 2",20,IF(BB21="Stage 1",0,IF(BB21="Stage 3",5,IF(BB21="Stage 4",-5,0))))</f>
        <v/>
      </c>
      <c r="BD21" s="30" t="inlineStr">
        <is>
          <t>Negative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28</t>
        </is>
      </c>
      <c r="CG21" s="30">
        <f>IF(CF21&gt;20,10,IF(CF21&gt;=10,5,2))</f>
        <v/>
      </c>
    </row>
    <row r="22">
      <c r="A22" s="30">
        <f>IF(B22=0,"",RANK(B22,$B$2:$B$94,0))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UNIVCABLES</t>
        </is>
      </c>
      <c r="D22" s="30" t="inlineStr">
        <is>
          <t>Universal Cables Ltd</t>
        </is>
      </c>
      <c r="E22" s="30" t="inlineStr">
        <is>
          <t>industrials</t>
        </is>
      </c>
      <c r="F22" s="30" t="inlineStr">
        <is>
          <t>Cables - Power</t>
        </is>
      </c>
      <c r="G22" s="30" t="inlineStr">
        <is>
          <t>midcap</t>
        </is>
      </c>
      <c r="H22" s="31" t="n">
        <v>5875.32</v>
      </c>
      <c r="I22" s="31" t="n">
        <v>1693.4</v>
      </c>
      <c r="J22" s="31" t="n">
        <v>20</v>
      </c>
      <c r="K22" s="31" t="n">
        <v>0</v>
      </c>
      <c r="L22" s="30" t="n">
        <v>78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70.66</v>
      </c>
      <c r="P22" s="31" t="n">
        <v>57.58</v>
      </c>
      <c r="Q22" s="31" t="inlineStr"/>
      <c r="R22" s="30" t="inlineStr">
        <is>
          <t>Volume Spike / Accumulation</t>
        </is>
      </c>
      <c r="S22" s="30" t="inlineStr">
        <is>
          <t>Nifty Energy</t>
        </is>
      </c>
      <c r="T22" s="31" t="n">
        <v>8.41</v>
      </c>
      <c r="U22" s="31" t="n">
        <v>52.2</v>
      </c>
      <c r="V22" s="31" t="n">
        <v>40.4</v>
      </c>
      <c r="W22" s="31" t="n">
        <v>17.73</v>
      </c>
      <c r="X22" s="30" t="inlineStr">
        <is>
          <t>Cyclical in an Upturn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Headwind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3</t>
        </is>
      </c>
      <c r="BC22" s="30">
        <f>IF(BB22="Stage 2",20,IF(BB22="Stage 1",0,IF(BB22="Stage 3",5,IF(BB22="Stage 4",-5,0))))</f>
        <v/>
      </c>
      <c r="BD22" s="30" t="inlineStr">
        <is>
          <t>Negative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27</t>
        </is>
      </c>
      <c r="CG22" s="30">
        <f>IF(CF22&gt;20,10,IF(CF22&gt;=10,5,2))</f>
        <v/>
      </c>
    </row>
    <row r="23">
      <c r="A23" s="30">
        <f>IF(B23=0,"",RANK(B23,$B$2:$B$94,0))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SANGHVIMOV</t>
        </is>
      </c>
      <c r="D23" s="30" t="inlineStr">
        <is>
          <t>Sanghvi Movers Ltd</t>
        </is>
      </c>
      <c r="E23" s="30" t="inlineStr">
        <is>
          <t>miscellaneous</t>
        </is>
      </c>
      <c r="F23" s="30" t="inlineStr">
        <is>
          <t>Capital Goods - EPC/Cranes</t>
        </is>
      </c>
      <c r="G23" s="30" t="inlineStr">
        <is>
          <t>smallcap</t>
        </is>
      </c>
      <c r="H23" s="31" t="n">
        <v>4441.35</v>
      </c>
      <c r="I23" s="31" t="n">
        <v>513</v>
      </c>
      <c r="J23" s="31" t="n">
        <v>5.04</v>
      </c>
      <c r="K23" s="31" t="n">
        <v>0</v>
      </c>
      <c r="L23" s="30" t="n">
        <v>82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66.13</v>
      </c>
      <c r="P23" s="31" t="n">
        <v>36.85</v>
      </c>
      <c r="Q23" s="31" t="inlineStr"/>
      <c r="R23" s="30" t="inlineStr">
        <is>
          <t>Earnings / Momentum Support</t>
        </is>
      </c>
      <c r="S23" s="30" t="inlineStr">
        <is>
          <t>Nifty 50</t>
        </is>
      </c>
      <c r="T23" s="31" t="n">
        <v>0.85</v>
      </c>
      <c r="U23" s="31" t="n">
        <v>59.61</v>
      </c>
      <c r="V23" s="31" t="n">
        <v>58.27</v>
      </c>
      <c r="W23" s="31" t="n">
        <v>20.53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No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3</t>
        </is>
      </c>
      <c r="BC23" s="30">
        <f>IF(BB23="Stage 2",20,IF(BB23="Stage 1",0,IF(BB23="Stage 3",5,IF(BB23="Stage 4",-5,0))))</f>
        <v/>
      </c>
      <c r="BD23" s="30" t="inlineStr">
        <is>
          <t>Negative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24</t>
        </is>
      </c>
      <c r="CG23" s="30">
        <f>IF(CF23&gt;20,10,IF(CF23&gt;=10,5,2))</f>
        <v/>
      </c>
    </row>
    <row r="24">
      <c r="A24" s="30">
        <f>IF(B24=0,"",RANK(B24,$B$2:$B$94,0))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SPORTKING</t>
        </is>
      </c>
      <c r="D24" s="30" t="inlineStr">
        <is>
          <t>Sportking India Ltd</t>
        </is>
      </c>
      <c r="E24" s="30" t="inlineStr">
        <is>
          <t>Consumer Cyclical</t>
        </is>
      </c>
      <c r="F24" s="30" t="inlineStr">
        <is>
          <t>Textiles - Spinning</t>
        </is>
      </c>
      <c r="G24" s="30" t="inlineStr">
        <is>
          <t>smallcap</t>
        </is>
      </c>
      <c r="H24" s="31" t="n">
        <v>2655.8</v>
      </c>
      <c r="I24" s="31" t="n">
        <v>209</v>
      </c>
      <c r="J24" s="31" t="n">
        <v>-2.49</v>
      </c>
      <c r="K24" s="31" t="n">
        <v>0</v>
      </c>
      <c r="L24" s="30" t="n">
        <v>90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77.28</v>
      </c>
      <c r="P24" s="31" t="n">
        <v>72.47</v>
      </c>
      <c r="Q24" s="31" t="inlineStr"/>
      <c r="R24" s="30" t="inlineStr">
        <is>
          <t>Earnings / Momentum Support</t>
        </is>
      </c>
      <c r="S24" s="30" t="inlineStr">
        <is>
          <t>Nifty 50</t>
        </is>
      </c>
      <c r="T24" s="31" t="n">
        <v>0.85</v>
      </c>
      <c r="U24" s="31" t="n">
        <v>103.72</v>
      </c>
      <c r="V24" s="31" t="n">
        <v>102</v>
      </c>
      <c r="W24" s="31" t="n">
        <v>25.86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No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3</t>
        </is>
      </c>
      <c r="BC24" s="30">
        <f>IF(BB24="Stage 2",20,IF(BB24="Stage 1",0,IF(BB24="Stage 3",5,IF(BB24="Stage 4",-5,0))))</f>
        <v/>
      </c>
      <c r="BD24" s="30" t="inlineStr">
        <is>
          <t>Negative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23</t>
        </is>
      </c>
      <c r="CG24" s="30">
        <f>IF(CF24&gt;20,10,IF(CF24&gt;=10,5,2))</f>
        <v/>
      </c>
    </row>
    <row r="25">
      <c r="A25" s="30">
        <f>IF(B25=0,"",RANK(B25,$B$2:$B$94,0))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AXISOL</t>
        </is>
      </c>
      <c r="D25" s="30" t="inlineStr">
        <is>
          <t>Axis Solutions Ltd</t>
        </is>
      </c>
      <c r="E25" s="30" t="inlineStr">
        <is>
          <t>Industrials</t>
        </is>
      </c>
      <c r="F25" s="30" t="inlineStr">
        <is>
          <t>Engineering - Light - General</t>
        </is>
      </c>
      <c r="G25" s="30" t="inlineStr">
        <is>
          <t>smallcap</t>
        </is>
      </c>
      <c r="H25" s="31" t="n">
        <v>2199.73</v>
      </c>
      <c r="I25" s="31" t="n">
        <v>465.45</v>
      </c>
      <c r="J25" s="31" t="n">
        <v>5</v>
      </c>
      <c r="K25" s="31" t="n">
        <v>0</v>
      </c>
      <c r="L25" s="30" t="n">
        <v>99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84.02</v>
      </c>
      <c r="P25" s="31" t="n">
        <v>64.27</v>
      </c>
      <c r="Q25" s="31" t="inlineStr"/>
      <c r="R25" s="30" t="inlineStr">
        <is>
          <t>Earnings / Momentum Support</t>
        </is>
      </c>
      <c r="S25" s="30" t="inlineStr">
        <is>
          <t>Nifty 50</t>
        </is>
      </c>
      <c r="T25" s="31" t="n">
        <v>0.85</v>
      </c>
      <c r="U25" s="31" t="n">
        <v>2041.92</v>
      </c>
      <c r="V25" s="31" t="n">
        <v>2023.84</v>
      </c>
      <c r="W25" s="31" t="n">
        <v>110.03</v>
      </c>
      <c r="X25" s="30" t="inlineStr">
        <is>
          <t>Cyclical in an Upturn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Headwind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No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3</t>
        </is>
      </c>
      <c r="BC25" s="30">
        <f>IF(BB25="Stage 2",20,IF(BB25="Stage 1",0,IF(BB25="Stage 3",5,IF(BB25="Stage 4",-5,0))))</f>
        <v/>
      </c>
      <c r="BD25" s="30" t="inlineStr">
        <is>
          <t>Negative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23</t>
        </is>
      </c>
      <c r="CG25" s="30">
        <f>IF(CF25&gt;20,10,IF(CF25&gt;=10,5,2))</f>
        <v/>
      </c>
    </row>
    <row r="26">
      <c r="A26" s="30">
        <f>IF(B26=0,"",RANK(B26,$B$2:$B$94,0))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REDINGTON</t>
        </is>
      </c>
      <c r="D26" s="30" t="inlineStr">
        <is>
          <t>Redington Ltd</t>
        </is>
      </c>
      <c r="E26" s="30" t="inlineStr">
        <is>
          <t>services</t>
        </is>
      </c>
      <c r="F26" s="30" t="inlineStr">
        <is>
          <t>Computer - Hardware</t>
        </is>
      </c>
      <c r="G26" s="30" t="inlineStr">
        <is>
          <t>largecap</t>
        </is>
      </c>
      <c r="H26" s="31" t="n">
        <v>27526.28</v>
      </c>
      <c r="I26" s="31" t="n">
        <v>352.1</v>
      </c>
      <c r="J26" s="31" t="n">
        <v>-0.77</v>
      </c>
      <c r="K26" s="31" t="n">
        <v>0</v>
      </c>
      <c r="L26" s="30" t="n">
        <v>88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72.79000000000001</v>
      </c>
      <c r="P26" s="31" t="n">
        <v>31.6</v>
      </c>
      <c r="Q26" s="31" t="inlineStr"/>
      <c r="R26" s="30" t="inlineStr">
        <is>
          <t>Earnings / Momentum Support</t>
        </is>
      </c>
      <c r="S26" s="30" t="inlineStr">
        <is>
          <t>Nifty 50</t>
        </is>
      </c>
      <c r="T26" s="31" t="n">
        <v>0.85</v>
      </c>
      <c r="U26" s="31" t="n">
        <v>50.41</v>
      </c>
      <c r="V26" s="31" t="n">
        <v>49.14</v>
      </c>
      <c r="W26" s="31" t="n">
        <v>24.27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No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3</t>
        </is>
      </c>
      <c r="BC26" s="30">
        <f>IF(BB26="Stage 2",20,IF(BB26="Stage 1",0,IF(BB26="Stage 3",5,IF(BB26="Stage 4",-5,0))))</f>
        <v/>
      </c>
      <c r="BD26" s="30" t="inlineStr">
        <is>
          <t>Negative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22</t>
        </is>
      </c>
      <c r="CG26" s="30">
        <f>IF(CF26&gt;20,10,IF(CF26&gt;=10,5,2))</f>
        <v/>
      </c>
    </row>
    <row r="27">
      <c r="A27" s="30">
        <f>IF(B27=0,"",RANK(B27,$B$2:$B$94,0))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MENONBE</t>
        </is>
      </c>
      <c r="D27" s="30" t="inlineStr">
        <is>
          <t>Menon Bearings Ltd</t>
        </is>
      </c>
      <c r="E27" s="30" t="inlineStr">
        <is>
          <t>auto</t>
        </is>
      </c>
      <c r="F27" s="30" t="inlineStr">
        <is>
          <t>Auto Ancillaries - Bearings</t>
        </is>
      </c>
      <c r="G27" s="30" t="inlineStr">
        <is>
          <t>smallcap</t>
        </is>
      </c>
      <c r="H27" s="31" t="n">
        <v>1388.67</v>
      </c>
      <c r="I27" s="31" t="n">
        <v>247.8</v>
      </c>
      <c r="J27" s="31" t="n">
        <v>4.4</v>
      </c>
      <c r="K27" s="31" t="n">
        <v>0</v>
      </c>
      <c r="L27" s="30" t="n">
        <v>86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80.84999999999999</v>
      </c>
      <c r="P27" s="31" t="n">
        <v>54.03</v>
      </c>
      <c r="Q27" s="31" t="inlineStr"/>
      <c r="R27" s="30" t="inlineStr">
        <is>
          <t>Earnings / Momentum Support</t>
        </is>
      </c>
      <c r="S27" s="30" t="inlineStr">
        <is>
          <t>Nifty Auto</t>
        </is>
      </c>
      <c r="T27" s="31" t="n">
        <v>13.41</v>
      </c>
      <c r="U27" s="31" t="n">
        <v>59.56</v>
      </c>
      <c r="V27" s="31" t="n">
        <v>40.68</v>
      </c>
      <c r="W27" s="31" t="n">
        <v>23.69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Headwind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No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3</t>
        </is>
      </c>
      <c r="BC27" s="30">
        <f>IF(BB27="Stage 2",20,IF(BB27="Stage 1",0,IF(BB27="Stage 3",5,IF(BB27="Stage 4",-5,0))))</f>
        <v/>
      </c>
      <c r="BD27" s="30" t="inlineStr">
        <is>
          <t>Negative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21</t>
        </is>
      </c>
      <c r="CG27" s="30">
        <f>IF(CF27&gt;20,10,IF(CF27&gt;=10,5,2))</f>
        <v/>
      </c>
    </row>
    <row r="28">
      <c r="A28" s="30">
        <f>IF(B28=0,"",RANK(B28,$B$2:$B$94,0))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HFCL</t>
        </is>
      </c>
      <c r="D28" s="30" t="inlineStr">
        <is>
          <t>HFCL Ltd</t>
        </is>
      </c>
      <c r="E28" s="30" t="inlineStr">
        <is>
          <t>telecom</t>
        </is>
      </c>
      <c r="F28" s="30" t="inlineStr">
        <is>
          <t>Telecom Services</t>
        </is>
      </c>
      <c r="G28" s="30" t="inlineStr">
        <is>
          <t>largecap</t>
        </is>
      </c>
      <c r="H28" s="31" t="n">
        <v>32479.38</v>
      </c>
      <c r="I28" s="31" t="n">
        <v>212.2</v>
      </c>
      <c r="J28" s="31" t="n">
        <v>2.03</v>
      </c>
      <c r="K28" s="31" t="n">
        <v>0</v>
      </c>
      <c r="L28" s="30" t="n">
        <v>98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73.40000000000001</v>
      </c>
      <c r="P28" s="31" t="n">
        <v>65.93000000000001</v>
      </c>
      <c r="Q28" s="31" t="inlineStr"/>
      <c r="R28" s="30" t="inlineStr">
        <is>
          <t>Earnings / Momentum Support</t>
        </is>
      </c>
      <c r="S28" s="30" t="inlineStr">
        <is>
          <t>Nifty Infra</t>
        </is>
      </c>
      <c r="T28" s="31" t="n">
        <v>1.74</v>
      </c>
      <c r="U28" s="31" t="n">
        <v>161.74</v>
      </c>
      <c r="V28" s="31" t="n">
        <v>157.26</v>
      </c>
      <c r="W28" s="31" t="n">
        <v>53.93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Oligopoly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No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3</t>
        </is>
      </c>
      <c r="BC28" s="30">
        <f>IF(BB28="Stage 2",20,IF(BB28="Stage 1",0,IF(BB28="Stage 3",5,IF(BB28="Stage 4",-5,0))))</f>
        <v/>
      </c>
      <c r="BD28" s="30" t="inlineStr">
        <is>
          <t>Negative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20</t>
        </is>
      </c>
      <c r="CG28" s="30">
        <f>IF(CF28&gt;20,10,IF(CF28&gt;=10,5,2))</f>
        <v/>
      </c>
    </row>
    <row r="29">
      <c r="A29" s="30">
        <f>IF(B29=0,"",RANK(B29,$B$2:$B$94,0))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STOVEKRAFT</t>
        </is>
      </c>
      <c r="D29" s="30" t="inlineStr">
        <is>
          <t>Stove Kraft Ltd</t>
        </is>
      </c>
      <c r="E29" s="30" t="inlineStr">
        <is>
          <t>consumer discretionary</t>
        </is>
      </c>
      <c r="F29" s="30" t="inlineStr">
        <is>
          <t>Domestic Appliances</t>
        </is>
      </c>
      <c r="G29" s="30" t="inlineStr">
        <is>
          <t>smallcap</t>
        </is>
      </c>
      <c r="H29" s="31" t="n">
        <v>2681.69</v>
      </c>
      <c r="I29" s="31" t="n">
        <v>810</v>
      </c>
      <c r="J29" s="31" t="n">
        <v>1.56</v>
      </c>
      <c r="K29" s="31" t="n">
        <v>0</v>
      </c>
      <c r="L29" s="30" t="n">
        <v>78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73.3</v>
      </c>
      <c r="P29" s="31" t="n">
        <v>47.93</v>
      </c>
      <c r="Q29" s="31" t="inlineStr"/>
      <c r="R29" s="30" t="inlineStr">
        <is>
          <t>Earnings / Momentum Support</t>
        </is>
      </c>
      <c r="S29" s="30" t="inlineStr">
        <is>
          <t>Nifty 50</t>
        </is>
      </c>
      <c r="T29" s="31" t="n">
        <v>0.85</v>
      </c>
      <c r="U29" s="31" t="n">
        <v>32.62</v>
      </c>
      <c r="V29" s="31" t="n">
        <v>31.5</v>
      </c>
      <c r="W29" s="31" t="n">
        <v>17.29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No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3</t>
        </is>
      </c>
      <c r="BC29" s="30">
        <f>IF(BB29="Stage 2",20,IF(BB29="Stage 1",0,IF(BB29="Stage 3",5,IF(BB29="Stage 4",-5,0))))</f>
        <v/>
      </c>
      <c r="BD29" s="30" t="inlineStr">
        <is>
          <t>Negative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20</t>
        </is>
      </c>
      <c r="CG29" s="30">
        <f>IF(CF29&gt;20,10,IF(CF29&gt;=10,5,2))</f>
        <v/>
      </c>
    </row>
    <row r="30">
      <c r="A30" s="30">
        <f>IF(B30=0,"",RANK(B30,$B$2:$B$94,0))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ATHERENERG</t>
        </is>
      </c>
      <c r="D30" s="30" t="inlineStr">
        <is>
          <t>Ather Energy Ltd</t>
        </is>
      </c>
      <c r="E30" s="30" t="inlineStr">
        <is>
          <t>auto</t>
        </is>
      </c>
      <c r="F30" s="30" t="inlineStr">
        <is>
          <t>Auto - 2 &amp; 3 Wheelers</t>
        </is>
      </c>
      <c r="G30" s="30" t="inlineStr">
        <is>
          <t>largecap</t>
        </is>
      </c>
      <c r="H30" s="31" t="n">
        <v>57998.39</v>
      </c>
      <c r="I30" s="31" t="n">
        <v>1470.2</v>
      </c>
      <c r="J30" s="31" t="n">
        <v>-0.76</v>
      </c>
      <c r="K30" s="31" t="n">
        <v>0</v>
      </c>
      <c r="L30" s="30" t="n">
        <v>97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80.06999999999999</v>
      </c>
      <c r="P30" s="31" t="n">
        <v>60.14</v>
      </c>
      <c r="Q30" s="31" t="inlineStr"/>
      <c r="R30" s="30" t="inlineStr">
        <is>
          <t>Earnings / Momentum Support</t>
        </is>
      </c>
      <c r="S30" s="30" t="inlineStr">
        <is>
          <t>Nifty Auto</t>
        </is>
      </c>
      <c r="T30" s="31" t="n">
        <v>13.41</v>
      </c>
      <c r="U30" s="31" t="n">
        <v>275.68</v>
      </c>
      <c r="V30" s="31" t="n">
        <v>231.25</v>
      </c>
      <c r="W30" s="31" t="n">
        <v>46.25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No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3</t>
        </is>
      </c>
      <c r="BC30" s="30">
        <f>IF(BB30="Stage 2",20,IF(BB30="Stage 1",0,IF(BB30="Stage 3",5,IF(BB30="Stage 4",-5,0))))</f>
        <v/>
      </c>
      <c r="BD30" s="30" t="inlineStr">
        <is>
          <t>Negative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19</t>
        </is>
      </c>
      <c r="CG30" s="30">
        <f>IF(CF30&gt;20,10,IF(CF30&gt;=10,5,2))</f>
        <v/>
      </c>
    </row>
    <row r="31">
      <c r="A31" s="30">
        <f>IF(B31=0,"",RANK(B31,$B$2:$B$94,0))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KPL</t>
        </is>
      </c>
      <c r="D31" s="30" t="inlineStr">
        <is>
          <t>Kwality Pharmaceuticals Ltd</t>
        </is>
      </c>
      <c r="E31" s="30" t="inlineStr">
        <is>
          <t>Healthcare</t>
        </is>
      </c>
      <c r="F31" s="30" t="inlineStr">
        <is>
          <t>Pharma - Formulators</t>
        </is>
      </c>
      <c r="G31" s="30" t="inlineStr">
        <is>
          <t>smallcap</t>
        </is>
      </c>
      <c r="H31" s="31" t="n">
        <v>3248.63</v>
      </c>
      <c r="I31" s="31" t="n">
        <v>3130.85</v>
      </c>
      <c r="J31" s="31" t="n">
        <v>20</v>
      </c>
      <c r="K31" s="31" t="n">
        <v>0</v>
      </c>
      <c r="L31" s="30" t="n">
        <v>94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68.86</v>
      </c>
      <c r="P31" s="31" t="n">
        <v>65.22</v>
      </c>
      <c r="Q31" s="31" t="inlineStr"/>
      <c r="R31" s="30" t="inlineStr">
        <is>
          <t>Earnings / Momentum Support</t>
        </is>
      </c>
      <c r="S31" s="30" t="inlineStr">
        <is>
          <t>Nifty Pharma</t>
        </is>
      </c>
      <c r="T31" s="31" t="n">
        <v>24.01</v>
      </c>
      <c r="U31" s="31" t="n">
        <v>130.35</v>
      </c>
      <c r="V31" s="31" t="n">
        <v>85.73999999999999</v>
      </c>
      <c r="W31" s="31" t="n">
        <v>31.97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No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3</t>
        </is>
      </c>
      <c r="BC31" s="30">
        <f>IF(BB31="Stage 2",20,IF(BB31="Stage 1",0,IF(BB31="Stage 3",5,IF(BB31="Stage 4",-5,0))))</f>
        <v/>
      </c>
      <c r="BD31" s="30" t="inlineStr">
        <is>
          <t>Negative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Less than 50%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27</t>
        </is>
      </c>
      <c r="CG31" s="30">
        <f>IF(CF31&gt;20,10,IF(CF31&gt;=10,5,2))</f>
        <v/>
      </c>
    </row>
    <row r="32">
      <c r="A32" s="30">
        <f>IF(B32=0,"",RANK(B32,$B$2:$B$94,0))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CENTENKA</t>
        </is>
      </c>
      <c r="D32" s="30" t="inlineStr">
        <is>
          <t>Century Enka Ltd</t>
        </is>
      </c>
      <c r="E32" s="30" t="inlineStr">
        <is>
          <t>textiles</t>
        </is>
      </c>
      <c r="F32" s="30" t="inlineStr">
        <is>
          <t>Textiles - Manmade Fibre - PFY/PSF</t>
        </is>
      </c>
      <c r="G32" s="30" t="inlineStr">
        <is>
          <t>smallcap</t>
        </is>
      </c>
      <c r="H32" s="31" t="n">
        <v>1342.5</v>
      </c>
      <c r="I32" s="31" t="n">
        <v>614.4</v>
      </c>
      <c r="J32" s="31" t="n">
        <v>0.68</v>
      </c>
      <c r="K32" s="31" t="n">
        <v>0</v>
      </c>
      <c r="L32" s="30" t="n">
        <v>67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71.06999999999999</v>
      </c>
      <c r="P32" s="31" t="n">
        <v>64.03</v>
      </c>
      <c r="Q32" s="31" t="inlineStr"/>
      <c r="R32" s="30" t="inlineStr">
        <is>
          <t>Earnings / Momentum Support</t>
        </is>
      </c>
      <c r="S32" s="30" t="inlineStr">
        <is>
          <t>Nifty 50</t>
        </is>
      </c>
      <c r="T32" s="31" t="n">
        <v>0.85</v>
      </c>
      <c r="U32" s="31" t="n">
        <v>23.22</v>
      </c>
      <c r="V32" s="31" t="n">
        <v>22.18</v>
      </c>
      <c r="W32" s="31" t="n">
        <v>13.14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No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3</t>
        </is>
      </c>
      <c r="BC32" s="30">
        <f>IF(BB32="Stage 2",20,IF(BB32="Stage 1",0,IF(BB32="Stage 3",5,IF(BB32="Stage 4",-5,0))))</f>
        <v/>
      </c>
      <c r="BD32" s="30" t="inlineStr">
        <is>
          <t>Negative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24</t>
        </is>
      </c>
      <c r="CG32" s="30">
        <f>IF(CF32&gt;20,10,IF(CF32&gt;=10,5,2))</f>
        <v/>
      </c>
    </row>
    <row r="33">
      <c r="A33" s="30">
        <f>IF(B33=0,"",RANK(B33,$B$2:$B$94,0))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IRISDOREME</t>
        </is>
      </c>
      <c r="D33" s="30" t="inlineStr">
        <is>
          <t>Iris Clothings Ltd</t>
        </is>
      </c>
      <c r="E33" s="30" t="inlineStr">
        <is>
          <t>consumer discretionary</t>
        </is>
      </c>
      <c r="F33" s="30" t="inlineStr">
        <is>
          <t>Textiles - Readymade Apparel</t>
        </is>
      </c>
      <c r="G33" s="30" t="inlineStr">
        <is>
          <t>smallcap</t>
        </is>
      </c>
      <c r="H33" s="31" t="n">
        <v>1069.47</v>
      </c>
      <c r="I33" s="31" t="n">
        <v>56.19</v>
      </c>
      <c r="J33" s="31" t="n">
        <v>3.06</v>
      </c>
      <c r="K33" s="31" t="n">
        <v>0</v>
      </c>
      <c r="L33" s="30" t="n">
        <v>83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82.5</v>
      </c>
      <c r="P33" s="31" t="n">
        <v>39.05</v>
      </c>
      <c r="Q33" s="31" t="inlineStr"/>
      <c r="R33" s="30" t="inlineStr">
        <is>
          <t>Volume Spike / Accumulation</t>
        </is>
      </c>
      <c r="S33" s="30" t="inlineStr">
        <is>
          <t>Nifty 50</t>
        </is>
      </c>
      <c r="T33" s="31" t="n">
        <v>0.85</v>
      </c>
      <c r="U33" s="31" t="n">
        <v>65.31</v>
      </c>
      <c r="V33" s="31" t="n">
        <v>63.92</v>
      </c>
      <c r="W33" s="31" t="n">
        <v>21.02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Headwind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3</t>
        </is>
      </c>
      <c r="BC33" s="30">
        <f>IF(BB33="Stage 2",20,IF(BB33="Stage 1",0,IF(BB33="Stage 3",5,IF(BB33="Stage 4",-5,0))))</f>
        <v/>
      </c>
      <c r="BD33" s="30" t="inlineStr">
        <is>
          <t>Negative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23</t>
        </is>
      </c>
      <c r="CG33" s="30">
        <f>IF(CF33&gt;20,10,IF(CF33&gt;=10,5,2))</f>
        <v/>
      </c>
    </row>
    <row r="34">
      <c r="A34" s="30">
        <f>IF(B34=0,"",RANK(B34,$B$2:$B$94,0))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2" t="inlineStr">
        <is>
          <t>ATULAUTO</t>
        </is>
      </c>
      <c r="D34" s="32" t="inlineStr">
        <is>
          <t>Atul Auto Ltd</t>
        </is>
      </c>
      <c r="E34" s="30" t="inlineStr">
        <is>
          <t>Consumer Cyclical</t>
        </is>
      </c>
      <c r="F34" s="30" t="inlineStr">
        <is>
          <t>Auto - 2 &amp; 3 Wheelers</t>
        </is>
      </c>
      <c r="G34" s="30" t="inlineStr">
        <is>
          <t>smallcap</t>
        </is>
      </c>
      <c r="H34" s="31" t="n">
        <v>1413.65</v>
      </c>
      <c r="I34" s="31" t="n">
        <v>509.4</v>
      </c>
      <c r="J34" s="31" t="n">
        <v>-11.7</v>
      </c>
      <c r="K34" s="31" t="n">
        <v>0</v>
      </c>
      <c r="L34" s="30" t="n">
        <v>21</v>
      </c>
      <c r="M34" s="30" t="inlineStr">
        <is>
          <t>Underperforming</t>
        </is>
      </c>
      <c r="N34" s="31">
        <f>IF(M34="Underperforming",-5,IF(L34&gt;=95,15,IF(L34&gt;=90,10,IF(L34&gt;=80,5,0))))</f>
        <v/>
      </c>
      <c r="O34" s="31" t="n">
        <v>67</v>
      </c>
      <c r="P34" s="31" t="n">
        <v>29.71</v>
      </c>
      <c r="Q34" s="31" t="inlineStr"/>
      <c r="R34" s="30" t="inlineStr">
        <is>
          <t>Earnings / Momentum Support</t>
        </is>
      </c>
      <c r="S34" s="30" t="inlineStr">
        <is>
          <t>Nifty Auto</t>
        </is>
      </c>
      <c r="T34" s="31" t="n">
        <v>13.41</v>
      </c>
      <c r="U34" s="31" t="n">
        <v>4.19</v>
      </c>
      <c r="V34" s="31" t="n">
        <v>-8.130000000000001</v>
      </c>
      <c r="W34" s="31" t="n">
        <v>1.79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B2C</t>
        </is>
      </c>
      <c r="AO34" s="30">
        <f>IF(AN34="B2C",10,IF(AN34="B2B",5,0))</f>
        <v/>
      </c>
      <c r="AP34" s="30" t="inlineStr">
        <is>
          <t>No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3</t>
        </is>
      </c>
      <c r="BC34" s="30">
        <f>IF(BB34="Stage 2",20,IF(BB34="Stage 1",0,IF(BB34="Stage 3",5,IF(BB34="Stage 4",-5,0))))</f>
        <v/>
      </c>
      <c r="BD34" s="30" t="inlineStr">
        <is>
          <t>Negative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22</t>
        </is>
      </c>
      <c r="CG34" s="30">
        <f>IF(CF34&gt;20,10,IF(CF34&gt;=10,5,2))</f>
        <v/>
      </c>
    </row>
    <row r="35">
      <c r="A35" s="30">
        <f>IF(B35=0,"",RANK(B35,$B$2:$B$94,0))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KDDL</t>
        </is>
      </c>
      <c r="D35" s="30" t="inlineStr">
        <is>
          <t>KDDL Ltd</t>
        </is>
      </c>
      <c r="E35" s="30" t="inlineStr">
        <is>
          <t>consumer discretionary</t>
        </is>
      </c>
      <c r="F35" s="30" t="inlineStr">
        <is>
          <t>Watches</t>
        </is>
      </c>
      <c r="G35" s="30" t="inlineStr">
        <is>
          <t>smallcap</t>
        </is>
      </c>
      <c r="H35" s="31" t="n">
        <v>4742.6</v>
      </c>
      <c r="I35" s="31" t="n">
        <v>3856</v>
      </c>
      <c r="J35" s="31" t="n">
        <v>0.31</v>
      </c>
      <c r="K35" s="31" t="n">
        <v>0</v>
      </c>
      <c r="L35" s="30" t="n">
        <v>84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76.55</v>
      </c>
      <c r="P35" s="31" t="n">
        <v>40.69</v>
      </c>
      <c r="Q35" s="31" t="inlineStr"/>
      <c r="R35" s="30" t="inlineStr">
        <is>
          <t>Earnings / Momentum Support</t>
        </is>
      </c>
      <c r="S35" s="30" t="inlineStr">
        <is>
          <t>Nifty 50</t>
        </is>
      </c>
      <c r="T35" s="31" t="n">
        <v>0.85</v>
      </c>
      <c r="U35" s="31" t="n">
        <v>48.46</v>
      </c>
      <c r="V35" s="31" t="n">
        <v>47.21</v>
      </c>
      <c r="W35" s="31" t="n">
        <v>21.55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No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3</t>
        </is>
      </c>
      <c r="BC35" s="30">
        <f>IF(BB35="Stage 2",20,IF(BB35="Stage 1",0,IF(BB35="Stage 3",5,IF(BB35="Stage 4",-5,0))))</f>
        <v/>
      </c>
      <c r="BD35" s="30" t="inlineStr">
        <is>
          <t>Negative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22</t>
        </is>
      </c>
      <c r="CG35" s="30">
        <f>IF(CF35&gt;20,10,IF(CF35&gt;=10,5,2))</f>
        <v/>
      </c>
    </row>
    <row r="36">
      <c r="A36" s="30">
        <f>IF(B36=0,"",RANK(B36,$B$2:$B$94,0))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E2E</t>
        </is>
      </c>
      <c r="D36" s="30" t="inlineStr">
        <is>
          <t>E2E Networks Ltd</t>
        </is>
      </c>
      <c r="E36" s="30" t="inlineStr">
        <is>
          <t>i.t</t>
        </is>
      </c>
      <c r="F36" s="30" t="inlineStr">
        <is>
          <t>Data Centre</t>
        </is>
      </c>
      <c r="G36" s="30" t="inlineStr">
        <is>
          <t>midcap</t>
        </is>
      </c>
      <c r="H36" s="31" t="n">
        <v>12420.23</v>
      </c>
      <c r="I36" s="31" t="n">
        <v>604.2</v>
      </c>
      <c r="J36" s="31" t="n">
        <v>5</v>
      </c>
      <c r="K36" s="31" t="n">
        <v>0</v>
      </c>
      <c r="L36" s="30" t="n">
        <v>97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75.02</v>
      </c>
      <c r="P36" s="31" t="n">
        <v>48.08</v>
      </c>
      <c r="Q36" s="31" t="inlineStr"/>
      <c r="R36" s="30" t="inlineStr">
        <is>
          <t>Earnings / Momentum Support</t>
        </is>
      </c>
      <c r="S36" s="30" t="inlineStr">
        <is>
          <t>Nifty IT</t>
        </is>
      </c>
      <c r="T36" s="31" t="n">
        <v>-8.289999999999999</v>
      </c>
      <c r="U36" s="31" t="n">
        <v>183.89</v>
      </c>
      <c r="V36" s="31" t="n">
        <v>209.55</v>
      </c>
      <c r="W36" s="31" t="n">
        <v>41.12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No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3</t>
        </is>
      </c>
      <c r="BC36" s="30">
        <f>IF(BB36="Stage 2",20,IF(BB36="Stage 1",0,IF(BB36="Stage 3",5,IF(BB36="Stage 4",-5,0))))</f>
        <v/>
      </c>
      <c r="BD36" s="30" t="inlineStr">
        <is>
          <t>Negative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22</t>
        </is>
      </c>
      <c r="CG36" s="30">
        <f>IF(CF36&gt;20,10,IF(CF36&gt;=10,5,2))</f>
        <v/>
      </c>
    </row>
    <row r="37">
      <c r="A37" s="30">
        <f>IF(B37=0,"",RANK(B37,$B$2:$B$94,0))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AETHER</t>
        </is>
      </c>
      <c r="D37" s="30" t="inlineStr">
        <is>
          <t>Aether Industries Ltd</t>
        </is>
      </c>
      <c r="E37" s="30" t="inlineStr">
        <is>
          <t>chemicals</t>
        </is>
      </c>
      <c r="F37" s="30" t="inlineStr">
        <is>
          <t>Speciality Chemicals</t>
        </is>
      </c>
      <c r="G37" s="30" t="inlineStr">
        <is>
          <t>largecap</t>
        </is>
      </c>
      <c r="H37" s="31" t="n">
        <v>21260.63</v>
      </c>
      <c r="I37" s="31" t="n">
        <v>1602</v>
      </c>
      <c r="J37" s="31" t="n">
        <v>0.65</v>
      </c>
      <c r="K37" s="31" t="n">
        <v>0</v>
      </c>
      <c r="L37" s="30" t="n">
        <v>87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74.81999999999999</v>
      </c>
      <c r="P37" s="31" t="n">
        <v>46.14</v>
      </c>
      <c r="Q37" s="31" t="inlineStr"/>
      <c r="R37" s="30" t="inlineStr">
        <is>
          <t>Earnings / Momentum Support</t>
        </is>
      </c>
      <c r="S37" s="30" t="inlineStr">
        <is>
          <t>Nifty 50</t>
        </is>
      </c>
      <c r="T37" s="31" t="n">
        <v>0.85</v>
      </c>
      <c r="U37" s="31" t="n">
        <v>116.82</v>
      </c>
      <c r="V37" s="31" t="n">
        <v>114.99</v>
      </c>
      <c r="W37" s="31" t="n">
        <v>24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No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3</t>
        </is>
      </c>
      <c r="BC37" s="30">
        <f>IF(BB37="Stage 2",20,IF(BB37="Stage 1",0,IF(BB37="Stage 3",5,IF(BB37="Stage 4",-5,0))))</f>
        <v/>
      </c>
      <c r="BD37" s="30" t="inlineStr">
        <is>
          <t>Negative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IF(B38=0,"",RANK(B38,$B$2:$B$94,0))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BHEL</t>
        </is>
      </c>
      <c r="D38" s="30" t="inlineStr">
        <is>
          <t>Bharat Heavy Electricals Ltd</t>
        </is>
      </c>
      <c r="E38" s="30" t="inlineStr">
        <is>
          <t>Industrials</t>
        </is>
      </c>
      <c r="F38" s="30" t="inlineStr">
        <is>
          <t>Capital Goods - Engineering Heavy</t>
        </is>
      </c>
      <c r="G38" s="30" t="inlineStr">
        <is>
          <t>largecap</t>
        </is>
      </c>
      <c r="H38" s="31" t="n">
        <v>142416.39</v>
      </c>
      <c r="I38" s="31" t="n">
        <v>409</v>
      </c>
      <c r="J38" s="31" t="n">
        <v>0.9399999999999999</v>
      </c>
      <c r="K38" s="31" t="n">
        <v>0</v>
      </c>
      <c r="L38" s="30" t="n">
        <v>72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62.66</v>
      </c>
      <c r="P38" s="31" t="n">
        <v>41.99</v>
      </c>
      <c r="Q38" s="31" t="inlineStr"/>
      <c r="R38" s="30" t="inlineStr">
        <is>
          <t>Earnings / Momentum Support</t>
        </is>
      </c>
      <c r="S38" s="30" t="inlineStr">
        <is>
          <t>Nifty 50</t>
        </is>
      </c>
      <c r="T38" s="31" t="n">
        <v>0.85</v>
      </c>
      <c r="U38" s="31" t="n">
        <v>82.53</v>
      </c>
      <c r="V38" s="31" t="n">
        <v>80.98999999999999</v>
      </c>
      <c r="W38" s="31" t="n">
        <v>14.44</v>
      </c>
      <c r="X38" s="30" t="inlineStr">
        <is>
          <t>Cyclical in an Upturn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No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3</t>
        </is>
      </c>
      <c r="BC38" s="30">
        <f>IF(BB38="Stage 2",20,IF(BB38="Stage 1",0,IF(BB38="Stage 3",5,IF(BB38="Stage 4",-5,0))))</f>
        <v/>
      </c>
      <c r="BD38" s="30" t="inlineStr">
        <is>
          <t>Negative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19</t>
        </is>
      </c>
      <c r="CG38" s="30">
        <f>IF(CF38&gt;20,10,IF(CF38&gt;=10,5,2))</f>
        <v/>
      </c>
    </row>
    <row r="39">
      <c r="A39" s="30">
        <f>IF(B39=0,"",RANK(B39,$B$2:$B$94,0))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SHILPAMED</t>
        </is>
      </c>
      <c r="D39" s="30" t="inlineStr">
        <is>
          <t>Shilpa Medicare Ltd</t>
        </is>
      </c>
      <c r="E39" s="30" t="inlineStr">
        <is>
          <t>healthcare</t>
        </is>
      </c>
      <c r="F39" s="30" t="inlineStr">
        <is>
          <t>Pharma - API &amp; CRAMS</t>
        </is>
      </c>
      <c r="G39" s="30" t="inlineStr">
        <is>
          <t>midcap</t>
        </is>
      </c>
      <c r="H39" s="31" t="n">
        <v>15803.01</v>
      </c>
      <c r="I39" s="31" t="n">
        <v>808</v>
      </c>
      <c r="J39" s="31" t="n">
        <v>6.35</v>
      </c>
      <c r="K39" s="31" t="n">
        <v>0</v>
      </c>
      <c r="L39" s="30" t="n">
        <v>95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87.43000000000001</v>
      </c>
      <c r="P39" s="31" t="n">
        <v>72.98999999999999</v>
      </c>
      <c r="Q39" s="31" t="inlineStr"/>
      <c r="R39" s="30" t="inlineStr">
        <is>
          <t>Earnings / Momentum Support</t>
        </is>
      </c>
      <c r="S39" s="30" t="inlineStr">
        <is>
          <t>Nifty Pharma</t>
        </is>
      </c>
      <c r="T39" s="31" t="n">
        <v>24.01</v>
      </c>
      <c r="U39" s="31" t="n">
        <v>82.84999999999999</v>
      </c>
      <c r="V39" s="31" t="n">
        <v>47.45</v>
      </c>
      <c r="W39" s="31" t="n">
        <v>32.09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3</t>
        </is>
      </c>
      <c r="BC39" s="30">
        <f>IF(BB39="Stage 2",20,IF(BB39="Stage 1",0,IF(BB39="Stage 3",5,IF(BB39="Stage 4",-5,0))))</f>
        <v/>
      </c>
      <c r="BD39" s="30" t="inlineStr">
        <is>
          <t>Negative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27</t>
        </is>
      </c>
      <c r="CG39" s="30">
        <f>IF(CF39&gt;20,10,IF(CF39&gt;=10,5,2))</f>
        <v/>
      </c>
    </row>
    <row r="40">
      <c r="A40" s="30">
        <f>IF(B40=0,"",RANK(B40,$B$2:$B$94,0))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2" t="inlineStr">
        <is>
          <t>ENTERO</t>
        </is>
      </c>
      <c r="D40" s="32" t="inlineStr">
        <is>
          <t>Entero Healthcare Solutions Ltd</t>
        </is>
      </c>
      <c r="E40" s="30" t="inlineStr">
        <is>
          <t>healthcare</t>
        </is>
      </c>
      <c r="F40" s="30" t="inlineStr">
        <is>
          <t>Pharmacy Distribution</t>
        </is>
      </c>
      <c r="G40" s="30" t="inlineStr">
        <is>
          <t>midcap</t>
        </is>
      </c>
      <c r="H40" s="31" t="n">
        <v>5705.87</v>
      </c>
      <c r="I40" s="31" t="n">
        <v>1311</v>
      </c>
      <c r="J40" s="31" t="n">
        <v>5.5</v>
      </c>
      <c r="K40" s="31" t="n">
        <v>0</v>
      </c>
      <c r="L40" s="30" t="n">
        <v>14</v>
      </c>
      <c r="M40" s="30" t="inlineStr">
        <is>
          <t>Underperforming</t>
        </is>
      </c>
      <c r="N40" s="31">
        <f>IF(M40="Underperforming",-5,IF(L40&gt;=95,15,IF(L40&gt;=90,10,IF(L40&gt;=80,5,0))))</f>
        <v/>
      </c>
      <c r="O40" s="31" t="n">
        <v>54.79</v>
      </c>
      <c r="P40" s="31" t="n">
        <v>21.01</v>
      </c>
      <c r="Q40" s="31" t="inlineStr"/>
      <c r="R40" s="30" t="inlineStr">
        <is>
          <t>Volume Spike / Accumulation</t>
        </is>
      </c>
      <c r="S40" s="30" t="inlineStr">
        <is>
          <t>Nifty Pharma</t>
        </is>
      </c>
      <c r="T40" s="31" t="n">
        <v>24.01</v>
      </c>
      <c r="U40" s="31" t="n">
        <v>-3.58</v>
      </c>
      <c r="V40" s="31" t="n">
        <v>-22.25</v>
      </c>
      <c r="W40" s="31" t="n">
        <v>-0.09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3</t>
        </is>
      </c>
      <c r="BC40" s="30">
        <f>IF(BB40="Stage 2",20,IF(BB40="Stage 1",0,IF(BB40="Stage 3",5,IF(BB40="Stage 4",-5,0))))</f>
        <v/>
      </c>
      <c r="BD40" s="30" t="inlineStr">
        <is>
          <t>Negative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21</t>
        </is>
      </c>
      <c r="CG40" s="30">
        <f>IF(CF40&gt;20,10,IF(CF40&gt;=10,5,2))</f>
        <v/>
      </c>
    </row>
    <row r="41">
      <c r="A41" s="30">
        <f>IF(B41=0,"",RANK(B41,$B$2:$B$94,0))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AVALON</t>
        </is>
      </c>
      <c r="D41" s="30" t="inlineStr">
        <is>
          <t>Avalon Technologies Ltd</t>
        </is>
      </c>
      <c r="E41" s="30" t="inlineStr">
        <is>
          <t>consumer discretionary</t>
        </is>
      </c>
      <c r="F41" s="30" t="inlineStr">
        <is>
          <t>Consumer Electronics - EMS</t>
        </is>
      </c>
      <c r="G41" s="30" t="inlineStr">
        <is>
          <t>midcap</t>
        </is>
      </c>
      <c r="H41" s="31" t="n">
        <v>12881.31</v>
      </c>
      <c r="I41" s="31" t="n">
        <v>1928</v>
      </c>
      <c r="J41" s="31" t="n">
        <v>-1.9</v>
      </c>
      <c r="K41" s="31" t="n">
        <v>0</v>
      </c>
      <c r="L41" s="30" t="n">
        <v>90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79.86</v>
      </c>
      <c r="P41" s="31" t="n">
        <v>58.37</v>
      </c>
      <c r="Q41" s="31" t="inlineStr"/>
      <c r="R41" s="30" t="inlineStr">
        <is>
          <t>Earnings / Momentum Support</t>
        </is>
      </c>
      <c r="S41" s="30" t="inlineStr">
        <is>
          <t>Nifty 50</t>
        </is>
      </c>
      <c r="T41" s="31" t="n">
        <v>0.85</v>
      </c>
      <c r="U41" s="31" t="n">
        <v>119.41</v>
      </c>
      <c r="V41" s="31" t="n">
        <v>117.56</v>
      </c>
      <c r="W41" s="31" t="n">
        <v>26.65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No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3</t>
        </is>
      </c>
      <c r="BC41" s="30">
        <f>IF(BB41="Stage 2",20,IF(BB41="Stage 1",0,IF(BB41="Stage 3",5,IF(BB41="Stage 4",-5,0))))</f>
        <v/>
      </c>
      <c r="BD41" s="30" t="inlineStr">
        <is>
          <t>Negative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26</t>
        </is>
      </c>
      <c r="CG41" s="30">
        <f>IF(CF41&gt;20,10,IF(CF41&gt;=10,5,2))</f>
        <v/>
      </c>
    </row>
    <row r="42">
      <c r="A42" s="30">
        <f>IF(B42=0,"",RANK(B42,$B$2:$B$94,0))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SJS</t>
        </is>
      </c>
      <c r="D42" s="30" t="inlineStr">
        <is>
          <t>S J S Enterprises Ltd</t>
        </is>
      </c>
      <c r="E42" s="30" t="inlineStr">
        <is>
          <t>auto</t>
        </is>
      </c>
      <c r="F42" s="30" t="inlineStr">
        <is>
          <t>Auto Ancillaries - Diversified</t>
        </is>
      </c>
      <c r="G42" s="30" t="inlineStr">
        <is>
          <t>midcap</t>
        </is>
      </c>
      <c r="H42" s="31" t="n">
        <v>7622.02</v>
      </c>
      <c r="I42" s="31" t="n">
        <v>2379.9</v>
      </c>
      <c r="J42" s="31" t="n">
        <v>-2.71</v>
      </c>
      <c r="K42" s="31" t="n">
        <v>0</v>
      </c>
      <c r="L42" s="30" t="n">
        <v>79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71.7</v>
      </c>
      <c r="P42" s="31" t="n">
        <v>43.73</v>
      </c>
      <c r="Q42" s="31" t="inlineStr"/>
      <c r="R42" s="30" t="inlineStr">
        <is>
          <t>Earnings / Momentum Support</t>
        </is>
      </c>
      <c r="S42" s="30" t="inlineStr">
        <is>
          <t>Nifty Auto</t>
        </is>
      </c>
      <c r="T42" s="31" t="n">
        <v>13.41</v>
      </c>
      <c r="U42" s="31" t="n">
        <v>76.45</v>
      </c>
      <c r="V42" s="31" t="n">
        <v>55.58</v>
      </c>
      <c r="W42" s="31" t="n">
        <v>18.09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Headwind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3</t>
        </is>
      </c>
      <c r="BC42" s="30">
        <f>IF(BB42="Stage 2",20,IF(BB42="Stage 1",0,IF(BB42="Stage 3",5,IF(BB42="Stage 4",-5,0))))</f>
        <v/>
      </c>
      <c r="BD42" s="30" t="inlineStr">
        <is>
          <t>Negative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24</t>
        </is>
      </c>
      <c r="CG42" s="30">
        <f>IF(CF42&gt;20,10,IF(CF42&gt;=10,5,2))</f>
        <v/>
      </c>
    </row>
    <row r="43">
      <c r="A43" s="30">
        <f>IF(B43=0,"",RANK(B43,$B$2:$B$94,0))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KABRAEXTRU</t>
        </is>
      </c>
      <c r="D43" s="30" t="inlineStr">
        <is>
          <t>Kabra Extrusion Technik Ltd</t>
        </is>
      </c>
      <c r="E43" s="30" t="inlineStr">
        <is>
          <t>industrials</t>
        </is>
      </c>
      <c r="F43" s="30" t="inlineStr">
        <is>
          <t>Capital Goods - Engineering Heavy</t>
        </is>
      </c>
      <c r="G43" s="30" t="inlineStr">
        <is>
          <t>smallcap</t>
        </is>
      </c>
      <c r="H43" s="31" t="n">
        <v>1783.61</v>
      </c>
      <c r="I43" s="31" t="n">
        <v>510</v>
      </c>
      <c r="J43" s="31" t="n">
        <v>13.69</v>
      </c>
      <c r="K43" s="31" t="n">
        <v>0</v>
      </c>
      <c r="L43" s="30" t="n">
        <v>95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83.23</v>
      </c>
      <c r="P43" s="31" t="n">
        <v>33.47</v>
      </c>
      <c r="Q43" s="31" t="inlineStr"/>
      <c r="R43" s="30" t="inlineStr">
        <is>
          <t>Volume Spike / Accumulation</t>
        </is>
      </c>
      <c r="S43" s="30" t="inlineStr">
        <is>
          <t>Nifty 50</t>
        </is>
      </c>
      <c r="T43" s="31" t="n">
        <v>0.85</v>
      </c>
      <c r="U43" s="31" t="n">
        <v>76.81999999999999</v>
      </c>
      <c r="V43" s="31" t="n">
        <v>75.33</v>
      </c>
      <c r="W43" s="31" t="n">
        <v>33.49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Headwind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3</t>
        </is>
      </c>
      <c r="BC43" s="30">
        <f>IF(BB43="Stage 2",20,IF(BB43="Stage 1",0,IF(BB43="Stage 3",5,IF(BB43="Stage 4",-5,0))))</f>
        <v/>
      </c>
      <c r="BD43" s="30" t="inlineStr">
        <is>
          <t>Negative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23</t>
        </is>
      </c>
      <c r="CG43" s="30">
        <f>IF(CF43&gt;20,10,IF(CF43&gt;=10,5,2))</f>
        <v/>
      </c>
    </row>
    <row r="44">
      <c r="A44" s="30">
        <f>IF(B44=0,"",RANK(B44,$B$2:$B$94,0))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KRISHANA</t>
        </is>
      </c>
      <c r="D44" s="30" t="inlineStr">
        <is>
          <t>Krishana Phoschem Ltd</t>
        </is>
      </c>
      <c r="E44" s="30" t="inlineStr">
        <is>
          <t>chemicals</t>
        </is>
      </c>
      <c r="F44" s="30" t="inlineStr">
        <is>
          <t>Fertilisers</t>
        </is>
      </c>
      <c r="G44" s="30" t="inlineStr">
        <is>
          <t>midcap</t>
        </is>
      </c>
      <c r="H44" s="31" t="n">
        <v>5678.56</v>
      </c>
      <c r="I44" s="31" t="n">
        <v>183.69</v>
      </c>
      <c r="J44" s="31" t="n">
        <v>2.81</v>
      </c>
      <c r="K44" s="31" t="n">
        <v>0</v>
      </c>
      <c r="L44" s="30" t="n">
        <v>80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74.86</v>
      </c>
      <c r="P44" s="31" t="n">
        <v>46.91</v>
      </c>
      <c r="Q44" s="31" t="inlineStr"/>
      <c r="R44" s="30" t="inlineStr">
        <is>
          <t>Earnings / Momentum Support</t>
        </is>
      </c>
      <c r="S44" s="30" t="inlineStr">
        <is>
          <t>Nifty 50</t>
        </is>
      </c>
      <c r="T44" s="31" t="n">
        <v>0.85</v>
      </c>
      <c r="U44" s="31" t="n">
        <v>74.06</v>
      </c>
      <c r="V44" s="31" t="n">
        <v>72.59</v>
      </c>
      <c r="W44" s="31" t="n">
        <v>18.62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No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3</t>
        </is>
      </c>
      <c r="BC44" s="30">
        <f>IF(BB44="Stage 2",20,IF(BB44="Stage 1",0,IF(BB44="Stage 3",5,IF(BB44="Stage 4",-5,0))))</f>
        <v/>
      </c>
      <c r="BD44" s="30" t="inlineStr">
        <is>
          <t>Negative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More than 1.2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22</t>
        </is>
      </c>
      <c r="CG44" s="30">
        <f>IF(CF44&gt;20,10,IF(CF44&gt;=10,5,2))</f>
        <v/>
      </c>
    </row>
    <row r="45">
      <c r="A45" s="30">
        <f>IF(B45=0,"",RANK(B45,$B$2:$B$94,0))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2" t="inlineStr">
        <is>
          <t>DPABHUSHAN</t>
        </is>
      </c>
      <c r="D45" s="32" t="inlineStr">
        <is>
          <t>DP Abhushan Ltd</t>
        </is>
      </c>
      <c r="E45" s="30" t="inlineStr">
        <is>
          <t>consumer discretionary</t>
        </is>
      </c>
      <c r="F45" s="30" t="inlineStr">
        <is>
          <t>Diamond, Gems &amp; Jewellery</t>
        </is>
      </c>
      <c r="G45" s="30" t="inlineStr">
        <is>
          <t>smallcap</t>
        </is>
      </c>
      <c r="H45" s="31" t="n">
        <v>3355.93</v>
      </c>
      <c r="I45" s="31" t="n">
        <v>1470.1</v>
      </c>
      <c r="J45" s="31" t="n">
        <v>1.85</v>
      </c>
      <c r="K45" s="31" t="n">
        <v>0</v>
      </c>
      <c r="L45" s="30" t="n">
        <v>36</v>
      </c>
      <c r="M45" s="30" t="inlineStr">
        <is>
          <t>Underperforming</t>
        </is>
      </c>
      <c r="N45" s="31">
        <f>IF(M45="Underperforming",-5,IF(L45&gt;=95,15,IF(L45&gt;=90,10,IF(L45&gt;=80,5,0))))</f>
        <v/>
      </c>
      <c r="O45" s="31" t="n">
        <v>66.48999999999999</v>
      </c>
      <c r="P45" s="31" t="n">
        <v>33.81</v>
      </c>
      <c r="Q45" s="31" t="inlineStr"/>
      <c r="R45" s="30" t="inlineStr">
        <is>
          <t>Earnings / Momentum Support</t>
        </is>
      </c>
      <c r="S45" s="30" t="inlineStr">
        <is>
          <t>Nifty 50</t>
        </is>
      </c>
      <c r="T45" s="31" t="n">
        <v>0.85</v>
      </c>
      <c r="U45" s="31" t="n">
        <v>-11.11</v>
      </c>
      <c r="V45" s="31" t="n">
        <v>-11.86</v>
      </c>
      <c r="W45" s="31" t="n">
        <v>5.09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No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3</t>
        </is>
      </c>
      <c r="BC45" s="30">
        <f>IF(BB45="Stage 2",20,IF(BB45="Stage 1",0,IF(BB45="Stage 3",5,IF(BB45="Stage 4",-5,0))))</f>
        <v/>
      </c>
      <c r="BD45" s="30" t="inlineStr">
        <is>
          <t>Negative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22</t>
        </is>
      </c>
      <c r="CG45" s="30">
        <f>IF(CF45&gt;20,10,IF(CF45&gt;=10,5,2))</f>
        <v/>
      </c>
    </row>
    <row r="46">
      <c r="A46" s="30">
        <f>IF(B46=0,"",RANK(B46,$B$2:$B$94,0))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LAURUSLABS</t>
        </is>
      </c>
      <c r="D46" s="30" t="inlineStr">
        <is>
          <t>Laurus Labs Ltd</t>
        </is>
      </c>
      <c r="E46" s="30" t="inlineStr">
        <is>
          <t>healthcare</t>
        </is>
      </c>
      <c r="F46" s="30" t="inlineStr">
        <is>
          <t>Pharma - API &amp; CRAMS</t>
        </is>
      </c>
      <c r="G46" s="30" t="inlineStr">
        <is>
          <t>largecap</t>
        </is>
      </c>
      <c r="H46" s="31" t="n">
        <v>100173.89</v>
      </c>
      <c r="I46" s="31" t="n">
        <v>1854</v>
      </c>
      <c r="J46" s="31" t="n">
        <v>0.53</v>
      </c>
      <c r="K46" s="31" t="n">
        <v>0</v>
      </c>
      <c r="L46" s="30" t="n">
        <v>92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86.31999999999999</v>
      </c>
      <c r="P46" s="31" t="n">
        <v>64.86</v>
      </c>
      <c r="Q46" s="31" t="inlineStr"/>
      <c r="R46" s="30" t="inlineStr">
        <is>
          <t>Earnings / Momentum Support</t>
        </is>
      </c>
      <c r="S46" s="30" t="inlineStr">
        <is>
          <t>Nifty Pharma</t>
        </is>
      </c>
      <c r="T46" s="31" t="n">
        <v>24.01</v>
      </c>
      <c r="U46" s="31" t="n">
        <v>124.82</v>
      </c>
      <c r="V46" s="31" t="n">
        <v>81.28</v>
      </c>
      <c r="W46" s="31" t="n">
        <v>29.21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No</t>
        </is>
      </c>
      <c r="AQ46" s="30">
        <f>IF(AP46="Yes",10,0)</f>
        <v/>
      </c>
      <c r="AR46" s="30" t="inlineStr">
        <is>
          <t>Higher Annuity, Lower One Time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3</t>
        </is>
      </c>
      <c r="BC46" s="30">
        <f>IF(BB46="Stage 2",20,IF(BB46="Stage 1",0,IF(BB46="Stage 3",5,IF(BB46="Stage 4",-5,0))))</f>
        <v/>
      </c>
      <c r="BD46" s="30" t="inlineStr">
        <is>
          <t>Negative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21</t>
        </is>
      </c>
      <c r="CG46" s="30">
        <f>IF(CF46&gt;20,10,IF(CF46&gt;=10,5,2))</f>
        <v/>
      </c>
    </row>
    <row r="47">
      <c r="A47" s="30">
        <f>IF(B47=0,"",RANK(B47,$B$2:$B$94,0))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JGCHEM</t>
        </is>
      </c>
      <c r="D47" s="30" t="inlineStr">
        <is>
          <t>JGChemicals Ltd</t>
        </is>
      </c>
      <c r="E47" s="30" t="inlineStr">
        <is>
          <t>chemicals</t>
        </is>
      </c>
      <c r="F47" s="30" t="inlineStr">
        <is>
          <t>Chemicals - Inorganic</t>
        </is>
      </c>
      <c r="G47" s="30" t="inlineStr">
        <is>
          <t>smallcap</t>
        </is>
      </c>
      <c r="H47" s="31" t="n">
        <v>2432.28</v>
      </c>
      <c r="I47" s="31" t="n">
        <v>620.7</v>
      </c>
      <c r="J47" s="31" t="n">
        <v>12.28</v>
      </c>
      <c r="K47" s="31" t="n">
        <v>0</v>
      </c>
      <c r="L47" s="30" t="n">
        <v>62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73.27</v>
      </c>
      <c r="P47" s="31" t="n">
        <v>30.33</v>
      </c>
      <c r="Q47" s="31" t="inlineStr"/>
      <c r="R47" s="30" t="inlineStr">
        <is>
          <t>Volume Spike / Accumulation</t>
        </is>
      </c>
      <c r="S47" s="30" t="inlineStr">
        <is>
          <t>Nifty 50</t>
        </is>
      </c>
      <c r="T47" s="31" t="n">
        <v>0.85</v>
      </c>
      <c r="U47" s="31" t="n">
        <v>15.33</v>
      </c>
      <c r="V47" s="31" t="n">
        <v>14.36</v>
      </c>
      <c r="W47" s="31" t="n">
        <v>11.43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Headwind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3</t>
        </is>
      </c>
      <c r="BC47" s="30">
        <f>IF(BB47="Stage 2",20,IF(BB47="Stage 1",0,IF(BB47="Stage 3",5,IF(BB47="Stage 4",-5,0))))</f>
        <v/>
      </c>
      <c r="BD47" s="30" t="inlineStr">
        <is>
          <t>Negative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Between 12 to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Between 50% to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25</t>
        </is>
      </c>
      <c r="CG47" s="30">
        <f>IF(CF47&gt;20,10,IF(CF47&gt;=10,5,2))</f>
        <v/>
      </c>
    </row>
    <row r="48">
      <c r="A48" s="30">
        <f>IF(B48=0,"",RANK(B48,$B$2:$B$94,0))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FIEMIND</t>
        </is>
      </c>
      <c r="D48" s="30" t="inlineStr">
        <is>
          <t>Fiem Industries Ltd</t>
        </is>
      </c>
      <c r="E48" s="30" t="inlineStr">
        <is>
          <t>auto</t>
        </is>
      </c>
      <c r="F48" s="30" t="inlineStr">
        <is>
          <t>Auto Ancillaries - 2&amp;3 Wheelers</t>
        </is>
      </c>
      <c r="G48" s="30" t="inlineStr">
        <is>
          <t>midcap</t>
        </is>
      </c>
      <c r="H48" s="31" t="n">
        <v>6680.46</v>
      </c>
      <c r="I48" s="31" t="n">
        <v>2538.2</v>
      </c>
      <c r="J48" s="31" t="n">
        <v>-1.63</v>
      </c>
      <c r="K48" s="31" t="n">
        <v>0</v>
      </c>
      <c r="L48" s="30" t="n">
        <v>27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72.02</v>
      </c>
      <c r="P48" s="31" t="n">
        <v>26.78</v>
      </c>
      <c r="Q48" s="31" t="inlineStr"/>
      <c r="R48" s="30" t="inlineStr">
        <is>
          <t>Earnings / Momentum Support</t>
        </is>
      </c>
      <c r="S48" s="30" t="inlineStr">
        <is>
          <t>Nifty Auto</t>
        </is>
      </c>
      <c r="T48" s="31" t="n">
        <v>13.41</v>
      </c>
      <c r="U48" s="31" t="n">
        <v>15.26</v>
      </c>
      <c r="V48" s="31" t="n">
        <v>1.62</v>
      </c>
      <c r="W48" s="31" t="n">
        <v>3.12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No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3</t>
        </is>
      </c>
      <c r="BC48" s="30">
        <f>IF(BB48="Stage 2",20,IF(BB48="Stage 1",0,IF(BB48="Stage 3",5,IF(BB48="Stage 4",-5,0))))</f>
        <v/>
      </c>
      <c r="BD48" s="30" t="inlineStr">
        <is>
          <t>Negative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25</t>
        </is>
      </c>
      <c r="CG48" s="30">
        <f>IF(CF48&gt;20,10,IF(CF48&gt;=10,5,2))</f>
        <v/>
      </c>
    </row>
    <row r="49">
      <c r="A49" s="30">
        <f>IF(B49=0,"",RANK(B49,$B$2:$B$94,0))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GHCLTEXTIL</t>
        </is>
      </c>
      <c r="D49" s="30" t="inlineStr">
        <is>
          <t>GHCL Textiles Ltd</t>
        </is>
      </c>
      <c r="E49" s="30" t="inlineStr">
        <is>
          <t>textiles</t>
        </is>
      </c>
      <c r="F49" s="30" t="inlineStr">
        <is>
          <t>Textiles - General</t>
        </is>
      </c>
      <c r="G49" s="30" t="inlineStr">
        <is>
          <t>smallcap</t>
        </is>
      </c>
      <c r="H49" s="31" t="n">
        <v>1152.67</v>
      </c>
      <c r="I49" s="31" t="n">
        <v>120.59</v>
      </c>
      <c r="J49" s="31" t="n">
        <v>-0.82</v>
      </c>
      <c r="K49" s="31" t="n">
        <v>0</v>
      </c>
      <c r="L49" s="30" t="n">
        <v>76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73.19</v>
      </c>
      <c r="P49" s="31" t="n">
        <v>32.9</v>
      </c>
      <c r="Q49" s="31" t="inlineStr"/>
      <c r="R49" s="30" t="inlineStr">
        <is>
          <t>Earnings / Momentum Support</t>
        </is>
      </c>
      <c r="S49" s="30" t="inlineStr">
        <is>
          <t>Nifty 50</t>
        </is>
      </c>
      <c r="T49" s="31" t="n">
        <v>0.85</v>
      </c>
      <c r="U49" s="31" t="n">
        <v>53.55</v>
      </c>
      <c r="V49" s="31" t="n">
        <v>52.25</v>
      </c>
      <c r="W49" s="31" t="n">
        <v>16.52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Headwind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3</t>
        </is>
      </c>
      <c r="BC49" s="30">
        <f>IF(BB49="Stage 2",20,IF(BB49="Stage 1",0,IF(BB49="Stage 3",5,IF(BB49="Stage 4",-5,0))))</f>
        <v/>
      </c>
      <c r="BD49" s="30" t="inlineStr">
        <is>
          <t>Negative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22</t>
        </is>
      </c>
      <c r="CG49" s="30">
        <f>IF(CF49&gt;20,10,IF(CF49&gt;=10,5,2))</f>
        <v/>
      </c>
    </row>
    <row r="50">
      <c r="A50" s="30">
        <f>IF(B50=0,"",RANK(B50,$B$2:$B$94,0))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THELEELA</t>
        </is>
      </c>
      <c r="D50" s="30" t="inlineStr">
        <is>
          <t>Leela Palaces Hotels &amp; Resorts Ltd</t>
        </is>
      </c>
      <c r="E50" s="30" t="inlineStr">
        <is>
          <t>services</t>
        </is>
      </c>
      <c r="F50" s="30" t="inlineStr">
        <is>
          <t>Hotels</t>
        </is>
      </c>
      <c r="G50" s="30" t="inlineStr">
        <is>
          <t>midcap</t>
        </is>
      </c>
      <c r="H50" s="31" t="n">
        <v>16891.59</v>
      </c>
      <c r="I50" s="31" t="n">
        <v>505.8</v>
      </c>
      <c r="J50" s="31" t="n">
        <v>-2.36</v>
      </c>
      <c r="K50" s="31" t="n">
        <v>0</v>
      </c>
      <c r="L50" s="30" t="n">
        <v>52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65.38</v>
      </c>
      <c r="P50" s="31" t="n">
        <v>26.46</v>
      </c>
      <c r="Q50" s="31" t="inlineStr"/>
      <c r="R50" s="30" t="inlineStr">
        <is>
          <t>Earnings / Momentum Support</t>
        </is>
      </c>
      <c r="S50" s="30" t="inlineStr">
        <is>
          <t>Nifty 50</t>
        </is>
      </c>
      <c r="T50" s="31" t="n">
        <v>0.85</v>
      </c>
      <c r="U50" s="31" t="n">
        <v>19.18</v>
      </c>
      <c r="V50" s="31" t="n">
        <v>18.17</v>
      </c>
      <c r="W50" s="31" t="n">
        <v>8.42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3</t>
        </is>
      </c>
      <c r="BC50" s="30">
        <f>IF(BB50="Stage 2",20,IF(BB50="Stage 1",0,IF(BB50="Stage 3",5,IF(BB50="Stage 4",-5,0))))</f>
        <v/>
      </c>
      <c r="BD50" s="30" t="inlineStr">
        <is>
          <t>Negative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21</t>
        </is>
      </c>
      <c r="CG50" s="30">
        <f>IF(CF50&gt;20,10,IF(CF50&gt;=10,5,2))</f>
        <v/>
      </c>
    </row>
    <row r="51">
      <c r="A51" s="30">
        <f>IF(B51=0,"",RANK(B51,$B$2:$B$94,0))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UFBL</t>
        </is>
      </c>
      <c r="D51" s="30" t="inlineStr">
        <is>
          <t>United Foodbrands Ltd</t>
        </is>
      </c>
      <c r="E51" s="30" t="inlineStr">
        <is>
          <t>consumer discretionary</t>
        </is>
      </c>
      <c r="F51" s="30" t="inlineStr">
        <is>
          <t>Quick Service Restaurant - QSR</t>
        </is>
      </c>
      <c r="G51" s="30" t="inlineStr">
        <is>
          <t>smallcap</t>
        </is>
      </c>
      <c r="H51" s="31" t="n">
        <v>3120.02</v>
      </c>
      <c r="I51" s="31" t="n">
        <v>797.6</v>
      </c>
      <c r="J51" s="31" t="n">
        <v>-1.24</v>
      </c>
      <c r="K51" s="31" t="n">
        <v>0</v>
      </c>
      <c r="L51" s="30" t="n">
        <v>98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79.8</v>
      </c>
      <c r="P51" s="31" t="n">
        <v>56.26</v>
      </c>
      <c r="Q51" s="31" t="inlineStr"/>
      <c r="R51" s="30" t="inlineStr">
        <is>
          <t>Earnings / Momentum Support</t>
        </is>
      </c>
      <c r="S51" s="30" t="inlineStr">
        <is>
          <t>Nifty 50</t>
        </is>
      </c>
      <c r="T51" s="31" t="n">
        <v>0.85</v>
      </c>
      <c r="U51" s="31" t="n">
        <v>218.89</v>
      </c>
      <c r="V51" s="31" t="n">
        <v>216.2</v>
      </c>
      <c r="W51" s="31" t="n">
        <v>55.72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No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3</t>
        </is>
      </c>
      <c r="BC51" s="30">
        <f>IF(BB51="Stage 2",20,IF(BB51="Stage 1",0,IF(BB51="Stage 3",5,IF(BB51="Stage 4",-5,0))))</f>
        <v/>
      </c>
      <c r="BD51" s="30" t="inlineStr">
        <is>
          <t>Negative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Between 1.5 to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More than 1.2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20</t>
        </is>
      </c>
      <c r="CG51" s="30">
        <f>IF(CF51&gt;20,10,IF(CF51&gt;=10,5,2))</f>
        <v/>
      </c>
    </row>
    <row r="52">
      <c r="A52" s="30">
        <f>IF(B52=0,"",RANK(B52,$B$2:$B$94,0))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MPSLTD</t>
        </is>
      </c>
      <c r="D52" s="30" t="inlineStr">
        <is>
          <t>MPS Ltd</t>
        </is>
      </c>
      <c r="E52" s="30" t="inlineStr">
        <is>
          <t>i.t</t>
        </is>
      </c>
      <c r="F52" s="30" t="inlineStr">
        <is>
          <t>E-Commerce - Platform - Utility</t>
        </is>
      </c>
      <c r="G52" s="30" t="inlineStr">
        <is>
          <t>smallcap</t>
        </is>
      </c>
      <c r="H52" s="31" t="n">
        <v>4899.11</v>
      </c>
      <c r="I52" s="31" t="n">
        <v>2864</v>
      </c>
      <c r="J52" s="31" t="n">
        <v>-2.29</v>
      </c>
      <c r="K52" s="31" t="n">
        <v>0</v>
      </c>
      <c r="L52" s="30" t="n">
        <v>88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77.15000000000001</v>
      </c>
      <c r="P52" s="31" t="n">
        <v>34.97</v>
      </c>
      <c r="Q52" s="31" t="inlineStr"/>
      <c r="R52" s="30" t="inlineStr">
        <is>
          <t>Earnings / Momentum Support</t>
        </is>
      </c>
      <c r="S52" s="30" t="inlineStr">
        <is>
          <t>Nifty IT</t>
        </is>
      </c>
      <c r="T52" s="31" t="n">
        <v>-8.289999999999999</v>
      </c>
      <c r="U52" s="31" t="n">
        <v>32.1</v>
      </c>
      <c r="V52" s="31" t="n">
        <v>44.03</v>
      </c>
      <c r="W52" s="31" t="n">
        <v>24.58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Oligopoly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3</t>
        </is>
      </c>
      <c r="BC52" s="30">
        <f>IF(BB52="Stage 2",20,IF(BB52="Stage 1",0,IF(BB52="Stage 3",5,IF(BB52="Stage 4",-5,0))))</f>
        <v/>
      </c>
      <c r="BD52" s="30" t="inlineStr">
        <is>
          <t>Negative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20</t>
        </is>
      </c>
      <c r="CG52" s="30">
        <f>IF(CF52&gt;20,10,IF(CF52&gt;=10,5,2))</f>
        <v/>
      </c>
    </row>
    <row r="53">
      <c r="A53" s="30">
        <f>IF(B53=0,"",RANK(B53,$B$2:$B$94,0))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TATVA</t>
        </is>
      </c>
      <c r="D53" s="30" t="inlineStr">
        <is>
          <t>Tatva Chintan Pharma Chem Ltd</t>
        </is>
      </c>
      <c r="E53" s="30" t="inlineStr">
        <is>
          <t>chemicals</t>
        </is>
      </c>
      <c r="F53" s="30" t="inlineStr">
        <is>
          <t>Speciality Chemicals</t>
        </is>
      </c>
      <c r="G53" s="30" t="inlineStr">
        <is>
          <t>smallcap</t>
        </is>
      </c>
      <c r="H53" s="31" t="n">
        <v>4159.11</v>
      </c>
      <c r="I53" s="31" t="n">
        <v>1778</v>
      </c>
      <c r="J53" s="31" t="n">
        <v>3.44</v>
      </c>
      <c r="K53" s="31" t="n">
        <v>0</v>
      </c>
      <c r="L53" s="30" t="n">
        <v>80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70.45999999999999</v>
      </c>
      <c r="P53" s="31" t="n">
        <v>26.15</v>
      </c>
      <c r="Q53" s="31" t="inlineStr"/>
      <c r="R53" s="30" t="inlineStr">
        <is>
          <t>Earnings / Momentum Support</t>
        </is>
      </c>
      <c r="S53" s="30" t="inlineStr">
        <is>
          <t>Nifty 50</t>
        </is>
      </c>
      <c r="T53" s="31" t="n">
        <v>0.85</v>
      </c>
      <c r="U53" s="31" t="n">
        <v>65.09999999999999</v>
      </c>
      <c r="V53" s="31" t="n">
        <v>63.71</v>
      </c>
      <c r="W53" s="31" t="n">
        <v>18.56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No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3</t>
        </is>
      </c>
      <c r="BC53" s="30">
        <f>IF(BB53="Stage 2",20,IF(BB53="Stage 1",0,IF(BB53="Stage 3",5,IF(BB53="Stage 4",-5,0))))</f>
        <v/>
      </c>
      <c r="BD53" s="30" t="inlineStr">
        <is>
          <t>Negative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19</t>
        </is>
      </c>
      <c r="CG53" s="30">
        <f>IF(CF53&gt;20,10,IF(CF53&gt;=10,5,2))</f>
        <v/>
      </c>
    </row>
    <row r="54">
      <c r="A54" s="30">
        <f>IF(B54=0,"",RANK(B54,$B$2:$B$94,0))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NEULANDLAB</t>
        </is>
      </c>
      <c r="D54" s="30" t="inlineStr">
        <is>
          <t>Neuland Laboratories Ltd</t>
        </is>
      </c>
      <c r="E54" s="30" t="inlineStr">
        <is>
          <t>healthcare</t>
        </is>
      </c>
      <c r="F54" s="30" t="inlineStr">
        <is>
          <t>Pharma - API &amp; CRAMS</t>
        </is>
      </c>
      <c r="G54" s="30" t="inlineStr">
        <is>
          <t>largecap</t>
        </is>
      </c>
      <c r="H54" s="31" t="n">
        <v>28545.22</v>
      </c>
      <c r="I54" s="31" t="n">
        <v>22249</v>
      </c>
      <c r="J54" s="31" t="n">
        <v>-2.65</v>
      </c>
      <c r="K54" s="31" t="n">
        <v>0</v>
      </c>
      <c r="L54" s="30" t="n">
        <v>82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76.62</v>
      </c>
      <c r="P54" s="31" t="n">
        <v>52.39</v>
      </c>
      <c r="Q54" s="31" t="inlineStr"/>
      <c r="R54" s="30" t="inlineStr">
        <is>
          <t>Earnings / Momentum Support</t>
        </is>
      </c>
      <c r="S54" s="30" t="inlineStr">
        <is>
          <t>Nifty Pharma</t>
        </is>
      </c>
      <c r="T54" s="31" t="n">
        <v>24.01</v>
      </c>
      <c r="U54" s="31" t="n">
        <v>74.8</v>
      </c>
      <c r="V54" s="31" t="n">
        <v>40.95</v>
      </c>
      <c r="W54" s="31" t="n">
        <v>20.8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No</t>
        </is>
      </c>
      <c r="AQ54" s="30">
        <f>IF(AP54="Yes",10,0)</f>
        <v/>
      </c>
      <c r="AR54" s="30" t="inlineStr">
        <is>
          <t>Higher Annuity, Lower One Time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3</t>
        </is>
      </c>
      <c r="BC54" s="30">
        <f>IF(BB54="Stage 2",20,IF(BB54="Stage 1",0,IF(BB54="Stage 3",5,IF(BB54="Stage 4",-5,0))))</f>
        <v/>
      </c>
      <c r="BD54" s="30" t="inlineStr">
        <is>
          <t>Negative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24</t>
        </is>
      </c>
      <c r="CG54" s="30">
        <f>IF(CF54&gt;20,10,IF(CF54&gt;=10,5,2))</f>
        <v/>
      </c>
    </row>
    <row r="55">
      <c r="A55" s="30">
        <f>IF(B55=0,"",RANK(B55,$B$2:$B$94,0))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COFORGE</t>
        </is>
      </c>
      <c r="D55" s="30" t="inlineStr">
        <is>
          <t>Coforge Ltd</t>
        </is>
      </c>
      <c r="E55" s="30" t="inlineStr">
        <is>
          <t>i.t</t>
        </is>
      </c>
      <c r="F55" s="30" t="inlineStr">
        <is>
          <t>IT - Software</t>
        </is>
      </c>
      <c r="G55" s="30" t="inlineStr">
        <is>
          <t>largecap</t>
        </is>
      </c>
      <c r="H55" s="31" t="n">
        <v>80168.61</v>
      </c>
      <c r="I55" s="31" t="n">
        <v>1810</v>
      </c>
      <c r="J55" s="31" t="n">
        <v>1.91</v>
      </c>
      <c r="K55" s="31" t="n">
        <v>0</v>
      </c>
      <c r="L55" s="30" t="n">
        <v>56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66.70999999999999</v>
      </c>
      <c r="P55" s="31" t="n">
        <v>11.14</v>
      </c>
      <c r="Q55" s="31" t="inlineStr"/>
      <c r="R55" s="30" t="inlineStr">
        <is>
          <t>Earnings / Momentum Support</t>
        </is>
      </c>
      <c r="S55" s="30" t="inlineStr">
        <is>
          <t>Nifty IT</t>
        </is>
      </c>
      <c r="T55" s="31" t="n">
        <v>-8.289999999999999</v>
      </c>
      <c r="U55" s="31" t="n">
        <v>11.55</v>
      </c>
      <c r="V55" s="31" t="n">
        <v>21.63</v>
      </c>
      <c r="W55" s="31" t="n">
        <v>9.380000000000001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No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0 to 20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3</t>
        </is>
      </c>
      <c r="BC55" s="30">
        <f>IF(BB55="Stage 2",20,IF(BB55="Stage 1",0,IF(BB55="Stage 3",5,IF(BB55="Stage 4",-5,0))))</f>
        <v/>
      </c>
      <c r="BD55" s="30" t="inlineStr">
        <is>
          <t>Negative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21</t>
        </is>
      </c>
      <c r="CG55" s="30">
        <f>IF(CF55&gt;20,10,IF(CF55&gt;=10,5,2))</f>
        <v/>
      </c>
    </row>
    <row r="56">
      <c r="A56" s="30">
        <f>IF(B56=0,"",RANK(B56,$B$2:$B$94,0))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MACPOWER</t>
        </is>
      </c>
      <c r="D56" s="30" t="inlineStr">
        <is>
          <t>Macpower CNC Machines Ltd</t>
        </is>
      </c>
      <c r="E56" s="30" t="inlineStr">
        <is>
          <t>industrials</t>
        </is>
      </c>
      <c r="F56" s="30" t="inlineStr">
        <is>
          <t>CNC - Machines</t>
        </is>
      </c>
      <c r="G56" s="30" t="inlineStr">
        <is>
          <t>smallcap</t>
        </is>
      </c>
      <c r="H56" s="31" t="n">
        <v>1837.96</v>
      </c>
      <c r="I56" s="31" t="n">
        <v>1837.2</v>
      </c>
      <c r="J56" s="31" t="n">
        <v>9.289999999999999</v>
      </c>
      <c r="K56" s="31" t="n">
        <v>0</v>
      </c>
      <c r="L56" s="30" t="n">
        <v>89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73.51000000000001</v>
      </c>
      <c r="P56" s="31" t="n">
        <v>30.88</v>
      </c>
      <c r="Q56" s="31" t="inlineStr"/>
      <c r="R56" s="30" t="inlineStr">
        <is>
          <t>Earnings / Momentum Support</t>
        </is>
      </c>
      <c r="S56" s="30" t="inlineStr">
        <is>
          <t>Nifty 50</t>
        </is>
      </c>
      <c r="T56" s="31" t="n">
        <v>0.85</v>
      </c>
      <c r="U56" s="31" t="n">
        <v>105.66</v>
      </c>
      <c r="V56" s="31" t="n">
        <v>103.92</v>
      </c>
      <c r="W56" s="31" t="n">
        <v>24.91</v>
      </c>
      <c r="X56" s="30" t="inlineStr">
        <is>
          <t>Cyclical in an Upturn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Headwind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3</t>
        </is>
      </c>
      <c r="BC56" s="30">
        <f>IF(BB56="Stage 2",20,IF(BB56="Stage 1",0,IF(BB56="Stage 3",5,IF(BB56="Stage 4",-5,0))))</f>
        <v/>
      </c>
      <c r="BD56" s="30" t="inlineStr">
        <is>
          <t>Negative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28</t>
        </is>
      </c>
      <c r="CG56" s="30">
        <f>IF(CF56&gt;20,10,IF(CF56&gt;=10,5,2))</f>
        <v/>
      </c>
    </row>
    <row r="57">
      <c r="A57" s="30">
        <f>IF(B57=0,"",RANK(B57,$B$2:$B$94,0))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KALYANKJIL</t>
        </is>
      </c>
      <c r="D57" s="30" t="inlineStr">
        <is>
          <t>Kalyan Jewellers India Ltd</t>
        </is>
      </c>
      <c r="E57" s="30" t="inlineStr">
        <is>
          <t>consumer discretionary</t>
        </is>
      </c>
      <c r="F57" s="30" t="inlineStr">
        <is>
          <t>Diamond, Gems &amp; Jewellery</t>
        </is>
      </c>
      <c r="G57" s="30" t="inlineStr">
        <is>
          <t>largecap</t>
        </is>
      </c>
      <c r="H57" s="31" t="n">
        <v>61990.88</v>
      </c>
      <c r="I57" s="31" t="n">
        <v>600.25</v>
      </c>
      <c r="J57" s="31" t="n">
        <v>-1</v>
      </c>
      <c r="K57" s="31" t="n">
        <v>0</v>
      </c>
      <c r="L57" s="30" t="n">
        <v>68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71.68000000000001</v>
      </c>
      <c r="P57" s="31" t="n">
        <v>33.13</v>
      </c>
      <c r="Q57" s="31" t="inlineStr"/>
      <c r="R57" s="30" t="inlineStr">
        <is>
          <t>Earnings / Momentum Support</t>
        </is>
      </c>
      <c r="S57" s="30" t="inlineStr">
        <is>
          <t>Nifty 50</t>
        </is>
      </c>
      <c r="T57" s="31" t="n">
        <v>0.85</v>
      </c>
      <c r="U57" s="31" t="n">
        <v>15.14</v>
      </c>
      <c r="V57" s="31" t="n">
        <v>14.17</v>
      </c>
      <c r="W57" s="31" t="n">
        <v>13.76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No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3</t>
        </is>
      </c>
      <c r="BC57" s="30">
        <f>IF(BB57="Stage 2",20,IF(BB57="Stage 1",0,IF(BB57="Stage 3",5,IF(BB57="Stage 4",-5,0))))</f>
        <v/>
      </c>
      <c r="BD57" s="30" t="inlineStr">
        <is>
          <t>Negative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Between 0.7 to 1.2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23</t>
        </is>
      </c>
      <c r="CG57" s="30">
        <f>IF(CF57&gt;20,10,IF(CF57&gt;=10,5,2))</f>
        <v/>
      </c>
    </row>
    <row r="58">
      <c r="A58" s="30">
        <f>IF(B58=0,"",RANK(B58,$B$2:$B$94,0))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2" t="inlineStr">
        <is>
          <t>ARVSMART</t>
        </is>
      </c>
      <c r="D58" s="32" t="inlineStr">
        <is>
          <t>Arvind SmartSpaces Ltd</t>
        </is>
      </c>
      <c r="E58" s="30" t="inlineStr">
        <is>
          <t>realty</t>
        </is>
      </c>
      <c r="F58" s="30" t="inlineStr">
        <is>
          <t>Realty - Construction &amp; Contracting</t>
        </is>
      </c>
      <c r="G58" s="30" t="inlineStr">
        <is>
          <t>smallcap</t>
        </is>
      </c>
      <c r="H58" s="31" t="n">
        <v>2992.82</v>
      </c>
      <c r="I58" s="31" t="n">
        <v>652.5</v>
      </c>
      <c r="J58" s="31" t="n">
        <v>0.27</v>
      </c>
      <c r="K58" s="31" t="n">
        <v>0</v>
      </c>
      <c r="L58" s="30" t="n">
        <v>8</v>
      </c>
      <c r="M58" s="30" t="inlineStr">
        <is>
          <t>Underperforming</t>
        </is>
      </c>
      <c r="N58" s="31">
        <f>IF(M58="Underperforming",-5,IF(L58&gt;=95,15,IF(L58&gt;=90,10,IF(L58&gt;=80,5,0))))</f>
        <v/>
      </c>
      <c r="O58" s="31" t="n">
        <v>59.85</v>
      </c>
      <c r="P58" s="31" t="n">
        <v>25.99</v>
      </c>
      <c r="Q58" s="31" t="inlineStr"/>
      <c r="R58" s="30" t="inlineStr">
        <is>
          <t>Earnings / Momentum Support</t>
        </is>
      </c>
      <c r="S58" s="30" t="inlineStr">
        <is>
          <t>Nifty Realty</t>
        </is>
      </c>
      <c r="T58" s="31" t="n">
        <v>-8.119999999999999</v>
      </c>
      <c r="U58" s="31" t="n">
        <v>-9.24</v>
      </c>
      <c r="V58" s="31" t="n">
        <v>-1.22</v>
      </c>
      <c r="W58" s="31" t="n">
        <v>-1.71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No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3</t>
        </is>
      </c>
      <c r="BC58" s="30">
        <f>IF(BB58="Stage 2",20,IF(BB58="Stage 1",0,IF(BB58="Stage 3",5,IF(BB58="Stage 4",-5,0))))</f>
        <v/>
      </c>
      <c r="BD58" s="30" t="inlineStr">
        <is>
          <t>Negative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22</t>
        </is>
      </c>
      <c r="CG58" s="30">
        <f>IF(CF58&gt;20,10,IF(CF58&gt;=10,5,2))</f>
        <v/>
      </c>
    </row>
    <row r="59">
      <c r="A59" s="30">
        <f>IF(B59=0,"",RANK(B59,$B$2:$B$94,0))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RRKABEL</t>
        </is>
      </c>
      <c r="D59" s="30" t="inlineStr">
        <is>
          <t>R R Kabel Ltd</t>
        </is>
      </c>
      <c r="E59" s="30" t="inlineStr">
        <is>
          <t>industrials</t>
        </is>
      </c>
      <c r="F59" s="30" t="inlineStr">
        <is>
          <t>Cables - Power</t>
        </is>
      </c>
      <c r="G59" s="30" t="inlineStr">
        <is>
          <t>largecap</t>
        </is>
      </c>
      <c r="H59" s="31" t="n">
        <v>31183.19</v>
      </c>
      <c r="I59" s="31" t="n">
        <v>2757</v>
      </c>
      <c r="J59" s="31" t="n">
        <v>-0.09</v>
      </c>
      <c r="K59" s="31" t="n">
        <v>0</v>
      </c>
      <c r="L59" s="30" t="n">
        <v>85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76.97</v>
      </c>
      <c r="P59" s="31" t="n">
        <v>67.18000000000001</v>
      </c>
      <c r="Q59" s="31" t="inlineStr"/>
      <c r="R59" s="30" t="inlineStr">
        <is>
          <t>Earnings / Momentum Support</t>
        </is>
      </c>
      <c r="S59" s="30" t="inlineStr">
        <is>
          <t>Nifty Energy</t>
        </is>
      </c>
      <c r="T59" s="31" t="n">
        <v>8.41</v>
      </c>
      <c r="U59" s="31" t="n">
        <v>56.69</v>
      </c>
      <c r="V59" s="31" t="n">
        <v>44.54</v>
      </c>
      <c r="W59" s="31" t="n">
        <v>22.92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3</t>
        </is>
      </c>
      <c r="BC59" s="30">
        <f>IF(BB59="Stage 2",20,IF(BB59="Stage 1",0,IF(BB59="Stage 3",5,IF(BB59="Stage 4",-5,0))))</f>
        <v/>
      </c>
      <c r="BD59" s="30" t="inlineStr">
        <is>
          <t>Negative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21</t>
        </is>
      </c>
      <c r="CG59" s="30">
        <f>IF(CF59&gt;20,10,IF(CF59&gt;=10,5,2))</f>
        <v/>
      </c>
    </row>
    <row r="60">
      <c r="A60" s="30">
        <f>IF(B60=0,"",RANK(B60,$B$2:$B$94,0))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CRAFTSMAN</t>
        </is>
      </c>
      <c r="D60" s="30" t="inlineStr">
        <is>
          <t>Craftsman Automation Ltd</t>
        </is>
      </c>
      <c r="E60" s="30" t="inlineStr">
        <is>
          <t>auto</t>
        </is>
      </c>
      <c r="F60" s="30" t="inlineStr">
        <is>
          <t>Auto &amp; Auto Ancl - CV</t>
        </is>
      </c>
      <c r="G60" s="30" t="inlineStr">
        <is>
          <t>largecap</t>
        </is>
      </c>
      <c r="H60" s="31" t="n">
        <v>26886.76</v>
      </c>
      <c r="I60" s="31" t="n">
        <v>10280</v>
      </c>
      <c r="J60" s="31" t="n">
        <v>-1.94</v>
      </c>
      <c r="K60" s="31" t="n">
        <v>0</v>
      </c>
      <c r="L60" s="30" t="n">
        <v>62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70.84</v>
      </c>
      <c r="P60" s="31" t="n">
        <v>62.44</v>
      </c>
      <c r="Q60" s="31" t="inlineStr"/>
      <c r="R60" s="30" t="inlineStr">
        <is>
          <t>Earnings / Momentum Support</t>
        </is>
      </c>
      <c r="S60" s="30" t="inlineStr">
        <is>
          <t>Nifty Auto</t>
        </is>
      </c>
      <c r="T60" s="31" t="n">
        <v>13.41</v>
      </c>
      <c r="U60" s="31" t="n">
        <v>42.38</v>
      </c>
      <c r="V60" s="31" t="n">
        <v>25.54</v>
      </c>
      <c r="W60" s="31" t="n">
        <v>11.32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3</t>
        </is>
      </c>
      <c r="BC60" s="30">
        <f>IF(BB60="Stage 2",20,IF(BB60="Stage 1",0,IF(BB60="Stage 3",5,IF(BB60="Stage 4",-5,0))))</f>
        <v/>
      </c>
      <c r="BD60" s="30" t="inlineStr">
        <is>
          <t>Negative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Between 0.7 to 1.2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21</t>
        </is>
      </c>
      <c r="CG60" s="30">
        <f>IF(CF60&gt;20,10,IF(CF60&gt;=10,5,2))</f>
        <v/>
      </c>
    </row>
    <row r="61">
      <c r="A61" s="30">
        <f>IF(B61=0,"",RANK(B61,$B$2:$B$94,0))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MAHLIFE</t>
        </is>
      </c>
      <c r="D61" s="30" t="inlineStr">
        <is>
          <t>Mahindra Lifespace Developers Ltd</t>
        </is>
      </c>
      <c r="E61" s="30" t="inlineStr">
        <is>
          <t>realty</t>
        </is>
      </c>
      <c r="F61" s="30" t="inlineStr">
        <is>
          <t>Construction &amp; Contracting</t>
        </is>
      </c>
      <c r="G61" s="30" t="inlineStr">
        <is>
          <t>midcap</t>
        </is>
      </c>
      <c r="H61" s="31" t="n">
        <v>8251.16</v>
      </c>
      <c r="I61" s="31" t="n">
        <v>386.7</v>
      </c>
      <c r="J61" s="31" t="n">
        <v>0.04</v>
      </c>
      <c r="K61" s="31" t="n">
        <v>0</v>
      </c>
      <c r="L61" s="30" t="n">
        <v>28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60.45</v>
      </c>
      <c r="P61" s="31" t="n">
        <v>15.67</v>
      </c>
      <c r="Q61" s="31" t="inlineStr"/>
      <c r="R61" s="30" t="inlineStr">
        <is>
          <t>Earnings / Momentum Support</t>
        </is>
      </c>
      <c r="S61" s="30" t="inlineStr">
        <is>
          <t>Nifty Realty</t>
        </is>
      </c>
      <c r="T61" s="31" t="n">
        <v>-8.119999999999999</v>
      </c>
      <c r="U61" s="31" t="n">
        <v>-1.54</v>
      </c>
      <c r="V61" s="31" t="n">
        <v>7.16</v>
      </c>
      <c r="W61" s="31" t="n">
        <v>3.28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Headwind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No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0 to 20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3</t>
        </is>
      </c>
      <c r="BC61" s="30">
        <f>IF(BB61="Stage 2",20,IF(BB61="Stage 1",0,IF(BB61="Stage 3",5,IF(BB61="Stage 4",-5,0))))</f>
        <v/>
      </c>
      <c r="BD61" s="30" t="inlineStr">
        <is>
          <t>Negative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20</t>
        </is>
      </c>
      <c r="CG61" s="30">
        <f>IF(CF61&gt;20,10,IF(CF61&gt;=10,5,2))</f>
        <v/>
      </c>
    </row>
    <row r="62">
      <c r="A62" s="30">
        <f>IF(B62=0,"",RANK(B62,$B$2:$B$94,0))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KMEW</t>
        </is>
      </c>
      <c r="D62" s="30" t="inlineStr">
        <is>
          <t>Knowledge Marine &amp; Engineering Works Ltd</t>
        </is>
      </c>
      <c r="E62" s="30" t="inlineStr">
        <is>
          <t>transportation</t>
        </is>
      </c>
      <c r="F62" s="30" t="inlineStr">
        <is>
          <t>Shipping</t>
        </is>
      </c>
      <c r="G62" s="30" t="inlineStr">
        <is>
          <t>midcap</t>
        </is>
      </c>
      <c r="H62" s="31" t="n">
        <v>6607.4</v>
      </c>
      <c r="I62" s="31" t="n">
        <v>2605</v>
      </c>
      <c r="J62" s="31" t="n">
        <v>3.22</v>
      </c>
      <c r="K62" s="31" t="n">
        <v>0</v>
      </c>
      <c r="L62" s="30" t="n">
        <v>93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73.19</v>
      </c>
      <c r="P62" s="31" t="n">
        <v>50.07</v>
      </c>
      <c r="Q62" s="31" t="inlineStr"/>
      <c r="R62" s="30" t="inlineStr">
        <is>
          <t>Earnings / Momentum Support</t>
        </is>
      </c>
      <c r="S62" s="30" t="inlineStr">
        <is>
          <t>Nifty 50</t>
        </is>
      </c>
      <c r="T62" s="31" t="n">
        <v>0.85</v>
      </c>
      <c r="U62" s="31" t="n">
        <v>210.39</v>
      </c>
      <c r="V62" s="31" t="n">
        <v>207.77</v>
      </c>
      <c r="W62" s="31" t="n">
        <v>30.85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3</t>
        </is>
      </c>
      <c r="BC62" s="30">
        <f>IF(BB62="Stage 2",20,IF(BB62="Stage 1",0,IF(BB62="Stage 3",5,IF(BB62="Stage 4",-5,0))))</f>
        <v/>
      </c>
      <c r="BD62" s="30" t="inlineStr">
        <is>
          <t>Negative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Negative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19</t>
        </is>
      </c>
      <c r="CG62" s="30">
        <f>IF(CF62&gt;20,10,IF(CF62&gt;=10,5,2))</f>
        <v/>
      </c>
    </row>
    <row r="63">
      <c r="A63" s="30">
        <f>IF(B63=0,"",RANK(B63,$B$2:$B$94,0))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UNIMECH</t>
        </is>
      </c>
      <c r="D63" s="30" t="inlineStr">
        <is>
          <t>Unimech Aerospace and Manufacturing Ltd</t>
        </is>
      </c>
      <c r="E63" s="30" t="inlineStr">
        <is>
          <t>aerospace &amp; defence</t>
        </is>
      </c>
      <c r="F63" s="30" t="inlineStr">
        <is>
          <t>Engineering - Heavy - General</t>
        </is>
      </c>
      <c r="G63" s="30" t="inlineStr">
        <is>
          <t>midcap</t>
        </is>
      </c>
      <c r="H63" s="31" t="n">
        <v>7406.24</v>
      </c>
      <c r="I63" s="31" t="n">
        <v>1455</v>
      </c>
      <c r="J63" s="31" t="n">
        <v>0.57</v>
      </c>
      <c r="K63" s="31" t="n">
        <v>0</v>
      </c>
      <c r="L63" s="30" t="n">
        <v>73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73.31999999999999</v>
      </c>
      <c r="P63" s="31" t="n">
        <v>33.01</v>
      </c>
      <c r="Q63" s="31" t="inlineStr"/>
      <c r="R63" s="30" t="inlineStr">
        <is>
          <t>Earnings / Momentum Support</t>
        </is>
      </c>
      <c r="S63" s="30" t="inlineStr">
        <is>
          <t>Nifty 50</t>
        </is>
      </c>
      <c r="T63" s="31" t="n">
        <v>0.85</v>
      </c>
      <c r="U63" s="31" t="n">
        <v>34.65</v>
      </c>
      <c r="V63" s="31" t="n">
        <v>33.52</v>
      </c>
      <c r="W63" s="31" t="n">
        <v>15.02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3</t>
        </is>
      </c>
      <c r="BC63" s="30">
        <f>IF(BB63="Stage 2",20,IF(BB63="Stage 1",0,IF(BB63="Stage 3",5,IF(BB63="Stage 4",-5,0))))</f>
        <v/>
      </c>
      <c r="BD63" s="30" t="inlineStr">
        <is>
          <t>Negative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19</t>
        </is>
      </c>
      <c r="CG63" s="30">
        <f>IF(CF63&gt;20,10,IF(CF63&gt;=10,5,2))</f>
        <v/>
      </c>
    </row>
    <row r="64">
      <c r="A64" s="30">
        <f>IF(B64=0,"",RANK(B64,$B$2:$B$94,0))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MOREPENLAB</t>
        </is>
      </c>
      <c r="D64" s="30" t="inlineStr">
        <is>
          <t>Morepen Laboratories Ltd</t>
        </is>
      </c>
      <c r="E64" s="30" t="inlineStr">
        <is>
          <t>healthcare</t>
        </is>
      </c>
      <c r="F64" s="30" t="inlineStr">
        <is>
          <t>Pharma - API &amp; CRAMS</t>
        </is>
      </c>
      <c r="G64" s="30" t="inlineStr">
        <is>
          <t>smallcap</t>
        </is>
      </c>
      <c r="H64" s="31" t="n">
        <v>4372.67</v>
      </c>
      <c r="I64" s="31" t="n">
        <v>79.8</v>
      </c>
      <c r="J64" s="31" t="n">
        <v>-0.5600000000000001</v>
      </c>
      <c r="K64" s="31" t="n">
        <v>0</v>
      </c>
      <c r="L64" s="30" t="n">
        <v>93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78.25</v>
      </c>
      <c r="P64" s="31" t="n">
        <v>34.43</v>
      </c>
      <c r="Q64" s="31" t="inlineStr"/>
      <c r="R64" s="30" t="inlineStr">
        <is>
          <t>Earnings / Momentum Support</t>
        </is>
      </c>
      <c r="S64" s="30" t="inlineStr">
        <is>
          <t>Nifty Pharma</t>
        </is>
      </c>
      <c r="T64" s="31" t="n">
        <v>24.01</v>
      </c>
      <c r="U64" s="31" t="n">
        <v>70.97</v>
      </c>
      <c r="V64" s="31" t="n">
        <v>37.86</v>
      </c>
      <c r="W64" s="31" t="n">
        <v>30.85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3</t>
        </is>
      </c>
      <c r="BC64" s="30">
        <f>IF(BB64="Stage 2",20,IF(BB64="Stage 1",0,IF(BB64="Stage 3",5,IF(BB64="Stage 4",-5,0))))</f>
        <v/>
      </c>
      <c r="BD64" s="30" t="inlineStr">
        <is>
          <t>Negative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25</t>
        </is>
      </c>
      <c r="CG64" s="30">
        <f>IF(CF64&gt;20,10,IF(CF64&gt;=10,5,2))</f>
        <v/>
      </c>
    </row>
    <row r="65">
      <c r="A65" s="30">
        <f>IF(B65=0,"",RANK(B65,$B$2:$B$94,0))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EMIL</t>
        </is>
      </c>
      <c r="D65" s="30" t="inlineStr">
        <is>
          <t>Electronics Mart India Ltd</t>
        </is>
      </c>
      <c r="E65" s="30" t="inlineStr">
        <is>
          <t>consumer discretionary</t>
        </is>
      </c>
      <c r="F65" s="30" t="inlineStr">
        <is>
          <t>Retail - Electronics</t>
        </is>
      </c>
      <c r="G65" s="30" t="inlineStr">
        <is>
          <t>midcap</t>
        </is>
      </c>
      <c r="H65" s="31" t="n">
        <v>6979.34</v>
      </c>
      <c r="I65" s="31" t="n">
        <v>181.4</v>
      </c>
      <c r="J65" s="31" t="n">
        <v>9.390000000000001</v>
      </c>
      <c r="K65" s="31" t="n">
        <v>0</v>
      </c>
      <c r="L65" s="30" t="n">
        <v>78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72.11</v>
      </c>
      <c r="P65" s="31" t="n">
        <v>26.17</v>
      </c>
      <c r="Q65" s="31" t="inlineStr"/>
      <c r="R65" s="30" t="inlineStr">
        <is>
          <t>Volume Spike / Accumulation</t>
        </is>
      </c>
      <c r="S65" s="30" t="inlineStr">
        <is>
          <t>Nifty 50</t>
        </is>
      </c>
      <c r="T65" s="31" t="n">
        <v>0.85</v>
      </c>
      <c r="U65" s="31" t="n">
        <v>36.51</v>
      </c>
      <c r="V65" s="31" t="n">
        <v>35.36</v>
      </c>
      <c r="W65" s="31" t="n">
        <v>17.72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B2C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3</t>
        </is>
      </c>
      <c r="BC65" s="30">
        <f>IF(BB65="Stage 2",20,IF(BB65="Stage 1",0,IF(BB65="Stage 3",5,IF(BB65="Stage 4",-5,0))))</f>
        <v/>
      </c>
      <c r="BD65" s="30" t="inlineStr">
        <is>
          <t>Negative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More than 1.2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31</t>
        </is>
      </c>
      <c r="CG65" s="30">
        <f>IF(CF65&gt;20,10,IF(CF65&gt;=10,5,2))</f>
        <v/>
      </c>
    </row>
    <row r="66">
      <c r="A66" s="30">
        <f>IF(B66=0,"",RANK(B66,$B$2:$B$94,0))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YASHO</t>
        </is>
      </c>
      <c r="D66" s="30" t="inlineStr">
        <is>
          <t>Yasho Industries Ltd</t>
        </is>
      </c>
      <c r="E66" s="30" t="inlineStr">
        <is>
          <t>chemicals</t>
        </is>
      </c>
      <c r="F66" s="30" t="inlineStr">
        <is>
          <t>Speciality Chemicals</t>
        </is>
      </c>
      <c r="G66" s="30" t="inlineStr">
        <is>
          <t>midcap</t>
        </is>
      </c>
      <c r="H66" s="31" t="n">
        <v>5039.87</v>
      </c>
      <c r="I66" s="31" t="n">
        <v>4180</v>
      </c>
      <c r="J66" s="31" t="n">
        <v>0.66</v>
      </c>
      <c r="K66" s="31" t="n">
        <v>0</v>
      </c>
      <c r="L66" s="30" t="n">
        <v>98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91.37</v>
      </c>
      <c r="P66" s="31" t="n">
        <v>65.54000000000001</v>
      </c>
      <c r="Q66" s="31" t="inlineStr"/>
      <c r="R66" s="30" t="inlineStr">
        <is>
          <t>Earnings / Momentum Support</t>
        </is>
      </c>
      <c r="S66" s="30" t="inlineStr">
        <is>
          <t>Nifty 50</t>
        </is>
      </c>
      <c r="T66" s="31" t="n">
        <v>0.85</v>
      </c>
      <c r="U66" s="31" t="n">
        <v>135.53</v>
      </c>
      <c r="V66" s="31" t="n">
        <v>133.54</v>
      </c>
      <c r="W66" s="31" t="n">
        <v>64.93000000000001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3</t>
        </is>
      </c>
      <c r="BC66" s="30">
        <f>IF(BB66="Stage 2",20,IF(BB66="Stage 1",0,IF(BB66="Stage 3",5,IF(BB66="Stage 4",-5,0))))</f>
        <v/>
      </c>
      <c r="BD66" s="30" t="inlineStr">
        <is>
          <t>Negative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More than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25</t>
        </is>
      </c>
      <c r="CG66" s="30">
        <f>IF(CF66&gt;20,10,IF(CF66&gt;=10,5,2))</f>
        <v/>
      </c>
    </row>
    <row r="67">
      <c r="A67" s="30">
        <f>IF(B67=0,"",RANK(B67,$B$2:$B$94,0))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CHENNPETRO</t>
        </is>
      </c>
      <c r="D67" s="30" t="inlineStr">
        <is>
          <t>Chennai Petroleum Corporation Ltd</t>
        </is>
      </c>
      <c r="E67" s="30" t="inlineStr">
        <is>
          <t>Energy</t>
        </is>
      </c>
      <c r="F67" s="30" t="inlineStr">
        <is>
          <t>Refineries</t>
        </is>
      </c>
      <c r="G67" s="30" t="inlineStr">
        <is>
          <t>midcap</t>
        </is>
      </c>
      <c r="H67" s="31" t="n">
        <v>18408.43</v>
      </c>
      <c r="I67" s="31" t="n">
        <v>1236.2</v>
      </c>
      <c r="J67" s="31" t="n">
        <v>-3.07</v>
      </c>
      <c r="K67" s="31" t="n">
        <v>0</v>
      </c>
      <c r="L67" s="30" t="n">
        <v>66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70.29000000000001</v>
      </c>
      <c r="P67" s="31" t="n">
        <v>48.98</v>
      </c>
      <c r="Q67" s="31" t="inlineStr"/>
      <c r="R67" s="30" t="inlineStr">
        <is>
          <t>Earnings / Momentum Support</t>
        </is>
      </c>
      <c r="S67" s="30" t="inlineStr">
        <is>
          <t>Nifty Energy</t>
        </is>
      </c>
      <c r="T67" s="31" t="n">
        <v>8.41</v>
      </c>
      <c r="U67" s="31" t="n">
        <v>56.41</v>
      </c>
      <c r="V67" s="31" t="n">
        <v>44.28</v>
      </c>
      <c r="W67" s="31" t="n">
        <v>12.99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Oligopoly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Cyclical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Volatile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3</t>
        </is>
      </c>
      <c r="BC67" s="30">
        <f>IF(BB67="Stage 2",20,IF(BB67="Stage 1",0,IF(BB67="Stage 3",5,IF(BB67="Stage 4",-5,0))))</f>
        <v/>
      </c>
      <c r="BD67" s="30" t="inlineStr">
        <is>
          <t>Negative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21</t>
        </is>
      </c>
      <c r="CG67" s="30">
        <f>IF(CF67&gt;20,10,IF(CF67&gt;=10,5,2))</f>
        <v/>
      </c>
    </row>
    <row r="68">
      <c r="A68" s="30">
        <f>IF(B68=0,"",RANK(B68,$B$2:$B$94,0))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PNGJL</t>
        </is>
      </c>
      <c r="D68" s="30" t="inlineStr">
        <is>
          <t>P N Gadgil Jewellers Ltd</t>
        </is>
      </c>
      <c r="E68" s="30" t="inlineStr">
        <is>
          <t>Consumer Cyclical</t>
        </is>
      </c>
      <c r="F68" s="30" t="inlineStr">
        <is>
          <t>Diamond, Gems &amp; Jewellery</t>
        </is>
      </c>
      <c r="G68" s="30" t="inlineStr">
        <is>
          <t>midcap</t>
        </is>
      </c>
      <c r="H68" s="31" t="n">
        <v>9376.799999999999</v>
      </c>
      <c r="I68" s="31" t="n">
        <v>637</v>
      </c>
      <c r="J68" s="31" t="n">
        <v>-0.91</v>
      </c>
      <c r="K68" s="31" t="n">
        <v>0</v>
      </c>
      <c r="L68" s="30" t="n">
        <v>23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56.16</v>
      </c>
      <c r="P68" s="31" t="n">
        <v>11.61</v>
      </c>
      <c r="Q68" s="31" t="inlineStr"/>
      <c r="R68" s="30" t="inlineStr">
        <is>
          <t>Earnings / Momentum Support</t>
        </is>
      </c>
      <c r="S68" s="30" t="inlineStr">
        <is>
          <t>Nifty 50</t>
        </is>
      </c>
      <c r="T68" s="31" t="n">
        <v>0.85</v>
      </c>
      <c r="U68" s="31" t="n">
        <v>15.98</v>
      </c>
      <c r="V68" s="31" t="n">
        <v>15</v>
      </c>
      <c r="W68" s="31" t="n">
        <v>2.19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B2C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0 to 20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3</t>
        </is>
      </c>
      <c r="BC68" s="30">
        <f>IF(BB68="Stage 2",20,IF(BB68="Stage 1",0,IF(BB68="Stage 3",5,IF(BB68="Stage 4",-5,0))))</f>
        <v/>
      </c>
      <c r="BD68" s="30" t="inlineStr">
        <is>
          <t>Negative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Between 0.7 to 1.2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20</t>
        </is>
      </c>
      <c r="CG68" s="30">
        <f>IF(CF68&gt;20,10,IF(CF68&gt;=10,5,2))</f>
        <v/>
      </c>
    </row>
    <row r="69">
      <c r="A69" s="30">
        <f>IF(B69=0,"",RANK(B69,$B$2:$B$94,0))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SIGMAADV</t>
        </is>
      </c>
      <c r="D69" s="30" t="inlineStr">
        <is>
          <t>Sigma Advanced System Ltd</t>
        </is>
      </c>
      <c r="E69" s="30" t="inlineStr">
        <is>
          <t>aerospace &amp; defence</t>
        </is>
      </c>
      <c r="F69" s="30" t="inlineStr">
        <is>
          <t>Aerospace &amp; Defence - Equipments</t>
        </is>
      </c>
      <c r="G69" s="30" t="inlineStr">
        <is>
          <t>midcap</t>
        </is>
      </c>
      <c r="H69" s="31" t="n">
        <v>13361.5</v>
      </c>
      <c r="I69" s="31" t="n">
        <v>703.5</v>
      </c>
      <c r="J69" s="31" t="n">
        <v>0.21</v>
      </c>
      <c r="K69" s="31" t="n">
        <v>0</v>
      </c>
      <c r="L69" s="30" t="n">
        <v>99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78.31</v>
      </c>
      <c r="P69" s="31" t="n">
        <v>67.42</v>
      </c>
      <c r="Q69" s="31" t="inlineStr"/>
      <c r="R69" s="30" t="inlineStr">
        <is>
          <t>Earnings / Momentum Support</t>
        </is>
      </c>
      <c r="S69" s="30" t="inlineStr">
        <is>
          <t>Nifty 50</t>
        </is>
      </c>
      <c r="T69" s="31" t="n">
        <v>0.85</v>
      </c>
      <c r="U69" s="31" t="n">
        <v>493.47</v>
      </c>
      <c r="V69" s="31" t="n">
        <v>488.46</v>
      </c>
      <c r="W69" s="31" t="n">
        <v>74.59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3</t>
        </is>
      </c>
      <c r="BC69" s="30">
        <f>IF(BB69="Stage 2",20,IF(BB69="Stage 1",0,IF(BB69="Stage 3",5,IF(BB69="Stage 4",-5,0))))</f>
        <v/>
      </c>
      <c r="BD69" s="30" t="inlineStr">
        <is>
          <t>Negative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Negative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Between 0.7 to 1.2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20</t>
        </is>
      </c>
      <c r="CG69" s="30">
        <f>IF(CF69&gt;20,10,IF(CF69&gt;=10,5,2))</f>
        <v/>
      </c>
    </row>
    <row r="70">
      <c r="A70" s="30">
        <f>IF(B70=0,"",RANK(B70,$B$2:$B$94,0))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2" t="inlineStr">
        <is>
          <t>AGARWALEYE</t>
        </is>
      </c>
      <c r="D70" s="32" t="inlineStr">
        <is>
          <t>Dr Agarwals Health Care Ltd</t>
        </is>
      </c>
      <c r="E70" s="30" t="inlineStr">
        <is>
          <t>healthcare</t>
        </is>
      </c>
      <c r="F70" s="30" t="inlineStr">
        <is>
          <t>Hospitals/Medical Services</t>
        </is>
      </c>
      <c r="G70" s="30" t="inlineStr">
        <is>
          <t>midcap</t>
        </is>
      </c>
      <c r="H70" s="31" t="n">
        <v>17837.48</v>
      </c>
      <c r="I70" s="31" t="n">
        <v>562.65</v>
      </c>
      <c r="J70" s="31" t="n">
        <v>3</v>
      </c>
      <c r="K70" s="31" t="n">
        <v>0</v>
      </c>
      <c r="L70" s="30" t="n">
        <v>53</v>
      </c>
      <c r="M70" s="30" t="inlineStr">
        <is>
          <t>Underperforming</t>
        </is>
      </c>
      <c r="N70" s="31">
        <f>IF(M70="Underperforming",-5,IF(L70&gt;=95,15,IF(L70&gt;=90,10,IF(L70&gt;=80,5,0))))</f>
        <v/>
      </c>
      <c r="O70" s="31" t="n">
        <v>69.05</v>
      </c>
      <c r="P70" s="31" t="n">
        <v>24.09</v>
      </c>
      <c r="Q70" s="31" t="inlineStr"/>
      <c r="R70" s="30" t="inlineStr">
        <is>
          <t>Earnings / Momentum Support</t>
        </is>
      </c>
      <c r="S70" s="30" t="inlineStr">
        <is>
          <t>Nifty Pharma</t>
        </is>
      </c>
      <c r="T70" s="31" t="n">
        <v>24.01</v>
      </c>
      <c r="U70" s="31" t="n">
        <v>22.99</v>
      </c>
      <c r="V70" s="31" t="n">
        <v>-0.83</v>
      </c>
      <c r="W70" s="31" t="n">
        <v>8.82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3</t>
        </is>
      </c>
      <c r="BC70" s="30">
        <f>IF(BB70="Stage 2",20,IF(BB70="Stage 1",0,IF(BB70="Stage 3",5,IF(BB70="Stage 4",-5,0))))</f>
        <v/>
      </c>
      <c r="BD70" s="30" t="inlineStr">
        <is>
          <t>Negative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18</t>
        </is>
      </c>
      <c r="CG70" s="30">
        <f>IF(CF70&gt;20,10,IF(CF70&gt;=10,5,2))</f>
        <v/>
      </c>
    </row>
    <row r="71">
      <c r="A71" s="30">
        <f>IF(B71=0,"",RANK(B71,$B$2:$B$94,0))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COMSYN</t>
        </is>
      </c>
      <c r="D71" s="30" t="inlineStr">
        <is>
          <t>Commercial Syn Bags Ltd</t>
        </is>
      </c>
      <c r="E71" s="30" t="inlineStr">
        <is>
          <t>industrials</t>
        </is>
      </c>
      <c r="F71" s="30" t="inlineStr">
        <is>
          <t>Packaging - Polysacks</t>
        </is>
      </c>
      <c r="G71" s="30" t="inlineStr">
        <is>
          <t>smallcap</t>
        </is>
      </c>
      <c r="H71" s="31" t="n">
        <v>1082.7</v>
      </c>
      <c r="I71" s="31" t="n">
        <v>268.4</v>
      </c>
      <c r="J71" s="31" t="n">
        <v>19.38</v>
      </c>
      <c r="K71" s="31" t="n">
        <v>0</v>
      </c>
      <c r="L71" s="30" t="n">
        <v>84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71.95999999999999</v>
      </c>
      <c r="P71" s="31" t="n">
        <v>58.68</v>
      </c>
      <c r="Q71" s="31" t="inlineStr"/>
      <c r="R71" s="30" t="inlineStr">
        <is>
          <t>Earnings / Momentum Support</t>
        </is>
      </c>
      <c r="S71" s="30" t="inlineStr">
        <is>
          <t>Nifty 50</t>
        </is>
      </c>
      <c r="T71" s="31" t="n">
        <v>0.85</v>
      </c>
      <c r="U71" s="31" t="n">
        <v>68.75</v>
      </c>
      <c r="V71" s="31" t="n">
        <v>67.31999999999999</v>
      </c>
      <c r="W71" s="31" t="n">
        <v>21.99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Headwind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3</t>
        </is>
      </c>
      <c r="BC71" s="30">
        <f>IF(BB71="Stage 2",20,IF(BB71="Stage 1",0,IF(BB71="Stage 3",5,IF(BB71="Stage 4",-5,0))))</f>
        <v/>
      </c>
      <c r="BD71" s="30" t="inlineStr">
        <is>
          <t>Negative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Less than 12%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Between 0.7 to 1.2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22</t>
        </is>
      </c>
      <c r="CG71" s="30">
        <f>IF(CF71&gt;20,10,IF(CF71&gt;=10,5,2))</f>
        <v/>
      </c>
    </row>
    <row r="72">
      <c r="A72" s="30">
        <f>IF(B72=0,"",RANK(B72,$B$2:$B$94,0))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SOTL</t>
        </is>
      </c>
      <c r="D72" s="30" t="inlineStr">
        <is>
          <t>Savita Oil Technologies Ltd</t>
        </is>
      </c>
      <c r="E72" s="30" t="inlineStr">
        <is>
          <t>energy</t>
        </is>
      </c>
      <c r="F72" s="30" t="inlineStr">
        <is>
          <t>Petrochem - Others</t>
        </is>
      </c>
      <c r="G72" s="30" t="inlineStr">
        <is>
          <t>smallcap</t>
        </is>
      </c>
      <c r="H72" s="31" t="n">
        <v>4710.1</v>
      </c>
      <c r="I72" s="31" t="n">
        <v>687</v>
      </c>
      <c r="J72" s="31" t="n">
        <v>-9.18</v>
      </c>
      <c r="K72" s="31" t="n">
        <v>0</v>
      </c>
      <c r="L72" s="30" t="n">
        <v>83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72.31</v>
      </c>
      <c r="P72" s="31" t="n">
        <v>50.07</v>
      </c>
      <c r="Q72" s="31" t="inlineStr"/>
      <c r="R72" s="30" t="inlineStr">
        <is>
          <t>Earnings / Momentum Support</t>
        </is>
      </c>
      <c r="S72" s="30" t="inlineStr">
        <is>
          <t>Nifty Energy</t>
        </is>
      </c>
      <c r="T72" s="31" t="n">
        <v>8.41</v>
      </c>
      <c r="U72" s="31" t="n">
        <v>39.93</v>
      </c>
      <c r="V72" s="31" t="n">
        <v>29.08</v>
      </c>
      <c r="W72" s="31" t="n">
        <v>21.2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Oligopoly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Headwind</t>
        </is>
      </c>
      <c r="AE72" s="30">
        <f>IF(AD72="Tailwind",10,0)</f>
        <v/>
      </c>
      <c r="AF72" s="30" t="inlineStr">
        <is>
          <t>Cyclical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Volatile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No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3</t>
        </is>
      </c>
      <c r="BC72" s="30">
        <f>IF(BB72="Stage 2",20,IF(BB72="Stage 1",0,IF(BB72="Stage 3",5,IF(BB72="Stage 4",-5,0))))</f>
        <v/>
      </c>
      <c r="BD72" s="30" t="inlineStr">
        <is>
          <t>Negative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21</t>
        </is>
      </c>
      <c r="CG72" s="30">
        <f>IF(CF72&gt;20,10,IF(CF72&gt;=10,5,2))</f>
        <v/>
      </c>
    </row>
    <row r="73">
      <c r="A73" s="30">
        <f>IF(B73=0,"",RANK(B73,$B$2:$B$94,0))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UEL</t>
        </is>
      </c>
      <c r="D73" s="30" t="inlineStr">
        <is>
          <t>Ujaas Energy Ltd</t>
        </is>
      </c>
      <c r="E73" s="30" t="inlineStr">
        <is>
          <t>power &amp; utilities</t>
        </is>
      </c>
      <c r="F73" s="30" t="inlineStr">
        <is>
          <t>Capital Goods - Transformers</t>
        </is>
      </c>
      <c r="G73" s="30" t="inlineStr">
        <is>
          <t>smallcap</t>
        </is>
      </c>
      <c r="H73" s="31" t="n">
        <v>3610.68</v>
      </c>
      <c r="I73" s="31" t="n">
        <v>270.67</v>
      </c>
      <c r="J73" s="31" t="n">
        <v>5</v>
      </c>
      <c r="K73" s="31" t="n">
        <v>0</v>
      </c>
      <c r="L73" s="30" t="n">
        <v>95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77.87</v>
      </c>
      <c r="P73" s="31" t="n">
        <v>15.23</v>
      </c>
      <c r="Q73" s="31" t="inlineStr"/>
      <c r="R73" s="30" t="inlineStr">
        <is>
          <t>Earnings / Momentum Support</t>
        </is>
      </c>
      <c r="S73" s="30" t="inlineStr">
        <is>
          <t>Nifty IT</t>
        </is>
      </c>
      <c r="T73" s="31" t="n">
        <v>-8.289999999999999</v>
      </c>
      <c r="U73" s="31" t="n">
        <v>110.93</v>
      </c>
      <c r="V73" s="31" t="n">
        <v>129.99</v>
      </c>
      <c r="W73" s="31" t="n">
        <v>32.09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Headwind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0 to 20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3</t>
        </is>
      </c>
      <c r="BC73" s="30">
        <f>IF(BB73="Stage 2",20,IF(BB73="Stage 1",0,IF(BB73="Stage 3",5,IF(BB73="Stage 4",-5,0))))</f>
        <v/>
      </c>
      <c r="BD73" s="30" t="inlineStr">
        <is>
          <t>Negative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19</t>
        </is>
      </c>
      <c r="CG73" s="30">
        <f>IF(CF73&gt;20,10,IF(CF73&gt;=10,5,2))</f>
        <v/>
      </c>
    </row>
    <row r="74">
      <c r="A74" s="30">
        <f>IF(B74=0,"",RANK(B74,$B$2:$B$94,0))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BLUESTONE</t>
        </is>
      </c>
      <c r="D74" s="30" t="inlineStr">
        <is>
          <t>Bluestone Jewellery &amp; Lifestyle Ltd</t>
        </is>
      </c>
      <c r="E74" s="30" t="inlineStr">
        <is>
          <t>Consumer Cyclical</t>
        </is>
      </c>
      <c r="F74" s="30" t="inlineStr">
        <is>
          <t>Diamond, Gems &amp; Jewellery</t>
        </is>
      </c>
      <c r="G74" s="30" t="inlineStr">
        <is>
          <t>midcap</t>
        </is>
      </c>
      <c r="H74" s="31" t="n">
        <v>12678.2</v>
      </c>
      <c r="I74" s="31" t="n">
        <v>830</v>
      </c>
      <c r="J74" s="31" t="n">
        <v>1.9</v>
      </c>
      <c r="K74" s="31" t="n">
        <v>0</v>
      </c>
      <c r="L74" s="30" t="n">
        <v>87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76.09999999999999</v>
      </c>
      <c r="P74" s="31" t="n">
        <v>33.16</v>
      </c>
      <c r="Q74" s="31" t="inlineStr"/>
      <c r="R74" s="30" t="inlineStr">
        <is>
          <t>Earnings / Momentum Support</t>
        </is>
      </c>
      <c r="S74" s="30" t="inlineStr">
        <is>
          <t>Nifty 50</t>
        </is>
      </c>
      <c r="T74" s="31" t="n">
        <v>-1.2</v>
      </c>
      <c r="U74" s="31" t="n">
        <v>49.08</v>
      </c>
      <c r="V74" s="31" t="n">
        <v>50.9</v>
      </c>
      <c r="W74" s="31" t="n">
        <v>24.12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Headwind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B2C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3</t>
        </is>
      </c>
      <c r="BC74" s="30">
        <f>IF(BB74="Stage 2",20,IF(BB74="Stage 1",0,IF(BB74="Stage 3",5,IF(BB74="Stage 4",-5,0))))</f>
        <v/>
      </c>
      <c r="BD74" s="30" t="inlineStr">
        <is>
          <t>Negative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Between 0.7 to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19</t>
        </is>
      </c>
      <c r="CG74" s="30">
        <f>IF(CF74&gt;20,10,IF(CF74&gt;=10,5,2))</f>
        <v/>
      </c>
    </row>
    <row r="75">
      <c r="A75" s="30">
        <f>IF(B75=0,"",RANK(B75,$B$2:$B$94,0))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LLOYDSENT</t>
        </is>
      </c>
      <c r="D75" s="30" t="inlineStr">
        <is>
          <t>Lloyds Enterprises Ltd</t>
        </is>
      </c>
      <c r="E75" s="30" t="inlineStr">
        <is>
          <t>services</t>
        </is>
      </c>
      <c r="F75" s="30" t="inlineStr">
        <is>
          <t>Trading</t>
        </is>
      </c>
      <c r="G75" s="30" t="inlineStr">
        <is>
          <t>midcap</t>
        </is>
      </c>
      <c r="H75" s="31" t="n">
        <v>12543.4</v>
      </c>
      <c r="I75" s="31" t="n">
        <v>82.3</v>
      </c>
      <c r="J75" s="31" t="n">
        <v>-1.34</v>
      </c>
      <c r="K75" s="31" t="n">
        <v>0</v>
      </c>
      <c r="L75" s="30" t="n">
        <v>42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67</v>
      </c>
      <c r="P75" s="31" t="n">
        <v>37.54</v>
      </c>
      <c r="Q75" s="31" t="inlineStr"/>
      <c r="R75" s="30" t="inlineStr">
        <is>
          <t>Earnings / Momentum Support</t>
        </is>
      </c>
      <c r="S75" s="30" t="inlineStr">
        <is>
          <t>Nifty 50</t>
        </is>
      </c>
      <c r="T75" s="31" t="n">
        <v>0.85</v>
      </c>
      <c r="U75" s="31" t="n">
        <v>9.49</v>
      </c>
      <c r="V75" s="31" t="n">
        <v>8.57</v>
      </c>
      <c r="W75" s="31" t="n">
        <v>6.02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Headwind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3</t>
        </is>
      </c>
      <c r="BC75" s="30">
        <f>IF(BB75="Stage 2",20,IF(BB75="Stage 1",0,IF(BB75="Stage 3",5,IF(BB75="Stage 4",-5,0))))</f>
        <v/>
      </c>
      <c r="BD75" s="30" t="inlineStr">
        <is>
          <t>Negative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Negative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19</t>
        </is>
      </c>
      <c r="CG75" s="30">
        <f>IF(CF75&gt;20,10,IF(CF75&gt;=10,5,2))</f>
        <v/>
      </c>
    </row>
    <row r="76">
      <c r="A76" s="30">
        <f>IF(B76=0,"",RANK(B76,$B$2:$B$94,0))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PAYTM</t>
        </is>
      </c>
      <c r="D76" s="30" t="inlineStr">
        <is>
          <t>One 97 Communications Ltd</t>
        </is>
      </c>
      <c r="E76" s="30" t="inlineStr">
        <is>
          <t>i.t</t>
        </is>
      </c>
      <c r="F76" s="30" t="inlineStr">
        <is>
          <t>E-Commerce - Platform - Utility</t>
        </is>
      </c>
      <c r="G76" s="30" t="inlineStr">
        <is>
          <t>largecap</t>
        </is>
      </c>
      <c r="H76" s="31" t="n">
        <v>101561.9</v>
      </c>
      <c r="I76" s="31" t="n">
        <v>1584.1</v>
      </c>
      <c r="J76" s="31" t="n">
        <v>9.880000000000001</v>
      </c>
      <c r="K76" s="31" t="n">
        <v>0</v>
      </c>
      <c r="L76" s="30" t="n">
        <v>63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67.34</v>
      </c>
      <c r="P76" s="31" t="n">
        <v>17.3</v>
      </c>
      <c r="Q76" s="31" t="inlineStr"/>
      <c r="R76" s="30" t="inlineStr">
        <is>
          <t>Earnings / Momentum Support</t>
        </is>
      </c>
      <c r="S76" s="30" t="inlineStr">
        <is>
          <t>Nifty IT</t>
        </is>
      </c>
      <c r="T76" s="31" t="n">
        <v>-8.289999999999999</v>
      </c>
      <c r="U76" s="31" t="n">
        <v>35.69</v>
      </c>
      <c r="V76" s="31" t="n">
        <v>47.95</v>
      </c>
      <c r="W76" s="31" t="n">
        <v>11.56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Oligopoly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Headwind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0 to 20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3</t>
        </is>
      </c>
      <c r="BC76" s="30">
        <f>IF(BB76="Stage 2",20,IF(BB76="Stage 1",0,IF(BB76="Stage 3",5,IF(BB76="Stage 4",-5,0))))</f>
        <v/>
      </c>
      <c r="BD76" s="30" t="inlineStr">
        <is>
          <t>Negative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Between 1.5 to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23</t>
        </is>
      </c>
      <c r="CG76" s="30">
        <f>IF(CF76&gt;20,10,IF(CF76&gt;=10,5,2))</f>
        <v/>
      </c>
    </row>
    <row r="77">
      <c r="A77" s="30">
        <f>IF(B77=0,"",RANK(B77,$B$2:$B$94,0))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AEGISLOG</t>
        </is>
      </c>
      <c r="D77" s="30" t="inlineStr">
        <is>
          <t>Aegis Logistics Ltd</t>
        </is>
      </c>
      <c r="E77" s="30" t="inlineStr">
        <is>
          <t>Energy</t>
        </is>
      </c>
      <c r="F77" s="30" t="inlineStr">
        <is>
          <t>Logistics</t>
        </is>
      </c>
      <c r="G77" s="30" t="inlineStr">
        <is>
          <t>largecap</t>
        </is>
      </c>
      <c r="H77" s="31" t="n">
        <v>46651.41</v>
      </c>
      <c r="I77" s="31" t="n">
        <v>1329.1</v>
      </c>
      <c r="J77" s="31" t="n">
        <v>-3.06</v>
      </c>
      <c r="K77" s="31" t="n">
        <v>0</v>
      </c>
      <c r="L77" s="30" t="n">
        <v>96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76.16</v>
      </c>
      <c r="P77" s="31" t="n">
        <v>51.72</v>
      </c>
      <c r="Q77" s="31" t="inlineStr"/>
      <c r="R77" s="30" t="inlineStr">
        <is>
          <t>Earnings / Momentum Support</t>
        </is>
      </c>
      <c r="S77" s="30" t="inlineStr">
        <is>
          <t>Nifty Energy</t>
        </is>
      </c>
      <c r="T77" s="31" t="n">
        <v>8.41</v>
      </c>
      <c r="U77" s="31" t="n">
        <v>83</v>
      </c>
      <c r="V77" s="31" t="n">
        <v>68.81</v>
      </c>
      <c r="W77" s="31" t="n">
        <v>35.84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Oligopoly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Headwind</t>
        </is>
      </c>
      <c r="AE77" s="30">
        <f>IF(AD77="Tailwind",10,0)</f>
        <v/>
      </c>
      <c r="AF77" s="30" t="inlineStr">
        <is>
          <t>Cyclical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Volatile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3</t>
        </is>
      </c>
      <c r="BC77" s="30">
        <f>IF(BB77="Stage 2",20,IF(BB77="Stage 1",0,IF(BB77="Stage 3",5,IF(BB77="Stage 4",-5,0))))</f>
        <v/>
      </c>
      <c r="BD77" s="30" t="inlineStr">
        <is>
          <t>Negative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22</t>
        </is>
      </c>
      <c r="CG77" s="30">
        <f>IF(CF77&gt;20,10,IF(CF77&gt;=10,5,2))</f>
        <v/>
      </c>
    </row>
    <row r="78">
      <c r="A78" s="30">
        <f>IF(B78=0,"",RANK(B78,$B$2:$B$94,0))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MMFL</t>
        </is>
      </c>
      <c r="D78" s="30" t="inlineStr">
        <is>
          <t>M M Forgings Ltd</t>
        </is>
      </c>
      <c r="E78" s="30" t="inlineStr">
        <is>
          <t>industrials</t>
        </is>
      </c>
      <c r="F78" s="30" t="inlineStr">
        <is>
          <t>Castings, Forgings &amp; Fastners</t>
        </is>
      </c>
      <c r="G78" s="30" t="inlineStr">
        <is>
          <t>smallcap</t>
        </is>
      </c>
      <c r="H78" s="31" t="n">
        <v>3186.34</v>
      </c>
      <c r="I78" s="31" t="n">
        <v>659.95</v>
      </c>
      <c r="J78" s="31" t="n">
        <v>4.9</v>
      </c>
      <c r="K78" s="31" t="n">
        <v>0</v>
      </c>
      <c r="L78" s="30" t="n">
        <v>85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78.56</v>
      </c>
      <c r="P78" s="31" t="n">
        <v>20.93</v>
      </c>
      <c r="Q78" s="31" t="inlineStr"/>
      <c r="R78" s="30" t="inlineStr">
        <is>
          <t>Earnings / Momentum Support</t>
        </is>
      </c>
      <c r="S78" s="30" t="inlineStr">
        <is>
          <t>Nifty 50</t>
        </is>
      </c>
      <c r="T78" s="31" t="n">
        <v>0.85</v>
      </c>
      <c r="U78" s="31" t="n">
        <v>105.27</v>
      </c>
      <c r="V78" s="31" t="n">
        <v>103.54</v>
      </c>
      <c r="W78" s="31" t="n">
        <v>22.47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Headwind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3</t>
        </is>
      </c>
      <c r="BC78" s="30">
        <f>IF(BB78="Stage 2",20,IF(BB78="Stage 1",0,IF(BB78="Stage 3",5,IF(BB78="Stage 4",-5,0))))</f>
        <v/>
      </c>
      <c r="BD78" s="30" t="inlineStr">
        <is>
          <t>Negative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More than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21</t>
        </is>
      </c>
      <c r="CG78" s="30">
        <f>IF(CF78&gt;20,10,IF(CF78&gt;=10,5,2))</f>
        <v/>
      </c>
    </row>
    <row r="79">
      <c r="A79" s="30">
        <f>IF(B79=0,"",RANK(B79,$B$2:$B$94,0))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2" t="inlineStr">
        <is>
          <t>BOSCH-HCIL</t>
        </is>
      </c>
      <c r="D79" s="32" t="inlineStr">
        <is>
          <t>Bosch Home Comfort India Ltd</t>
        </is>
      </c>
      <c r="E79" s="30" t="inlineStr">
        <is>
          <t>consumer discretionary</t>
        </is>
      </c>
      <c r="F79" s="30" t="inlineStr">
        <is>
          <t>Consumer Electronics</t>
        </is>
      </c>
      <c r="G79" s="30" t="inlineStr">
        <is>
          <t>smallcap</t>
        </is>
      </c>
      <c r="H79" s="31" t="n">
        <v>4613.75</v>
      </c>
      <c r="I79" s="31" t="n">
        <v>1696.8</v>
      </c>
      <c r="J79" s="31" t="n">
        <v>0.86</v>
      </c>
      <c r="K79" s="31" t="n">
        <v>0</v>
      </c>
      <c r="L79" s="30" t="n">
        <v>31</v>
      </c>
      <c r="M79" s="30" t="inlineStr">
        <is>
          <t>Underperforming</t>
        </is>
      </c>
      <c r="N79" s="31">
        <f>IF(M79="Underperforming",-5,IF(L79&gt;=95,15,IF(L79&gt;=90,10,IF(L79&gt;=80,5,0))))</f>
        <v/>
      </c>
      <c r="O79" s="31" t="n">
        <v>68.94</v>
      </c>
      <c r="P79" s="31" t="n">
        <v>16.42</v>
      </c>
      <c r="Q79" s="31" t="inlineStr"/>
      <c r="R79" s="30" t="inlineStr">
        <is>
          <t>Earnings / Momentum Support</t>
        </is>
      </c>
      <c r="S79" s="30" t="inlineStr">
        <is>
          <t>Nifty 50</t>
        </is>
      </c>
      <c r="T79" s="31" t="n">
        <v>0.85</v>
      </c>
      <c r="U79" s="31" t="n">
        <v>-3.15</v>
      </c>
      <c r="V79" s="31" t="n">
        <v>-3.97</v>
      </c>
      <c r="W79" s="31" t="n">
        <v>3.65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Headwind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0 to 20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3</t>
        </is>
      </c>
      <c r="BC79" s="30">
        <f>IF(BB79="Stage 2",20,IF(BB79="Stage 1",0,IF(BB79="Stage 3",5,IF(BB79="Stage 4",-5,0))))</f>
        <v/>
      </c>
      <c r="BD79" s="30" t="inlineStr">
        <is>
          <t>Negative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Less than 12%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21</t>
        </is>
      </c>
      <c r="CG79" s="30">
        <f>IF(CF79&gt;20,10,IF(CF79&gt;=10,5,2))</f>
        <v/>
      </c>
    </row>
    <row r="80">
      <c r="A80" s="30">
        <f>IF(B80=0,"",RANK(B80,$B$2:$B$94,0))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ETHOSLTD</t>
        </is>
      </c>
      <c r="D80" s="30" t="inlineStr">
        <is>
          <t>Ethos Ltd</t>
        </is>
      </c>
      <c r="E80" s="30" t="inlineStr">
        <is>
          <t>consumer discretionary</t>
        </is>
      </c>
      <c r="F80" s="30" t="inlineStr">
        <is>
          <t>Watches</t>
        </is>
      </c>
      <c r="G80" s="30" t="inlineStr">
        <is>
          <t>midcap</t>
        </is>
      </c>
      <c r="H80" s="31" t="n">
        <v>7575.1</v>
      </c>
      <c r="I80" s="31" t="n">
        <v>2831</v>
      </c>
      <c r="J80" s="31" t="n">
        <v>1.76</v>
      </c>
      <c r="K80" s="31" t="n">
        <v>0</v>
      </c>
      <c r="L80" s="30" t="n">
        <v>31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61.05</v>
      </c>
      <c r="P80" s="31" t="n">
        <v>14.82</v>
      </c>
      <c r="Q80" s="31" t="inlineStr"/>
      <c r="R80" s="30" t="inlineStr">
        <is>
          <t>Earnings / Momentum Support</t>
        </is>
      </c>
      <c r="S80" s="30" t="inlineStr">
        <is>
          <t>Nifty 50</t>
        </is>
      </c>
      <c r="T80" s="31" t="n">
        <v>0.85</v>
      </c>
      <c r="U80" s="31" t="n">
        <v>1.56</v>
      </c>
      <c r="V80" s="31" t="n">
        <v>0.71</v>
      </c>
      <c r="W80" s="31" t="n">
        <v>3.83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Headwind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0 to 20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3</t>
        </is>
      </c>
      <c r="BC80" s="30">
        <f>IF(BB80="Stage 2",20,IF(BB80="Stage 1",0,IF(BB80="Stage 3",5,IF(BB80="Stage 4",-5,0))))</f>
        <v/>
      </c>
      <c r="BD80" s="30" t="inlineStr">
        <is>
          <t>Negative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19</t>
        </is>
      </c>
      <c r="CG80" s="30">
        <f>IF(CF80&gt;20,10,IF(CF80&gt;=10,5,2))</f>
        <v/>
      </c>
    </row>
    <row r="81">
      <c r="A81" s="30">
        <f>IF(B81=0,"",RANK(B81,$B$2:$B$94,0))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KESAR</t>
        </is>
      </c>
      <c r="D81" s="30" t="inlineStr">
        <is>
          <t>Kesar India Ltd</t>
        </is>
      </c>
      <c r="E81" s="30" t="inlineStr">
        <is>
          <t>Real Estate</t>
        </is>
      </c>
      <c r="F81" s="30" t="inlineStr">
        <is>
          <t>Realty - Construction &amp; Contracting</t>
        </is>
      </c>
      <c r="G81" s="30" t="inlineStr">
        <is>
          <t>smallcap</t>
        </is>
      </c>
      <c r="H81" s="31" t="n">
        <v>3906.06</v>
      </c>
      <c r="I81" s="31" t="n">
        <v>1250</v>
      </c>
      <c r="J81" s="31" t="n">
        <v>0</v>
      </c>
      <c r="K81" s="31" t="n">
        <v>0</v>
      </c>
      <c r="L81" s="30" t="n">
        <v>76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59.22</v>
      </c>
      <c r="P81" s="31" t="n">
        <v>7.77</v>
      </c>
      <c r="Q81" s="31" t="inlineStr"/>
      <c r="R81" s="30" t="inlineStr">
        <is>
          <t>Earnings / Momentum Support</t>
        </is>
      </c>
      <c r="S81" s="30" t="inlineStr">
        <is>
          <t>Nifty Realty</t>
        </is>
      </c>
      <c r="T81" s="31" t="n">
        <v>-8.119999999999999</v>
      </c>
      <c r="U81" s="31" t="n">
        <v>86.45</v>
      </c>
      <c r="V81" s="31" t="n">
        <v>102.93</v>
      </c>
      <c r="W81" s="31" t="n">
        <v>16.33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Headwind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0 to 20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3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18</t>
        </is>
      </c>
      <c r="CG81" s="30">
        <f>IF(CF81&gt;20,10,IF(CF81&gt;=10,5,2))</f>
        <v/>
      </c>
    </row>
    <row r="82">
      <c r="A82" s="30">
        <f>IF(B82=0,"",RANK(B82,$B$2:$B$94,0))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2" t="inlineStr">
        <is>
          <t>DEEPAKNTR</t>
        </is>
      </c>
      <c r="D82" s="32" t="inlineStr">
        <is>
          <t>Deepak Nitrite Ltd</t>
        </is>
      </c>
      <c r="E82" s="30" t="inlineStr">
        <is>
          <t>chemicals</t>
        </is>
      </c>
      <c r="F82" s="30" t="inlineStr">
        <is>
          <t>Chemicals - Inorganic</t>
        </is>
      </c>
      <c r="G82" s="30" t="inlineStr">
        <is>
          <t>largecap</t>
        </is>
      </c>
      <c r="H82" s="31" t="n">
        <v>24305.24</v>
      </c>
      <c r="I82" s="31" t="n">
        <v>1782</v>
      </c>
      <c r="J82" s="31" t="n">
        <v>-0.8100000000000001</v>
      </c>
      <c r="K82" s="31" t="n">
        <v>0</v>
      </c>
      <c r="L82" s="30" t="n">
        <v>12</v>
      </c>
      <c r="M82" s="30" t="inlineStr">
        <is>
          <t>Underperforming</t>
        </is>
      </c>
      <c r="N82" s="31">
        <f>IF(M82="Underperforming",-5,IF(L82&gt;=95,15,IF(L82&gt;=90,10,IF(L82&gt;=80,5,0))))</f>
        <v/>
      </c>
      <c r="O82" s="31" t="n">
        <v>59.23</v>
      </c>
      <c r="P82" s="31" t="n">
        <v>13.91</v>
      </c>
      <c r="Q82" s="31" t="inlineStr"/>
      <c r="R82" s="30" t="inlineStr">
        <is>
          <t>Earnings / Momentum Support</t>
        </is>
      </c>
      <c r="S82" s="30" t="inlineStr">
        <is>
          <t>Nifty 50</t>
        </is>
      </c>
      <c r="T82" s="31" t="n">
        <v>0.85</v>
      </c>
      <c r="U82" s="31" t="n">
        <v>-0.06</v>
      </c>
      <c r="V82" s="31" t="n">
        <v>-0.9</v>
      </c>
      <c r="W82" s="31" t="n">
        <v>-0.46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Headwind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3</t>
        </is>
      </c>
      <c r="BC82" s="30">
        <f>IF(BB82="Stage 2",20,IF(BB82="Stage 1",0,IF(BB82="Stage 3",5,IF(BB82="Stage 4",-5,0))))</f>
        <v/>
      </c>
      <c r="BD82" s="30" t="inlineStr">
        <is>
          <t>Negative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18</t>
        </is>
      </c>
      <c r="CG82" s="30">
        <f>IF(CF82&gt;20,10,IF(CF82&gt;=10,5,2))</f>
        <v/>
      </c>
    </row>
    <row r="83">
      <c r="A83" s="30">
        <f>IF(B83=0,"",RANK(B83,$B$2:$B$94,0))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RBA</t>
        </is>
      </c>
      <c r="D83" s="30" t="inlineStr">
        <is>
          <t>Restaurant Brands Asia Ltd</t>
        </is>
      </c>
      <c r="E83" s="30" t="inlineStr">
        <is>
          <t>consumer discretionary</t>
        </is>
      </c>
      <c r="F83" s="30" t="inlineStr">
        <is>
          <t>Quick Service Restaurant - QSR</t>
        </is>
      </c>
      <c r="G83" s="30" t="inlineStr">
        <is>
          <t>midcap</t>
        </is>
      </c>
      <c r="H83" s="31" t="n">
        <v>6467.39</v>
      </c>
      <c r="I83" s="31" t="n">
        <v>90.87</v>
      </c>
      <c r="J83" s="31" t="n">
        <v>-4.27</v>
      </c>
      <c r="K83" s="31" t="n">
        <v>0</v>
      </c>
      <c r="L83" s="30" t="n">
        <v>66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73.41</v>
      </c>
      <c r="P83" s="31" t="n">
        <v>27.97</v>
      </c>
      <c r="Q83" s="31" t="inlineStr"/>
      <c r="R83" s="30" t="inlineStr">
        <is>
          <t>Earnings / Momentum Support</t>
        </is>
      </c>
      <c r="S83" s="30" t="inlineStr">
        <is>
          <t>Nifty 50</t>
        </is>
      </c>
      <c r="T83" s="31" t="n">
        <v>0.85</v>
      </c>
      <c r="U83" s="31" t="n">
        <v>18.93</v>
      </c>
      <c r="V83" s="31" t="n">
        <v>17.93</v>
      </c>
      <c r="W83" s="31" t="n">
        <v>12.97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Headwind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No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3</t>
        </is>
      </c>
      <c r="BC83" s="30">
        <f>IF(BB83="Stage 2",20,IF(BB83="Stage 1",0,IF(BB83="Stage 3",5,IF(BB83="Stage 4",-5,0))))</f>
        <v/>
      </c>
      <c r="BD83" s="30" t="inlineStr">
        <is>
          <t>Negative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More than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18</t>
        </is>
      </c>
      <c r="CG83" s="30">
        <f>IF(CF83&gt;20,10,IF(CF83&gt;=10,5,2))</f>
        <v/>
      </c>
    </row>
    <row r="84">
      <c r="A84" s="30">
        <f>IF(B84=0,"",RANK(B84,$B$2:$B$94,0))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SKYGOLD</t>
        </is>
      </c>
      <c r="D84" s="30" t="inlineStr">
        <is>
          <t>Sky Gold &amp; Diamonds Ltd</t>
        </is>
      </c>
      <c r="E84" s="30" t="inlineStr">
        <is>
          <t>consumer discretionary</t>
        </is>
      </c>
      <c r="F84" s="30" t="inlineStr">
        <is>
          <t>Diamond, Gems &amp; Jewellery</t>
        </is>
      </c>
      <c r="G84" s="30" t="inlineStr">
        <is>
          <t>midcap</t>
        </is>
      </c>
      <c r="H84" s="31" t="n">
        <v>12066.22</v>
      </c>
      <c r="I84" s="31" t="n">
        <v>779.1</v>
      </c>
      <c r="J84" s="31" t="n">
        <v>8.300000000000001</v>
      </c>
      <c r="K84" s="31" t="n">
        <v>0</v>
      </c>
      <c r="L84" s="30" t="n">
        <v>93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77.44</v>
      </c>
      <c r="P84" s="31" t="n">
        <v>60.63</v>
      </c>
      <c r="Q84" s="31" t="inlineStr"/>
      <c r="R84" s="30" t="inlineStr">
        <is>
          <t>Earnings / Momentum Support</t>
        </is>
      </c>
      <c r="S84" s="30" t="inlineStr">
        <is>
          <t>Nifty 50</t>
        </is>
      </c>
      <c r="T84" s="31" t="n">
        <v>0.85</v>
      </c>
      <c r="U84" s="31" t="n">
        <v>160.94</v>
      </c>
      <c r="V84" s="31" t="n">
        <v>158.73</v>
      </c>
      <c r="W84" s="31" t="n">
        <v>30.7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Headwind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3</t>
        </is>
      </c>
      <c r="BC84" s="30">
        <f>IF(BB84="Stage 2",20,IF(BB84="Stage 1",0,IF(BB84="Stage 3",5,IF(BB84="Stage 4",-5,0))))</f>
        <v/>
      </c>
      <c r="BD84" s="30" t="inlineStr">
        <is>
          <t>Negative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Negative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Between 0.7 to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35</t>
        </is>
      </c>
      <c r="CG84" s="30">
        <f>IF(CF84&gt;20,10,IF(CF84&gt;=10,5,2))</f>
        <v/>
      </c>
    </row>
    <row r="85">
      <c r="A85" s="30">
        <f>IF(B85=0,"",RANK(B85,$B$2:$B$94,0))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2" t="inlineStr">
        <is>
          <t>ASKAUTOLTD</t>
        </is>
      </c>
      <c r="D85" s="32" t="inlineStr">
        <is>
          <t>ASK Automotive Ltd</t>
        </is>
      </c>
      <c r="E85" s="30" t="inlineStr">
        <is>
          <t>auto</t>
        </is>
      </c>
      <c r="F85" s="30" t="inlineStr">
        <is>
          <t>Auto Ancillaries - 2 Wheelers</t>
        </is>
      </c>
      <c r="G85" s="30" t="inlineStr">
        <is>
          <t>midcap</t>
        </is>
      </c>
      <c r="H85" s="31" t="n">
        <v>12991.7</v>
      </c>
      <c r="I85" s="31" t="n">
        <v>659</v>
      </c>
      <c r="J85" s="31" t="n">
        <v>3.79</v>
      </c>
      <c r="K85" s="31" t="n">
        <v>0</v>
      </c>
      <c r="L85" s="30" t="n">
        <v>16</v>
      </c>
      <c r="M85" s="30" t="inlineStr">
        <is>
          <t>Underperforming</t>
        </is>
      </c>
      <c r="N85" s="31">
        <f>IF(M85="Underperforming",-5,IF(L85&gt;=95,15,IF(L85&gt;=90,10,IF(L85&gt;=80,5,0))))</f>
        <v/>
      </c>
      <c r="O85" s="31" t="n">
        <v>79.51000000000001</v>
      </c>
      <c r="P85" s="31" t="n">
        <v>19.56</v>
      </c>
      <c r="Q85" s="31" t="inlineStr"/>
      <c r="R85" s="30" t="inlineStr">
        <is>
          <t>Earnings / Momentum Support</t>
        </is>
      </c>
      <c r="S85" s="30" t="inlineStr">
        <is>
          <t>Nifty Auto</t>
        </is>
      </c>
      <c r="T85" s="31" t="n">
        <v>13.41</v>
      </c>
      <c r="U85" s="31" t="n">
        <v>-8.220000000000001</v>
      </c>
      <c r="V85" s="31" t="n">
        <v>-19.08</v>
      </c>
      <c r="W85" s="31" t="n">
        <v>0.58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Headwind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0 to 20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3</t>
        </is>
      </c>
      <c r="BC85" s="30">
        <f>IF(BB85="Stage 2",20,IF(BB85="Stage 1",0,IF(BB85="Stage 3",5,IF(BB85="Stage 4",-5,0))))</f>
        <v/>
      </c>
      <c r="BD85" s="30" t="inlineStr">
        <is>
          <t>Negative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25</t>
        </is>
      </c>
      <c r="CG85" s="30">
        <f>IF(CF85&gt;20,10,IF(CF85&gt;=10,5,2))</f>
        <v/>
      </c>
    </row>
    <row r="86">
      <c r="A86" s="30">
        <f>IF(B86=0,"",RANK(B86,$B$2:$B$94,0))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GAEL</t>
        </is>
      </c>
      <c r="D86" s="30" t="inlineStr">
        <is>
          <t>Gujarat Ambuja Exports Ltd</t>
        </is>
      </c>
      <c r="E86" s="30" t="inlineStr">
        <is>
          <t>fmcg</t>
        </is>
      </c>
      <c r="F86" s="30" t="inlineStr">
        <is>
          <t>Agricultural Processing - Maize</t>
        </is>
      </c>
      <c r="G86" s="30" t="inlineStr">
        <is>
          <t>midcap</t>
        </is>
      </c>
      <c r="H86" s="31" t="n">
        <v>7907.48</v>
      </c>
      <c r="I86" s="31" t="n">
        <v>172.4</v>
      </c>
      <c r="J86" s="31" t="n">
        <v>1.88</v>
      </c>
      <c r="K86" s="31" t="n">
        <v>0</v>
      </c>
      <c r="L86" s="30" t="n">
        <v>40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61.68</v>
      </c>
      <c r="P86" s="31" t="n">
        <v>36.81</v>
      </c>
      <c r="Q86" s="31" t="inlineStr"/>
      <c r="R86" s="30" t="inlineStr">
        <is>
          <t>Earnings / Momentum Support</t>
        </is>
      </c>
      <c r="S86" s="30" t="inlineStr">
        <is>
          <t>Nifty FMCG</t>
        </is>
      </c>
      <c r="T86" s="31" t="n">
        <v>-13.73</v>
      </c>
      <c r="U86" s="31" t="n">
        <v>30.8</v>
      </c>
      <c r="V86" s="31" t="n">
        <v>51.62</v>
      </c>
      <c r="W86" s="31" t="n">
        <v>5.8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Oligopoly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Shallow Cyclical (2 to 3 Years Growth)</t>
        </is>
      </c>
      <c r="AG86" s="30">
        <f>IF(AF86="Structural (10 Years Consistency)",10,IF(AF86="Shallow Cyclical (2 to 3 years growth)",5,0))</f>
        <v/>
      </c>
      <c r="AH86" s="30" t="inlineStr">
        <is>
          <t>Yes due to Product Mix change or Operating Leverage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Volatile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Allocated capital in Non-core Areas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3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Sideways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Overhead supply in last 2 years in last 2 years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More than 15%</t>
        </is>
      </c>
      <c r="CC86" s="30">
        <f>IF(CB86="More than 15%",-10,IF(CB86="Less than 15%",10,0))</f>
        <v/>
      </c>
      <c r="CD86" s="30" t="inlineStr">
        <is>
          <t>Yes Upto 10%</t>
        </is>
      </c>
      <c r="CE86" s="30">
        <f>IF(CD86="Yes, more than 10%",-10,IF(CD86="No",10,0))</f>
        <v/>
      </c>
      <c r="CF86" s="30" t="inlineStr">
        <is>
          <t>21</t>
        </is>
      </c>
      <c r="CG86" s="30">
        <f>IF(CF86&gt;20,10,IF(CF86&gt;=10,5,2))</f>
        <v/>
      </c>
    </row>
    <row r="87">
      <c r="A87" s="30">
        <f>IF(B87=0,"",RANK(B87,$B$2:$B$94,0))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ROSSTECH</t>
        </is>
      </c>
      <c r="D87" s="30" t="inlineStr">
        <is>
          <t>Rossell Techsys Ltd</t>
        </is>
      </c>
      <c r="E87" s="30" t="inlineStr">
        <is>
          <t>aerospace &amp; defence</t>
        </is>
      </c>
      <c r="F87" s="30" t="inlineStr">
        <is>
          <t>Aerospace &amp; Defence - Equipments</t>
        </is>
      </c>
      <c r="G87" s="30" t="inlineStr">
        <is>
          <t>smallcap</t>
        </is>
      </c>
      <c r="H87" s="31" t="n">
        <v>4123.99</v>
      </c>
      <c r="I87" s="31" t="n">
        <v>1094</v>
      </c>
      <c r="J87" s="31" t="n">
        <v>0.12</v>
      </c>
      <c r="K87" s="31" t="n">
        <v>0</v>
      </c>
      <c r="L87" s="30" t="n">
        <v>77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64.09</v>
      </c>
      <c r="P87" s="31" t="n">
        <v>28.63</v>
      </c>
      <c r="Q87" s="31" t="inlineStr"/>
      <c r="R87" s="30" t="inlineStr">
        <is>
          <t>Earnings / Momentum Support</t>
        </is>
      </c>
      <c r="S87" s="30" t="inlineStr">
        <is>
          <t>Nifty 50</t>
        </is>
      </c>
      <c r="T87" s="31" t="n">
        <v>0.85</v>
      </c>
      <c r="U87" s="31" t="n">
        <v>80.48999999999999</v>
      </c>
      <c r="V87" s="31" t="n">
        <v>78.97</v>
      </c>
      <c r="W87" s="31" t="n">
        <v>16.84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Headwind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3</t>
        </is>
      </c>
      <c r="BC87" s="30">
        <f>IF(BB87="Stage 2",20,IF(BB87="Stage 1",0,IF(BB87="Stage 3",5,IF(BB87="Stage 4",-5,0))))</f>
        <v/>
      </c>
      <c r="BD87" s="30" t="inlineStr">
        <is>
          <t>Negative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More than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20</t>
        </is>
      </c>
      <c r="CG87" s="30">
        <f>IF(CF87&gt;20,10,IF(CF87&gt;=10,5,2))</f>
        <v/>
      </c>
    </row>
    <row r="88">
      <c r="A88" s="30">
        <f>IF(B88=0,"",RANK(B88,$B$2:$B$94,0))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2" t="inlineStr">
        <is>
          <t>SILVERTUC</t>
        </is>
      </c>
      <c r="D88" s="32" t="inlineStr">
        <is>
          <t>Silver Touch Technologies Ltd</t>
        </is>
      </c>
      <c r="E88" s="30" t="inlineStr">
        <is>
          <t>i.t</t>
        </is>
      </c>
      <c r="F88" s="30" t="inlineStr">
        <is>
          <t>IT - Software</t>
        </is>
      </c>
      <c r="G88" s="30" t="inlineStr">
        <is>
          <t>smallcap</t>
        </is>
      </c>
      <c r="H88" s="31" t="n">
        <v>2586.29</v>
      </c>
      <c r="I88" s="31" t="n">
        <v>203.95</v>
      </c>
      <c r="J88" s="31" t="n">
        <v>4.12</v>
      </c>
      <c r="K88" s="31" t="n">
        <v>0</v>
      </c>
      <c r="L88" s="30" t="n">
        <v>6</v>
      </c>
      <c r="M88" s="30" t="inlineStr">
        <is>
          <t>Underperforming</t>
        </is>
      </c>
      <c r="N88" s="31">
        <f>IF(M88="Underperforming",-5,IF(L88&gt;=95,15,IF(L88&gt;=90,10,IF(L88&gt;=80,5,0))))</f>
        <v/>
      </c>
      <c r="O88" s="31" t="n">
        <v>42.95</v>
      </c>
      <c r="P88" s="31" t="n">
        <v>18.07</v>
      </c>
      <c r="Q88" s="31" t="inlineStr"/>
      <c r="R88" s="30" t="inlineStr">
        <is>
          <t>Earnings / Momentum Support</t>
        </is>
      </c>
      <c r="S88" s="30" t="inlineStr">
        <is>
          <t>Nifty IT</t>
        </is>
      </c>
      <c r="T88" s="31" t="n">
        <v>-8.289999999999999</v>
      </c>
      <c r="U88" s="31" t="n">
        <v>-73.48</v>
      </c>
      <c r="V88" s="31" t="n">
        <v>-71.08</v>
      </c>
      <c r="W88" s="31" t="n">
        <v>-2.53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Headwind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0 to 20</t>
        </is>
      </c>
      <c r="AY88" s="30">
        <f>IF(AX88="Above 40",20,IF(AX88="20 to 40",10,IF(AX88="0 to 20",-5,0)))</f>
        <v/>
      </c>
      <c r="AZ88" s="30" t="inlineStr">
        <is>
          <t>Below 45</t>
        </is>
      </c>
      <c r="BA88" s="30">
        <f>IF(AZ88="Between 50 to 75",10,IF(AZ88="Above 75",0,0))</f>
        <v/>
      </c>
      <c r="BB88" s="30" t="inlineStr">
        <is>
          <t>Stage 4</t>
        </is>
      </c>
      <c r="BC88" s="30">
        <f>IF(BB88="Stage 2",20,IF(BB88="Stage 1",0,IF(BB88="Stage 3",5,IF(BB88="Stage 4",-5,0))))</f>
        <v/>
      </c>
      <c r="BD88" s="30" t="inlineStr">
        <is>
          <t>Negative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25</t>
        </is>
      </c>
      <c r="CG88" s="30">
        <f>IF(CF88&gt;20,10,IF(CF88&gt;=10,5,2))</f>
        <v/>
      </c>
    </row>
    <row r="89">
      <c r="A89" s="30">
        <f>IF(B89=0,"",RANK(B89,$B$2:$B$94,0))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2" t="inlineStr">
        <is>
          <t>DEEPINDS</t>
        </is>
      </c>
      <c r="D89" s="32" t="inlineStr">
        <is>
          <t>Deep Industries Ltd</t>
        </is>
      </c>
      <c r="E89" s="30" t="inlineStr">
        <is>
          <t>energy</t>
        </is>
      </c>
      <c r="F89" s="30" t="inlineStr">
        <is>
          <t>Oil Drilling &amp; Exploration</t>
        </is>
      </c>
      <c r="G89" s="30" t="inlineStr">
        <is>
          <t>smallcap</t>
        </is>
      </c>
      <c r="H89" s="31" t="n">
        <v>4153.92</v>
      </c>
      <c r="I89" s="31" t="n">
        <v>649.05</v>
      </c>
      <c r="J89" s="31" t="n">
        <v>1.59</v>
      </c>
      <c r="K89" s="31" t="n">
        <v>0</v>
      </c>
      <c r="L89" s="30" t="n">
        <v>18</v>
      </c>
      <c r="M89" s="30" t="inlineStr">
        <is>
          <t>Underperforming</t>
        </is>
      </c>
      <c r="N89" s="31">
        <f>IF(M89="Underperforming",-5,IF(L89&gt;=95,15,IF(L89&gt;=90,10,IF(L89&gt;=80,5,0))))</f>
        <v/>
      </c>
      <c r="O89" s="31" t="n">
        <v>73.17</v>
      </c>
      <c r="P89" s="31" t="n">
        <v>19.13</v>
      </c>
      <c r="Q89" s="31" t="inlineStr"/>
      <c r="R89" s="30" t="inlineStr">
        <is>
          <t>Earnings / Momentum Support</t>
        </is>
      </c>
      <c r="S89" s="30" t="inlineStr">
        <is>
          <t>Nifty Energy</t>
        </is>
      </c>
      <c r="T89" s="31" t="n">
        <v>8.41</v>
      </c>
      <c r="U89" s="31" t="n">
        <v>0.27</v>
      </c>
      <c r="V89" s="31" t="n">
        <v>-7.51</v>
      </c>
      <c r="W89" s="31" t="n">
        <v>1.2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Oligopoly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Headwind</t>
        </is>
      </c>
      <c r="AE89" s="30">
        <f>IF(AD89="Tailwind",10,0)</f>
        <v/>
      </c>
      <c r="AF89" s="30" t="inlineStr">
        <is>
          <t>Cyclical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0 to 20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3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22</t>
        </is>
      </c>
      <c r="CG89" s="30">
        <f>IF(CF89&gt;20,10,IF(CF89&gt;=10,5,2))</f>
        <v/>
      </c>
    </row>
    <row r="90">
      <c r="A90" s="30">
        <f>IF(B90=0,"",RANK(B90,$B$2:$B$94,0))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IMFA</t>
        </is>
      </c>
      <c r="D90" s="30" t="inlineStr">
        <is>
          <t>Indian Metals &amp; Ferro Alloys Ltd</t>
        </is>
      </c>
      <c r="E90" s="30" t="inlineStr">
        <is>
          <t>metals &amp; mining</t>
        </is>
      </c>
      <c r="F90" s="30" t="inlineStr">
        <is>
          <t>Mining/Minerals</t>
        </is>
      </c>
      <c r="G90" s="30" t="inlineStr">
        <is>
          <t>midcap</t>
        </is>
      </c>
      <c r="H90" s="31" t="n">
        <v>7871.9</v>
      </c>
      <c r="I90" s="31" t="n">
        <v>1459</v>
      </c>
      <c r="J90" s="31" t="n">
        <v>-0.9</v>
      </c>
      <c r="K90" s="31" t="n">
        <v>0</v>
      </c>
      <c r="L90" s="30" t="n">
        <v>64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57.34</v>
      </c>
      <c r="P90" s="31" t="n">
        <v>14.05</v>
      </c>
      <c r="Q90" s="31" t="inlineStr"/>
      <c r="R90" s="30" t="inlineStr">
        <is>
          <t>Earnings / Momentum Support</t>
        </is>
      </c>
      <c r="S90" s="30" t="inlineStr">
        <is>
          <t>Nifty Metal</t>
        </is>
      </c>
      <c r="T90" s="31" t="n">
        <v>31.49</v>
      </c>
      <c r="U90" s="31" t="n">
        <v>80.06</v>
      </c>
      <c r="V90" s="31" t="n">
        <v>36.93</v>
      </c>
      <c r="W90" s="31" t="n">
        <v>11.83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Headwind</t>
        </is>
      </c>
      <c r="AE90" s="30">
        <f>IF(AD90="Tailwind",10,0)</f>
        <v/>
      </c>
      <c r="AF90" s="30" t="inlineStr">
        <is>
          <t>Cyclical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Volatile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0 to 20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3</t>
        </is>
      </c>
      <c r="BC90" s="30">
        <f>IF(BB90="Stage 2",20,IF(BB90="Stage 1",0,IF(BB90="Stage 3",5,IF(BB90="Stage 4",-5,0))))</f>
        <v/>
      </c>
      <c r="BD90" s="30" t="inlineStr">
        <is>
          <t>Negative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20</t>
        </is>
      </c>
      <c r="CG90" s="30">
        <f>IF(CF90&gt;20,10,IF(CF90&gt;=10,5,2))</f>
        <v/>
      </c>
    </row>
    <row r="91">
      <c r="A91" s="30">
        <f>IF(B91=0,"",RANK(B91,$B$2:$B$94,0))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2" t="inlineStr">
        <is>
          <t>KOLTEPATIL</t>
        </is>
      </c>
      <c r="D91" s="32" t="inlineStr">
        <is>
          <t>Kolte Patil Developers Ltd</t>
        </is>
      </c>
      <c r="E91" s="30" t="inlineStr">
        <is>
          <t>realty</t>
        </is>
      </c>
      <c r="F91" s="30" t="inlineStr">
        <is>
          <t>Realty - Construction &amp; Contracting</t>
        </is>
      </c>
      <c r="G91" s="30" t="inlineStr">
        <is>
          <t>smallcap</t>
        </is>
      </c>
      <c r="H91" s="31" t="n">
        <v>4136.93</v>
      </c>
      <c r="I91" s="31" t="n">
        <v>466.5</v>
      </c>
      <c r="J91" s="31" t="n">
        <v>4.81</v>
      </c>
      <c r="K91" s="31" t="n">
        <v>0</v>
      </c>
      <c r="L91" s="30" t="n">
        <v>9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67.55</v>
      </c>
      <c r="P91" s="31" t="n">
        <v>14.38</v>
      </c>
      <c r="Q91" s="31" t="inlineStr"/>
      <c r="R91" s="30" t="inlineStr">
        <is>
          <t>Earnings / Momentum Support</t>
        </is>
      </c>
      <c r="S91" s="30" t="inlineStr">
        <is>
          <t>Nifty Realty</t>
        </is>
      </c>
      <c r="T91" s="31" t="n">
        <v>-8.119999999999999</v>
      </c>
      <c r="U91" s="31" t="n">
        <v>-13.52</v>
      </c>
      <c r="V91" s="31" t="n">
        <v>-5.87</v>
      </c>
      <c r="W91" s="31" t="n">
        <v>-1.43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Headwind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0 to 20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3</t>
        </is>
      </c>
      <c r="BC91" s="30">
        <f>IF(BB91="Stage 2",20,IF(BB91="Stage 1",0,IF(BB91="Stage 3",5,IF(BB91="Stage 4",-5,0))))</f>
        <v/>
      </c>
      <c r="BD91" s="30" t="inlineStr">
        <is>
          <t>Negative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Negative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Between 0.7 to 1.2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19</t>
        </is>
      </c>
      <c r="CG91" s="30">
        <f>IF(CF91&gt;20,10,IF(CF91&gt;=10,5,2))</f>
        <v/>
      </c>
    </row>
    <row r="92">
      <c r="A92" s="30">
        <f>IF(B92=0,"",RANK(B92,$B$2:$B$94,0))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2" t="inlineStr">
        <is>
          <t>LLOYDSME</t>
        </is>
      </c>
      <c r="D92" s="32" t="inlineStr">
        <is>
          <t>Lloyds Metals &amp; Energy Ltd</t>
        </is>
      </c>
      <c r="E92" s="30" t="inlineStr">
        <is>
          <t>metals &amp; mining</t>
        </is>
      </c>
      <c r="F92" s="30" t="inlineStr">
        <is>
          <t>Mining/Minerals - Iron Ore</t>
        </is>
      </c>
      <c r="G92" s="30" t="inlineStr">
        <is>
          <t>largecap</t>
        </is>
      </c>
      <c r="H92" s="31" t="n">
        <v>115908.17</v>
      </c>
      <c r="I92" s="31" t="n">
        <v>2059.1</v>
      </c>
      <c r="J92" s="31" t="n">
        <v>-2</v>
      </c>
      <c r="K92" s="31" t="n">
        <v>0</v>
      </c>
      <c r="L92" s="30" t="n">
        <v>54</v>
      </c>
      <c r="M92" s="30" t="inlineStr">
        <is>
          <t>Underperforming</t>
        </is>
      </c>
      <c r="N92" s="31">
        <f>IF(M92="Underperforming",-5,IF(L92&gt;=95,15,IF(L92&gt;=90,10,IF(L92&gt;=80,5,0))))</f>
        <v/>
      </c>
      <c r="O92" s="31" t="n">
        <v>79.69</v>
      </c>
      <c r="P92" s="31" t="n">
        <v>44.63</v>
      </c>
      <c r="Q92" s="31" t="inlineStr"/>
      <c r="R92" s="30" t="inlineStr">
        <is>
          <t>Earnings / Momentum Support</t>
        </is>
      </c>
      <c r="S92" s="30" t="inlineStr">
        <is>
          <t>Nifty Metal</t>
        </is>
      </c>
      <c r="T92" s="31" t="n">
        <v>31.49</v>
      </c>
      <c r="U92" s="31" t="n">
        <v>26.75</v>
      </c>
      <c r="V92" s="31" t="n">
        <v>-3.61</v>
      </c>
      <c r="W92" s="31" t="n">
        <v>8.960000000000001</v>
      </c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Headwind</t>
        </is>
      </c>
      <c r="AE92" s="30">
        <f>IF(AD92="Tailwind",10,0)</f>
        <v/>
      </c>
      <c r="AF92" s="30" t="inlineStr">
        <is>
          <t>Cyclical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Volatile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3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Less than 50% and Borrowings are increasing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More than 1.2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20</t>
        </is>
      </c>
      <c r="CG92" s="30">
        <f>IF(CF92&gt;20,10,IF(CF92&gt;=10,5,2))</f>
        <v/>
      </c>
    </row>
    <row r="93">
      <c r="A93" s="30">
        <f>IF(B93=0,"",RANK(B93,$B$2:$B$94,0))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0" t="inlineStr">
        <is>
          <t>NHIT</t>
        </is>
      </c>
      <c r="D93" s="30" t="inlineStr">
        <is>
          <t>National Highways Infra Trust</t>
        </is>
      </c>
      <c r="E93" s="30" t="inlineStr">
        <is>
          <t>unknown</t>
        </is>
      </c>
      <c r="F93" s="30" t="inlineStr">
        <is>
          <t>Infrastructure Investment Trusts</t>
        </is>
      </c>
      <c r="G93" s="30" t="inlineStr">
        <is>
          <t>largecap</t>
        </is>
      </c>
      <c r="H93" s="31" t="n">
        <v>33120.15</v>
      </c>
      <c r="I93" s="31" t="n">
        <v>171</v>
      </c>
      <c r="J93" s="31" t="n">
        <v>4.27</v>
      </c>
      <c r="K93" s="31" t="n">
        <v>0</v>
      </c>
      <c r="L93" s="30" t="inlineStr"/>
      <c r="M93" s="30" t="inlineStr"/>
      <c r="N93" s="31">
        <f>IF(M93="Underperforming",-5,IF(L93&gt;=95,15,IF(L93&gt;=90,10,IF(L93&gt;=80,5,0))))</f>
        <v/>
      </c>
      <c r="O93" s="31" t="inlineStr"/>
      <c r="P93" s="31" t="inlineStr"/>
      <c r="Q93" s="31" t="inlineStr"/>
      <c r="R93" s="30" t="inlineStr"/>
      <c r="S93" s="30" t="inlineStr"/>
      <c r="T93" s="31" t="inlineStr"/>
      <c r="U93" s="31" t="inlineStr"/>
      <c r="V93" s="31" t="inlineStr"/>
      <c r="W93" s="31" t="inlineStr"/>
      <c r="X93" s="30" t="n"/>
      <c r="Y93" s="30">
        <f>IF(X93="Growing Industry",10,IF(X93="Cyclical in an Upturn",5,0))</f>
        <v/>
      </c>
      <c r="Z93" s="30" t="n"/>
      <c r="AA93" s="30">
        <f>IF(Z93="Monopoly",10,IF(Z93="Oligopoly",5,IF(Z93="Duopoly that cooperate",10,IF(Z93="Duopoly that compete",5,IF(Z93="Too many players with High ROCE",5,0)))))</f>
        <v/>
      </c>
      <c r="AB93" s="30" t="n"/>
      <c r="AC93" s="30">
        <f>IF(AB93="No",5,0)</f>
        <v/>
      </c>
      <c r="AD93" s="30" t="n"/>
      <c r="AE93" s="30">
        <f>IF(AD93="Tailwind",10,0)</f>
        <v/>
      </c>
      <c r="AF93" s="30" t="n"/>
      <c r="AG93" s="30">
        <f>IF(AF93="Structural (10 Years Consistency)",10,IF(AF93="Shallow Cyclical (2 to 3 years growth)",5,0))</f>
        <v/>
      </c>
      <c r="AH93" s="30" t="n"/>
      <c r="AI93" s="30">
        <f>IF(AH93="Yes due to Product Mix change or Operating Leverage",10,IF(AH93="Yes, these are peak margins",-5,IF(AH93="No",5,0)))</f>
        <v/>
      </c>
      <c r="AJ93" s="30" t="n"/>
      <c r="AK93" s="30">
        <f>IF(AJ93="Stable",10,0)</f>
        <v/>
      </c>
      <c r="AL93" s="30" t="n"/>
      <c r="AM93" s="30">
        <f>IF(AL93="Yes",10,0)</f>
        <v/>
      </c>
      <c r="AN93" s="30" t="n"/>
      <c r="AO93" s="30">
        <f>IF(AN93="B2C",10,IF(AN93="B2B",5,0))</f>
        <v/>
      </c>
      <c r="AP93" s="30" t="n"/>
      <c r="AQ93" s="30">
        <f>IF(AP93="Yes",10,0)</f>
        <v/>
      </c>
      <c r="AR93" s="30" t="n"/>
      <c r="AS93" s="30">
        <f>IF(AR93="Fully Annuity",10,IF(AR93="Higher Annuity, Lower One Time",5,IF(AR93="Higher One Time, Lower Annuity",3,0)))</f>
        <v/>
      </c>
      <c r="AT93" s="30" t="n"/>
      <c r="AU93" s="30">
        <f>IF(AT93="Good",10,0)</f>
        <v/>
      </c>
      <c r="AV93" s="30" t="n"/>
      <c r="AW93" s="30">
        <f>IF(AV93="Yes for more than 2 years",10,IF(AV93="Yes only for next 1 to 2 years",5,0))</f>
        <v/>
      </c>
      <c r="AX93" s="30" t="n"/>
      <c r="AY93" s="30">
        <f>IF(AX93="Above 40",20,IF(AX93="20 to 40",10,IF(AX93="0 to 20",-5,0)))</f>
        <v/>
      </c>
      <c r="AZ93" s="30" t="n"/>
      <c r="BA93" s="30">
        <f>IF(AZ93="Between 50 to 75",10,IF(AZ93="Above 75",0,0))</f>
        <v/>
      </c>
      <c r="BB93" s="30" t="n"/>
      <c r="BC93" s="30">
        <f>IF(BB93="Stage 2",20,IF(BB93="Stage 1",0,IF(BB93="Stage 3",5,IF(BB93="Stage 4",-5,0))))</f>
        <v/>
      </c>
      <c r="BD93" s="30" t="n"/>
      <c r="BE93" s="30">
        <f>IF(BD93="Positive Trend",20,IF(BD93="Negative Trend",-10,0))</f>
        <v/>
      </c>
      <c r="BF93" s="30" t="n"/>
      <c r="BG93" s="30">
        <f>IF(BF93="Uptrend",10,IF(BF93="Sideways",5,0))</f>
        <v/>
      </c>
      <c r="BH93" s="30" t="n"/>
      <c r="BI93" s="30">
        <f>IF(BH93="Uptrend",10,IF(BH93="Sideways",5,0))</f>
        <v/>
      </c>
      <c r="BJ93" s="30" t="n"/>
      <c r="BK93" s="30">
        <f>IF(BJ93="Overhead supply in last 2 years in last 2 years",-5,IF(BJ93="Close to 52 week high or retracement",5,IF(BJ93="Blue sky scenario",10,IF(BJ93="Long term Downtrend",-10,0))))</f>
        <v/>
      </c>
      <c r="BL93" s="30" t="n"/>
      <c r="BM93" s="30">
        <f>IF(BL93="Yes",10,0)</f>
        <v/>
      </c>
      <c r="BN93" s="30" t="n"/>
      <c r="BO93" s="30">
        <f>IF(BN93="More than 20%",10,IF(BN93="Between 12 to 20%",5,IF(BN93="Less than 12%",0,0)))</f>
        <v/>
      </c>
      <c r="BP93" s="30" t="n"/>
      <c r="BQ93" s="30">
        <f>IF(BP93="No",10,0)</f>
        <v/>
      </c>
      <c r="BR93" s="30" t="n"/>
      <c r="BS93" s="30">
        <f>IF(BR93="NO",5,0)</f>
        <v/>
      </c>
      <c r="BT93" s="30" t="n"/>
      <c r="BU93" s="30">
        <f>IF(BT93="Above 2",0,IF(BT93="Between 1.5 to 2",5,IF(BT93="Less than 1.5",10,0)))</f>
        <v/>
      </c>
      <c r="BV93" s="30" t="n"/>
      <c r="BW93" s="30">
        <f>IF(BV93="Above 70%",10,IF(BV93="Between 50% to 70%",5,IF(BV93="Less than 50%",0,IF(BV93="Negative",-10,IF(BV93="Less than 50% and Borrowings are increasing",-5,0)))))</f>
        <v/>
      </c>
      <c r="BX93" s="30" t="n"/>
      <c r="BY93" s="30">
        <f>IF(BX93="More than 1.2",-10,IF(BX93="Between 0.7 to 1.2",0,IF(BX93="Less than 0.7",10,0)))</f>
        <v/>
      </c>
      <c r="BZ93" s="30" t="n"/>
      <c r="CA93" s="30">
        <f>IF(BZ93="Yes",-10,0)</f>
        <v/>
      </c>
      <c r="CB93" s="30" t="n"/>
      <c r="CC93" s="30">
        <f>IF(CB93="More than 15%",-10,IF(CB93="Less than 15%",10,0))</f>
        <v/>
      </c>
      <c r="CD93" s="30" t="n"/>
      <c r="CE93" s="30">
        <f>IF(CD93="Yes, more than 10%",-10,IF(CD93="No",10,0))</f>
        <v/>
      </c>
      <c r="CF93" s="30" t="n"/>
      <c r="CG93" s="30">
        <f>IF(CF93&gt;20,10,IF(CF93&gt;=10,5,2))</f>
        <v/>
      </c>
    </row>
    <row r="94">
      <c r="A94" s="30">
        <f>IF(B94=0,"",RANK(B94,$B$2:$B$94,0))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GOLDIAM</t>
        </is>
      </c>
      <c r="D94" s="30" t="inlineStr">
        <is>
          <t>Goldiam International Ltd</t>
        </is>
      </c>
      <c r="E94" s="30" t="inlineStr">
        <is>
          <t>unknown</t>
        </is>
      </c>
      <c r="F94" s="30" t="inlineStr">
        <is>
          <t>Lab Grown Diamonds</t>
        </is>
      </c>
      <c r="G94" s="30" t="inlineStr">
        <is>
          <t>midcap</t>
        </is>
      </c>
      <c r="H94" s="31" t="n">
        <v>5602.23</v>
      </c>
      <c r="I94" s="31" t="n">
        <v>372.1</v>
      </c>
      <c r="J94" s="31" t="n">
        <v>-0.21</v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</sheetData>
  <autoFilter ref="A1:CG94"/>
  <conditionalFormatting sqref="B2:B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4">
    <cfRule type="cellIs" priority="37" operator="equal" dxfId="3" stopIfTrue="1">
      <formula>"Underperforming"</formula>
    </cfRule>
  </conditionalFormatting>
  <conditionalFormatting sqref="N2:N94">
    <cfRule type="cellIs" priority="38" operator="equal" dxfId="3" stopIfTrue="1">
      <formula>-5</formula>
    </cfRule>
  </conditionalFormatting>
  <conditionalFormatting sqref="Q2:Q9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4" showDropDown="0" showInputMessage="0" showErrorMessage="0" allowBlank="1" type="list">
      <formula1>"Growing Industry,Stagnant Industry,Cyclical in an Upturn"</formula1>
    </dataValidation>
    <dataValidation sqref="Z2:Z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4" showDropDown="0" showInputMessage="0" showErrorMessage="0" allowBlank="1" type="list">
      <formula1>"Yes,No"</formula1>
    </dataValidation>
    <dataValidation sqref="AD2:AD94" showDropDown="0" showInputMessage="0" showErrorMessage="0" allowBlank="1" type="list">
      <formula1>"Tailwind,Headwind"</formula1>
    </dataValidation>
    <dataValidation sqref="AF2:AF94" showDropDown="0" showInputMessage="0" showErrorMessage="0" allowBlank="1" type="list">
      <formula1>"Structural (10 Years Consistency),Shallow Cyclical (2 to 3 Years Growth),Cyclical"</formula1>
    </dataValidation>
    <dataValidation sqref="AH2:AH94" showDropDown="0" showInputMessage="0" showErrorMessage="0" allowBlank="1" type="list">
      <formula1>"Yes due to Product Mix change or Operating Leverage,Yes, these are peak margins,No"</formula1>
    </dataValidation>
    <dataValidation sqref="AJ2:AJ94" showDropDown="0" showInputMessage="0" showErrorMessage="0" allowBlank="1" type="list">
      <formula1>"Stable,Volatile"</formula1>
    </dataValidation>
    <dataValidation sqref="AL2:AL94" showDropDown="0" showInputMessage="0" showErrorMessage="0" allowBlank="1" type="list">
      <formula1>"Yes,No"</formula1>
    </dataValidation>
    <dataValidation sqref="AN2:AN94" showDropDown="0" showInputMessage="0" showErrorMessage="0" allowBlank="1" type="list">
      <formula1>"B2C,B2B,B2G"</formula1>
    </dataValidation>
    <dataValidation sqref="AP2:AP94" showDropDown="0" showInputMessage="0" showErrorMessage="0" allowBlank="1" type="list">
      <formula1>"Yes,No"</formula1>
    </dataValidation>
    <dataValidation sqref="AR2:AR94" showDropDown="0" showInputMessage="0" showErrorMessage="0" allowBlank="1" type="list">
      <formula1>"Fully Annuity,Higher Annuity, Lower One time,Higher One Time, Lower Annuity,Fully One Time"</formula1>
    </dataValidation>
    <dataValidation sqref="AT2:AT94" showDropDown="0" showInputMessage="0" showErrorMessage="0" allowBlank="1" type="list">
      <formula1>"Good,Allocated capital in Non-core Areas"</formula1>
    </dataValidation>
    <dataValidation sqref="AV2:AV94" showDropDown="0" showInputMessage="0" showErrorMessage="0" allowBlank="1" type="list">
      <formula1>"Yes for more than 2 years,Yes only for next 1 to 2 years,No"</formula1>
    </dataValidation>
    <dataValidation sqref="AX2:AX94" showDropDown="0" showInputMessage="0" showErrorMessage="0" allowBlank="1" type="list">
      <formula1>"Above 40,20 to 40,0 to 20"</formula1>
    </dataValidation>
    <dataValidation sqref="AZ2:AZ94" showDropDown="0" showInputMessage="0" showErrorMessage="0" allowBlank="1" type="list">
      <formula1>"Between 50 to 75,Above 75,Below 45"</formula1>
    </dataValidation>
    <dataValidation sqref="BB2:BB94" showDropDown="0" showInputMessage="0" showErrorMessage="0" allowBlank="1" type="list">
      <formula1>"Stage 1,Stage 2,Stage 3,Stage 4"</formula1>
    </dataValidation>
    <dataValidation sqref="BD2:BD94" showDropDown="0" showInputMessage="0" showErrorMessage="0" allowBlank="1" type="list">
      <formula1>"Positive Trend,Negative Trend"</formula1>
    </dataValidation>
    <dataValidation sqref="BF2:BF94" showDropDown="0" showInputMessage="0" showErrorMessage="0" allowBlank="1" type="list">
      <formula1>"Uptrend,Sideways,Downtrend"</formula1>
    </dataValidation>
    <dataValidation sqref="BH2:BH94" showDropDown="0" showInputMessage="0" showErrorMessage="0" allowBlank="1" type="list">
      <formula1>"Uptrend,Sideways,Downtrend"</formula1>
    </dataValidation>
    <dataValidation sqref="BJ2:BJ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4" showDropDown="0" showInputMessage="0" showErrorMessage="0" allowBlank="1" type="list">
      <formula1>"Yes,No"</formula1>
    </dataValidation>
    <dataValidation sqref="BN2:BN94" showDropDown="0" showInputMessage="0" showErrorMessage="0" allowBlank="1" type="list">
      <formula1>"More than 20%,Between 12 to 20%,Less than 12%"</formula1>
    </dataValidation>
    <dataValidation sqref="BP2:BP94" showDropDown="0" showInputMessage="0" showErrorMessage="0" allowBlank="1" type="list">
      <formula1>"Yes,No"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"Above 2,Between 1.5 to 2,Less than 1.5"</formula1>
    </dataValidation>
    <dataValidation sqref="BV2:BV94" showDropDown="0" showInputMessage="0" showErrorMessage="0" allowBlank="1" type="list">
      <formula1>"Above 70%,Between 50% to 70%,Less than 50%,Less than 50% and Borrowings are increasing,Negative"</formula1>
    </dataValidation>
    <dataValidation sqref="BX2:BX94" showDropDown="0" showInputMessage="0" showErrorMessage="0" allowBlank="1" type="list">
      <formula1>"More than 1.2,Between 0.7 to 1.2,Less than 0.7"</formula1>
    </dataValidation>
    <dataValidation sqref="BZ2:BZ94" showDropDown="0" showInputMessage="0" showErrorMessage="0" allowBlank="1" type="list">
      <formula1>"Yes,No"</formula1>
    </dataValidation>
    <dataValidation sqref="CB2:CB94" showDropDown="0" showInputMessage="0" showErrorMessage="0" allowBlank="1" type="list">
      <formula1>"More than 15%,Less than 15%"</formula1>
    </dataValidation>
    <dataValidation sqref="CD2:CD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IF(B2=0,"",RANK(B2,$B$2:$B$8,0))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ESAFSFB</t>
        </is>
      </c>
      <c r="D2" s="30" t="inlineStr">
        <is>
          <t>ESAF Small Finance Bank Ltd</t>
        </is>
      </c>
      <c r="E2" s="30" t="inlineStr">
        <is>
          <t>bank</t>
        </is>
      </c>
      <c r="F2" s="30" t="inlineStr">
        <is>
          <t>Banks - Small Finance</t>
        </is>
      </c>
      <c r="G2" s="30" t="inlineStr">
        <is>
          <t>smallcap</t>
        </is>
      </c>
      <c r="H2" s="31" t="n">
        <v>2055.3</v>
      </c>
      <c r="I2" s="31" t="n">
        <v>39.83</v>
      </c>
      <c r="J2" s="31" t="n">
        <v>-1.09</v>
      </c>
      <c r="K2" s="31" t="n">
        <v>0</v>
      </c>
      <c r="L2" s="30" t="n">
        <v>71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68.09999999999999</v>
      </c>
      <c r="P2" s="31" t="n">
        <v>33.46</v>
      </c>
      <c r="Q2" s="31" t="inlineStr"/>
      <c r="R2" s="30" t="inlineStr">
        <is>
          <t>Earnings / Momentum Support</t>
        </is>
      </c>
      <c r="S2" s="30" t="inlineStr">
        <is>
          <t>Nifty Bank</t>
        </is>
      </c>
      <c r="T2" s="31" t="n">
        <v>4.98</v>
      </c>
      <c r="U2" s="31" t="n">
        <v>32.55</v>
      </c>
      <c r="V2" s="31" t="n">
        <v>26.26</v>
      </c>
      <c r="W2" s="31" t="n">
        <v>14.14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Headwind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No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3</t>
        </is>
      </c>
      <c r="BQ2" s="30">
        <f>IF(BP2="Stage 2",20,IF(BP2="Stage 1",0,IF(BP2="Stage 3",5,IF(BP2="Stage 4",-5,0))))</f>
        <v/>
      </c>
      <c r="BR2" s="30" t="inlineStr">
        <is>
          <t>Negative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20</t>
        </is>
      </c>
      <c r="CC2" s="30">
        <f>IF(CB2&gt;20,10,IF(CB2&gt;=10,5,2))</f>
        <v/>
      </c>
    </row>
    <row r="3">
      <c r="A3" s="30">
        <f>IF(B3=0,"",RANK(B3,$B$2:$B$8,0))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UJJIVANSFB</t>
        </is>
      </c>
      <c r="D3" s="30" t="inlineStr">
        <is>
          <t>Ujjivan Small Finance Bank Ltd</t>
        </is>
      </c>
      <c r="E3" s="30" t="inlineStr">
        <is>
          <t>bank</t>
        </is>
      </c>
      <c r="F3" s="30" t="inlineStr">
        <is>
          <t>Banks - Small Finance</t>
        </is>
      </c>
      <c r="G3" s="30" t="inlineStr">
        <is>
          <t>midcap</t>
        </is>
      </c>
      <c r="H3" s="31" t="n">
        <v>13589.12</v>
      </c>
      <c r="I3" s="31" t="n">
        <v>69.73999999999999</v>
      </c>
      <c r="J3" s="31" t="n">
        <v>-0.53</v>
      </c>
      <c r="K3" s="31" t="n">
        <v>0</v>
      </c>
      <c r="L3" s="30" t="n">
        <v>65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65.93000000000001</v>
      </c>
      <c r="P3" s="31" t="n">
        <v>35.92</v>
      </c>
      <c r="Q3" s="31" t="inlineStr"/>
      <c r="R3" s="30" t="inlineStr">
        <is>
          <t>Earnings / Momentum Support</t>
        </is>
      </c>
      <c r="S3" s="30" t="inlineStr">
        <is>
          <t>Nifty Bank</t>
        </is>
      </c>
      <c r="T3" s="31" t="n">
        <v>4.98</v>
      </c>
      <c r="U3" s="31" t="n">
        <v>58.98</v>
      </c>
      <c r="V3" s="31" t="n">
        <v>51.43</v>
      </c>
      <c r="W3" s="31" t="n">
        <v>12.55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Headwind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No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3</t>
        </is>
      </c>
      <c r="BQ3" s="30">
        <f>IF(BP3="Stage 2",20,IF(BP3="Stage 1",0,IF(BP3="Stage 3",5,IF(BP3="Stage 4",-5,0))))</f>
        <v/>
      </c>
      <c r="BR3" s="30" t="inlineStr">
        <is>
          <t>Negative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Close to 52 week high or retracement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19</t>
        </is>
      </c>
      <c r="CC3" s="30">
        <f>IF(CB3&gt;20,10,IF(CB3&gt;=10,5,2))</f>
        <v/>
      </c>
    </row>
    <row r="4">
      <c r="A4" s="30">
        <f>IF(B4=0,"",RANK(B4,$B$2:$B$8,0))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TFCILTD</t>
        </is>
      </c>
      <c r="D4" s="30" t="inlineStr">
        <is>
          <t>Tourism Finance Corporation of India Ltd</t>
        </is>
      </c>
      <c r="E4" s="30" t="inlineStr">
        <is>
          <t>financials</t>
        </is>
      </c>
      <c r="F4" s="30" t="inlineStr">
        <is>
          <t>Finance - PSU Lending</t>
        </is>
      </c>
      <c r="G4" s="30" t="inlineStr">
        <is>
          <t>midcap</t>
        </is>
      </c>
      <c r="H4" s="31" t="n">
        <v>5331.18</v>
      </c>
      <c r="I4" s="31" t="n">
        <v>115.15</v>
      </c>
      <c r="J4" s="31" t="n">
        <v>-1.98</v>
      </c>
      <c r="K4" s="31" t="n">
        <v>0</v>
      </c>
      <c r="L4" s="30" t="n">
        <v>89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79.68000000000001</v>
      </c>
      <c r="P4" s="31" t="n">
        <v>51.36</v>
      </c>
      <c r="Q4" s="31" t="inlineStr"/>
      <c r="R4" s="30" t="inlineStr">
        <is>
          <t>Earnings / Momentum Support</t>
        </is>
      </c>
      <c r="S4" s="30" t="inlineStr">
        <is>
          <t>Nifty Bank</t>
        </is>
      </c>
      <c r="T4" s="31" t="n">
        <v>4.98</v>
      </c>
      <c r="U4" s="31" t="n">
        <v>108.68</v>
      </c>
      <c r="V4" s="31" t="n">
        <v>98.77</v>
      </c>
      <c r="W4" s="31" t="n">
        <v>25.07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Headwind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No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3</t>
        </is>
      </c>
      <c r="BQ4" s="30">
        <f>IF(BP4="Stage 2",20,IF(BP4="Stage 1",0,IF(BP4="Stage 3",5,IF(BP4="Stage 4",-5,0))))</f>
        <v/>
      </c>
      <c r="BR4" s="30" t="inlineStr">
        <is>
          <t>Negative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24</t>
        </is>
      </c>
      <c r="CC4" s="30">
        <f>IF(CB4&gt;20,10,IF(CB4&gt;=10,5,2))</f>
        <v/>
      </c>
    </row>
    <row r="5">
      <c r="A5" s="30">
        <f>IF(B5=0,"",RANK(B5,$B$2:$B$8,0))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CGCL</t>
        </is>
      </c>
      <c r="D5" s="30" t="inlineStr">
        <is>
          <t>Capri Global Capital Ltd</t>
        </is>
      </c>
      <c r="E5" s="30" t="inlineStr">
        <is>
          <t>Financial Services</t>
        </is>
      </c>
      <c r="F5" s="30" t="inlineStr">
        <is>
          <t>Finance &amp; Investments - Gold Loan</t>
        </is>
      </c>
      <c r="G5" s="30" t="inlineStr">
        <is>
          <t>largecap</t>
        </is>
      </c>
      <c r="H5" s="31" t="n">
        <v>22360.46</v>
      </c>
      <c r="I5" s="31" t="n">
        <v>232.4</v>
      </c>
      <c r="J5" s="31" t="n">
        <v>0.93</v>
      </c>
      <c r="K5" s="31" t="n">
        <v>0</v>
      </c>
      <c r="L5" s="30" t="n">
        <v>53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61.48</v>
      </c>
      <c r="P5" s="31" t="n">
        <v>37.58</v>
      </c>
      <c r="Q5" s="31" t="inlineStr"/>
      <c r="R5" s="30" t="inlineStr">
        <is>
          <t>Earnings / Momentum Support</t>
        </is>
      </c>
      <c r="S5" s="30" t="inlineStr">
        <is>
          <t>Nifty Bank</t>
        </is>
      </c>
      <c r="T5" s="31" t="n">
        <v>4.98</v>
      </c>
      <c r="U5" s="31" t="n">
        <v>26.53</v>
      </c>
      <c r="V5" s="31" t="n">
        <v>20.52</v>
      </c>
      <c r="W5" s="31" t="n">
        <v>8.609999999999999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Headwind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No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3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21</t>
        </is>
      </c>
      <c r="CC5" s="30">
        <f>IF(CB5&gt;20,10,IF(CB5&gt;=10,5,2))</f>
        <v/>
      </c>
    </row>
    <row r="6">
      <c r="A6" s="30">
        <f>IF(B6=0,"",RANK(B6,$B$2:$B$8,0))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OFSS</t>
        </is>
      </c>
      <c r="D6" s="30" t="inlineStr">
        <is>
          <t>Oracle Financial Services Software Ltd</t>
        </is>
      </c>
      <c r="E6" s="30" t="inlineStr">
        <is>
          <t>i.t</t>
        </is>
      </c>
      <c r="F6" s="30" t="inlineStr">
        <is>
          <t>IT Product Companies</t>
        </is>
      </c>
      <c r="G6" s="30" t="inlineStr">
        <is>
          <t>largecap</t>
        </is>
      </c>
      <c r="H6" s="31" t="n">
        <v>103532.78</v>
      </c>
      <c r="I6" s="31" t="n">
        <v>11890</v>
      </c>
      <c r="J6" s="31" t="n">
        <v>0.72</v>
      </c>
      <c r="K6" s="31" t="n">
        <v>0</v>
      </c>
      <c r="L6" s="30" t="n">
        <v>72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69.08</v>
      </c>
      <c r="P6" s="31" t="n">
        <v>30.74</v>
      </c>
      <c r="Q6" s="31" t="inlineStr"/>
      <c r="R6" s="30" t="inlineStr">
        <is>
          <t>Earnings / Momentum Support</t>
        </is>
      </c>
      <c r="S6" s="30" t="inlineStr">
        <is>
          <t>Nifty IT</t>
        </is>
      </c>
      <c r="T6" s="31" t="n">
        <v>-8.289999999999999</v>
      </c>
      <c r="U6" s="31" t="n">
        <v>46.38</v>
      </c>
      <c r="V6" s="31" t="n">
        <v>59.61</v>
      </c>
      <c r="W6" s="31" t="n">
        <v>14.46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No</t>
        </is>
      </c>
      <c r="AC6" s="30">
        <f>IF(AB6="No",5,0)</f>
        <v/>
      </c>
      <c r="AD6" s="30" t="inlineStr">
        <is>
          <t>Headwind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above 5x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3</t>
        </is>
      </c>
      <c r="BQ6" s="30">
        <f>IF(BP6="Stage 2",20,IF(BP6="Stage 1",0,IF(BP6="Stage 3",5,IF(BP6="Stage 4",-5,0))))</f>
        <v/>
      </c>
      <c r="BR6" s="30" t="inlineStr">
        <is>
          <t>Negative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22</t>
        </is>
      </c>
      <c r="CC6" s="30">
        <f>IF(CB6&gt;20,10,IF(CB6&gt;=10,5,2))</f>
        <v/>
      </c>
    </row>
    <row r="7">
      <c r="A7" s="30">
        <f>IF(B7=0,"",RANK(B7,$B$2:$B$8,0))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GCSL</t>
        </is>
      </c>
      <c r="D7" s="30" t="inlineStr">
        <is>
          <t>Gretex Corporate Services Ltd</t>
        </is>
      </c>
      <c r="E7" s="30" t="inlineStr">
        <is>
          <t>Financial Services</t>
        </is>
      </c>
      <c r="F7" s="30" t="inlineStr">
        <is>
          <t>Finance &amp; Investments - Others</t>
        </is>
      </c>
      <c r="G7" s="30" t="inlineStr">
        <is>
          <t>smallcap</t>
        </is>
      </c>
      <c r="H7" s="31" t="n">
        <v>1250.97</v>
      </c>
      <c r="I7" s="31" t="n">
        <v>517.8</v>
      </c>
      <c r="J7" s="31" t="n">
        <v>-1.08</v>
      </c>
      <c r="K7" s="31" t="n">
        <v>0</v>
      </c>
      <c r="L7" s="30" t="n">
        <v>81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71.3</v>
      </c>
      <c r="P7" s="31" t="n">
        <v>33.59</v>
      </c>
      <c r="Q7" s="31" t="inlineStr"/>
      <c r="R7" s="30" t="inlineStr">
        <is>
          <t>Earnings / Momentum Support</t>
        </is>
      </c>
      <c r="S7" s="30" t="inlineStr">
        <is>
          <t>Nifty Bank</t>
        </is>
      </c>
      <c r="T7" s="31" t="n">
        <v>6.71</v>
      </c>
      <c r="U7" s="31" t="n">
        <v>74.54000000000001</v>
      </c>
      <c r="V7" s="31" t="n">
        <v>63.56</v>
      </c>
      <c r="W7" s="31" t="n">
        <v>19.52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No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above 5x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3</t>
        </is>
      </c>
      <c r="BQ7" s="30">
        <f>IF(BP7="Stage 2",20,IF(BP7="Stage 1",0,IF(BP7="Stage 3",5,IF(BP7="Stage 4",-5,0))))</f>
        <v/>
      </c>
      <c r="BR7" s="30" t="inlineStr">
        <is>
          <t>Negative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20</t>
        </is>
      </c>
      <c r="CC7" s="30">
        <f>IF(CB7&gt;20,10,IF(CB7&gt;=10,5,2))</f>
        <v/>
      </c>
    </row>
    <row r="8">
      <c r="A8" s="30">
        <f>IF(B8=0,"",RANK(B8,$B$2:$B$8,0))</f>
        <v/>
      </c>
      <c r="B8" s="31">
        <f>SUM(N8,Y8,AA8,AC8,AE8,AG8,AI8,AK8,AM8,AO8,AQ8,AS8,AU8,AW8,AY8,BA8,BC8,BE8,BG8,BI8,BK8,BM8,BO8,BQ8,BS8,BU8,BW8,BY8,CA8,CC8)</f>
        <v/>
      </c>
      <c r="C8" s="30" t="inlineStr">
        <is>
          <t>SHRIRAMFIN</t>
        </is>
      </c>
      <c r="D8" s="30" t="inlineStr">
        <is>
          <t>Shriram Finance Ltd</t>
        </is>
      </c>
      <c r="E8" s="30" t="inlineStr">
        <is>
          <t>financials</t>
        </is>
      </c>
      <c r="F8" s="30" t="inlineStr">
        <is>
          <t>Finance &amp; Investments - CV Finance</t>
        </is>
      </c>
      <c r="G8" s="30" t="inlineStr">
        <is>
          <t>largecap</t>
        </is>
      </c>
      <c r="H8" s="31" t="n">
        <v>267718.47</v>
      </c>
      <c r="I8" s="31" t="n">
        <v>1137.8</v>
      </c>
      <c r="J8" s="31" t="n">
        <v>2.04</v>
      </c>
      <c r="K8" s="31" t="n">
        <v>0</v>
      </c>
      <c r="L8" s="30" t="n">
        <v>75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64.55</v>
      </c>
      <c r="P8" s="31" t="n">
        <v>15.46</v>
      </c>
      <c r="Q8" s="31" t="inlineStr"/>
      <c r="R8" s="30" t="inlineStr">
        <is>
          <t>Earnings / Momentum Support</t>
        </is>
      </c>
      <c r="S8" s="30" t="inlineStr">
        <is>
          <t>Nifty Bank</t>
        </is>
      </c>
      <c r="T8" s="31" t="n">
        <v>4.98</v>
      </c>
      <c r="U8" s="31" t="n">
        <v>85.05</v>
      </c>
      <c r="V8" s="31" t="n">
        <v>76.26000000000001</v>
      </c>
      <c r="W8" s="31" t="n">
        <v>16.12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Headwind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No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between 2.5x to 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0 to 20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3</t>
        </is>
      </c>
      <c r="BQ8" s="30">
        <f>IF(BP8="Stage 2",20,IF(BP8="Stage 1",0,IF(BP8="Stage 3",5,IF(BP8="Stage 4",-5,0))))</f>
        <v/>
      </c>
      <c r="BR8" s="30" t="inlineStr">
        <is>
          <t>Negative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  <c r="CB8" s="30" t="inlineStr">
        <is>
          <t>20</t>
        </is>
      </c>
      <c r="CC8" s="30">
        <f>IF(CB8&gt;20,10,IF(CB8&gt;=10,5,2))</f>
        <v/>
      </c>
    </row>
  </sheetData>
  <autoFilter ref="A1:CC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8">
    <cfRule type="cellIs" priority="35" operator="equal" dxfId="3" stopIfTrue="1">
      <formula>"Underperforming"</formula>
    </cfRule>
  </conditionalFormatting>
  <conditionalFormatting sqref="N2:N8">
    <cfRule type="cellIs" priority="36" operator="equal" dxfId="3" stopIfTrue="1">
      <formula>-5</formula>
    </cfRule>
  </conditionalFormatting>
  <conditionalFormatting sqref="Q2:Q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8" showDropDown="0" showInputMessage="0" showErrorMessage="0" allowBlank="1" type="list">
      <formula1>"Growing Industry,Stagnant Industry,Cyclical in an Upturn"</formula1>
    </dataValidation>
    <dataValidation sqref="Z2:Z8" showDropDown="0" showInputMessage="0" showErrorMessage="0" allowBlank="1" type="list">
      <formula1>"Fragmented with Low ROE,Fragmented with High ROE,Highly Cyclical"</formula1>
    </dataValidation>
    <dataValidation sqref="AB2:AB8" showDropDown="0" showInputMessage="0" showErrorMessage="0" allowBlank="1" type="list">
      <formula1>"Yes,No"</formula1>
    </dataValidation>
    <dataValidation sqref="AD2:AD8" showDropDown="0" showInputMessage="0" showErrorMessage="0" allowBlank="1" type="list">
      <formula1>"Tailwind,Headwind"</formula1>
    </dataValidation>
    <dataValidation sqref="AF2:AF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"Yes,No,Not Applicable"</formula1>
    </dataValidation>
    <dataValidation sqref="AL2:AL8" showDropDown="0" showInputMessage="0" showErrorMessage="0" allowBlank="1" type="list">
      <formula1>"Yes,No"</formula1>
    </dataValidation>
    <dataValidation sqref="AN2:AN8" showDropDown="0" showInputMessage="0" showErrorMessage="0" allowBlank="1" type="list">
      <formula1>"Yes,No"</formula1>
    </dataValidation>
    <dataValidation sqref="AP2:AP8" showDropDown="0" showInputMessage="0" showErrorMessage="0" allowBlank="1" type="list">
      <formula1>"Yes,No"</formula1>
    </dataValidation>
    <dataValidation sqref="AR2:AR8" showDropDown="0" showInputMessage="0" showErrorMessage="0" allowBlank="1" type="list">
      <formula1>"Yes,No"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"No,Yes"</formula1>
    </dataValidation>
    <dataValidation sqref="AX2:AX8" showDropDown="0" showInputMessage="0" showErrorMessage="0" allowBlank="1" type="list">
      <formula1>"No,Yes CEO Resignation,Yes CEO Retirement"</formula1>
    </dataValidation>
    <dataValidation sqref="AZ2:AZ8" showDropDown="0" showInputMessage="0" showErrorMessage="0" allowBlank="1" type="list">
      <formula1>"No,Yes"</formula1>
    </dataValidation>
    <dataValidation sqref="BB2:BB8" showDropDown="0" showInputMessage="0" showErrorMessage="0" allowBlank="1" type="list">
      <formula1>"No,Yes"</formula1>
    </dataValidation>
    <dataValidation sqref="BD2:BD8" showDropDown="0" showInputMessage="0" showErrorMessage="0" allowBlank="1" type="list">
      <formula1>"Yes,No"</formula1>
    </dataValidation>
    <dataValidation sqref="BF2:BF8" showDropDown="0" showInputMessage="0" showErrorMessage="0" allowBlank="1" type="list">
      <formula1>"Yes,No"</formula1>
    </dataValidation>
    <dataValidation sqref="BH2:BH8" showDropDown="0" showInputMessage="0" showErrorMessage="0" allowBlank="1" type="list">
      <formula1>"Yes,No"</formula1>
    </dataValidation>
    <dataValidation sqref="BJ2:BJ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" showDropDown="0" showInputMessage="0" showErrorMessage="0" allowBlank="1" type="list">
      <formula1>"Above 40,20 to 40,0 to 20"</formula1>
    </dataValidation>
    <dataValidation sqref="BN2:BN8" showDropDown="0" showInputMessage="0" showErrorMessage="0" allowBlank="1" type="list">
      <formula1>"Between 50 to 75,Above 75,Below 45"</formula1>
    </dataValidation>
    <dataValidation sqref="BP2:BP8" showDropDown="0" showInputMessage="0" showErrorMessage="0" allowBlank="1" type="list">
      <formula1>"Stage 1,Stage 2,Stage 3,Stage 4"</formula1>
    </dataValidation>
    <dataValidation sqref="BR2:BR8" showDropDown="0" showInputMessage="0" showErrorMessage="0" allowBlank="1" type="list">
      <formula1>"Positive Trend,Negative Trend"</formula1>
    </dataValidation>
    <dataValidation sqref="BT2:BT8" showDropDown="0" showInputMessage="0" showErrorMessage="0" allowBlank="1" type="list">
      <formula1>"Uptrend,Sideways,Downtrend"</formula1>
    </dataValidation>
    <dataValidation sqref="BV2:BV8" showDropDown="0" showInputMessage="0" showErrorMessage="0" allowBlank="1" type="list">
      <formula1>"Uptrend,Sideways,Downtrend"</formula1>
    </dataValidation>
    <dataValidation sqref="BX2:BX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2026-08-10T11:29:33Z</dcterms:created>
  <dcterms:modified xmlns:dcterms="http://purl.org/dc/terms/" xmlns:xsi="http://www.w3.org/2001/XMLSchema-instance" xsi:type="dcterms:W3CDTF">2026-08-10T11:30:56Z</dcterms:modified>
</cp:coreProperties>
</file>