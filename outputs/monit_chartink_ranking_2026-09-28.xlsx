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Universe'!$A$1:$J$237</definedName>
    <definedName name="_xlnm._FilterDatabase" localSheetId="3" hidden="1">'Confluence Overlap'!$A$1:$K$80</definedName>
    <definedName name="_xlnm._FilterDatabase" localSheetId="4" hidden="1">'Monit Non Financial'!$A$1:$CE$226</definedName>
    <definedName name="_xlnm._FilterDatabase" localSheetId="5" hidden="1">'Monit Banks NBFC'!$A$1:$CA$12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7" borderId="6" applyAlignment="1" pivotButton="0" quotePrefix="0" xfId="0">
      <alignment horizontal="center" vertical="center" wrapText="1"/>
    </xf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0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28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3" customWidth="1" min="2" max="2"/>
    <col width="20" customWidth="1" min="3" max="3"/>
    <col width="47" customWidth="1" min="4" max="4"/>
    <col width="25" customWidth="1" min="5" max="5"/>
    <col width="39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474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64</v>
      </c>
      <c r="G6" s="19" t="n">
        <v>7393.77</v>
      </c>
      <c r="H6" s="18" t="inlineStr">
        <is>
          <t>Potential Leader</t>
        </is>
      </c>
      <c r="J6" s="18" t="inlineStr">
        <is>
          <t>plastic products</t>
        </is>
      </c>
      <c r="K6" s="16" t="n">
        <v>14</v>
      </c>
      <c r="L6" s="16" t="n">
        <v>7</v>
      </c>
      <c r="M6" s="20" t="inlineStr">
        <is>
          <t>100.0%</t>
        </is>
      </c>
    </row>
    <row r="7">
      <c r="A7" s="16" t="n">
        <v>2</v>
      </c>
      <c r="B7" s="17" t="n">
        <v>468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63</v>
      </c>
      <c r="G7" s="19" t="n">
        <v>8030.54</v>
      </c>
      <c r="H7" s="18" t="inlineStr">
        <is>
          <t>Potential Leader</t>
        </is>
      </c>
      <c r="J7" s="18" t="inlineStr">
        <is>
          <t>castings, forgings &amp; fasteners</t>
        </is>
      </c>
      <c r="K7" s="16" t="n">
        <v>8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402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52</v>
      </c>
      <c r="G8" s="19" t="n">
        <v>2960.1</v>
      </c>
      <c r="H8" s="18" t="inlineStr">
        <is>
          <t>Potential Leader</t>
        </is>
      </c>
      <c r="J8" s="18" t="inlineStr">
        <is>
          <t>readymade garments/apparels</t>
        </is>
      </c>
      <c r="K8" s="16" t="n">
        <v>4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390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50</v>
      </c>
      <c r="G9" s="19" t="n">
        <v>255367.5</v>
      </c>
      <c r="H9" s="18" t="inlineStr">
        <is>
          <t>Potential Leader</t>
        </is>
      </c>
      <c r="J9" s="18" t="inlineStr">
        <is>
          <t>telecom</t>
        </is>
      </c>
      <c r="K9" s="16" t="n">
        <v>8</v>
      </c>
      <c r="L9" s="16" t="n">
        <v>5</v>
      </c>
      <c r="M9" s="20" t="inlineStr">
        <is>
          <t>60.0%</t>
        </is>
      </c>
    </row>
    <row r="10">
      <c r="A10" s="16" t="n">
        <v>5</v>
      </c>
      <c r="B10" s="17" t="n">
        <v>390</v>
      </c>
      <c r="C10" s="17" t="inlineStr">
        <is>
          <t>TFCILTD</t>
        </is>
      </c>
      <c r="D10" s="18" t="inlineStr">
        <is>
          <t>Tourism Finance Corporation Of India Limited</t>
        </is>
      </c>
      <c r="E10" s="18" t="inlineStr">
        <is>
          <t>financials</t>
        </is>
      </c>
      <c r="F10" s="16" t="n">
        <v>50</v>
      </c>
      <c r="G10" s="19" t="n">
        <v>6403.44</v>
      </c>
      <c r="H10" s="18" t="inlineStr">
        <is>
          <t>Potential Leader</t>
        </is>
      </c>
      <c r="J10" s="18" t="inlineStr">
        <is>
          <t>chemicals</t>
        </is>
      </c>
      <c r="K10" s="16" t="n">
        <v>138</v>
      </c>
      <c r="L10" s="16" t="n">
        <v>93</v>
      </c>
      <c r="M10" s="20" t="inlineStr">
        <is>
          <t>48.4%</t>
        </is>
      </c>
    </row>
    <row r="11">
      <c r="A11" s="16" t="n">
        <v>6</v>
      </c>
      <c r="B11" s="17" t="n">
        <v>390</v>
      </c>
      <c r="C11" s="17" t="inlineStr">
        <is>
          <t>VSSL</t>
        </is>
      </c>
      <c r="D11" s="18" t="inlineStr">
        <is>
          <t>Vardhman Special Steels Limited</t>
        </is>
      </c>
      <c r="E11" s="18" t="inlineStr">
        <is>
          <t>metals &amp; mining</t>
        </is>
      </c>
      <c r="F11" s="16" t="n">
        <v>50</v>
      </c>
      <c r="G11" s="19" t="n">
        <v>3978.62</v>
      </c>
      <c r="H11" s="18" t="inlineStr">
        <is>
          <t>Potential Leader</t>
        </is>
      </c>
      <c r="J11" s="18" t="inlineStr">
        <is>
          <t>i.t</t>
        </is>
      </c>
      <c r="K11" s="16" t="n">
        <v>70</v>
      </c>
      <c r="L11" s="16" t="n">
        <v>49</v>
      </c>
      <c r="M11" s="20" t="inlineStr">
        <is>
          <t>42.9%</t>
        </is>
      </c>
    </row>
    <row r="12">
      <c r="A12" s="16" t="n">
        <v>7</v>
      </c>
      <c r="B12" s="17" t="n">
        <v>378</v>
      </c>
      <c r="C12" s="17" t="inlineStr">
        <is>
          <t>WSTCSTPAPR</t>
        </is>
      </c>
      <c r="D12" s="18" t="inlineStr">
        <is>
          <t>West Coast Paper Mills Limited</t>
        </is>
      </c>
      <c r="E12" s="18" t="inlineStr">
        <is>
          <t>building materials</t>
        </is>
      </c>
      <c r="F12" s="16" t="n">
        <v>48</v>
      </c>
      <c r="G12" s="19" t="n">
        <v>4834.12</v>
      </c>
      <c r="H12" s="18" t="inlineStr">
        <is>
          <t>Potential Leader</t>
        </is>
      </c>
      <c r="J12" s="18" t="inlineStr">
        <is>
          <t>bank</t>
        </is>
      </c>
      <c r="K12" s="16" t="n">
        <v>27</v>
      </c>
      <c r="L12" s="16" t="n">
        <v>19</v>
      </c>
      <c r="M12" s="20" t="inlineStr">
        <is>
          <t>42.1%</t>
        </is>
      </c>
    </row>
    <row r="13">
      <c r="A13" s="16" t="n">
        <v>8</v>
      </c>
      <c r="B13" s="17" t="n">
        <v>360</v>
      </c>
      <c r="C13" s="17" t="inlineStr">
        <is>
          <t>REDINGTON</t>
        </is>
      </c>
      <c r="D13" s="18" t="inlineStr">
        <is>
          <t>Redington (india) Limited</t>
        </is>
      </c>
      <c r="E13" s="18" t="inlineStr">
        <is>
          <t>services</t>
        </is>
      </c>
      <c r="F13" s="16" t="n">
        <v>45</v>
      </c>
      <c r="G13" s="19" t="n">
        <v>31837.76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119</v>
      </c>
      <c r="L13" s="16" t="n">
        <v>84</v>
      </c>
      <c r="M13" s="20" t="inlineStr">
        <is>
          <t>41.7%</t>
        </is>
      </c>
    </row>
    <row r="14">
      <c r="A14" s="16" t="n">
        <v>9</v>
      </c>
      <c r="B14" s="17" t="n">
        <v>342</v>
      </c>
      <c r="C14" s="17" t="inlineStr">
        <is>
          <t>MMP</t>
        </is>
      </c>
      <c r="D14" s="18" t="inlineStr">
        <is>
          <t>MMP Industries Ltd</t>
        </is>
      </c>
      <c r="E14" s="18" t="inlineStr">
        <is>
          <t>metals &amp; mining</t>
        </is>
      </c>
      <c r="F14" s="16" t="n">
        <v>42</v>
      </c>
      <c r="G14" s="19" t="n">
        <v>1169.16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82</v>
      </c>
      <c r="L14" s="16" t="n">
        <v>61</v>
      </c>
      <c r="M14" s="20" t="inlineStr">
        <is>
          <t>34.4%</t>
        </is>
      </c>
    </row>
    <row r="15">
      <c r="A15" s="16" t="n">
        <v>10</v>
      </c>
      <c r="B15" s="17" t="n">
        <v>336</v>
      </c>
      <c r="C15" s="17" t="inlineStr">
        <is>
          <t>RATNAVEER</t>
        </is>
      </c>
      <c r="D15" s="18" t="inlineStr">
        <is>
          <t>Ratnaveer Precision Engineering Ltd</t>
        </is>
      </c>
      <c r="E15" s="18" t="inlineStr">
        <is>
          <t>metals &amp; mining</t>
        </is>
      </c>
      <c r="F15" s="16" t="n">
        <v>41</v>
      </c>
      <c r="G15" s="19" t="n">
        <v>2385.29</v>
      </c>
      <c r="H15" s="18" t="inlineStr">
        <is>
          <t>Potential Leader</t>
        </is>
      </c>
      <c r="J15" s="18" t="inlineStr">
        <is>
          <t>fmcg</t>
        </is>
      </c>
      <c r="K15" s="16" t="n">
        <v>48</v>
      </c>
      <c r="L15" s="16" t="n">
        <v>36</v>
      </c>
      <c r="M15" s="20" t="inlineStr">
        <is>
          <t>33.3%</t>
        </is>
      </c>
    </row>
    <row r="16">
      <c r="A16" s="16" t="n">
        <v>11</v>
      </c>
      <c r="B16" s="17" t="n">
        <v>336</v>
      </c>
      <c r="C16" s="17" t="inlineStr">
        <is>
          <t>SHILPAMED</t>
        </is>
      </c>
      <c r="D16" s="18" t="inlineStr">
        <is>
          <t>Shilpa Medicare Limited</t>
        </is>
      </c>
      <c r="E16" s="18" t="inlineStr">
        <is>
          <t>healthcare</t>
        </is>
      </c>
      <c r="F16" s="16" t="n">
        <v>41</v>
      </c>
      <c r="G16" s="19" t="n">
        <v>19821.24</v>
      </c>
      <c r="H16" s="18" t="inlineStr">
        <is>
          <t>Potential Leader</t>
        </is>
      </c>
      <c r="J16" s="18" t="inlineStr">
        <is>
          <t>textiles</t>
        </is>
      </c>
      <c r="K16" s="16" t="n">
        <v>59</v>
      </c>
      <c r="L16" s="16" t="n">
        <v>45</v>
      </c>
      <c r="M16" s="20" t="inlineStr">
        <is>
          <t>31.1%</t>
        </is>
      </c>
    </row>
    <row r="17">
      <c r="A17" s="16" t="n">
        <v>12</v>
      </c>
      <c r="B17" s="17" t="n">
        <v>336</v>
      </c>
      <c r="C17" s="17" t="inlineStr">
        <is>
          <t>STLTECH</t>
        </is>
      </c>
      <c r="D17" s="18" t="inlineStr">
        <is>
          <t>Sterlite Technologies Limited</t>
        </is>
      </c>
      <c r="E17" s="18" t="inlineStr">
        <is>
          <t>industrials</t>
        </is>
      </c>
      <c r="F17" s="16" t="n">
        <v>41</v>
      </c>
      <c r="G17" s="19" t="n">
        <v>43023.38</v>
      </c>
      <c r="H17" s="18" t="inlineStr">
        <is>
          <t>Potential Leader</t>
        </is>
      </c>
      <c r="J17" s="18" t="inlineStr">
        <is>
          <t>auto</t>
        </is>
      </c>
      <c r="K17" s="16" t="n">
        <v>93</v>
      </c>
      <c r="L17" s="16" t="n">
        <v>73</v>
      </c>
      <c r="M17" s="20" t="inlineStr">
        <is>
          <t>27.4%</t>
        </is>
      </c>
    </row>
    <row r="18">
      <c r="A18" s="16" t="n">
        <v>13</v>
      </c>
      <c r="B18" s="17" t="n">
        <v>336</v>
      </c>
      <c r="C18" s="17" t="inlineStr">
        <is>
          <t>SUBEXLTD</t>
        </is>
      </c>
      <c r="D18" s="18" t="inlineStr">
        <is>
          <t>Subex Ltd</t>
        </is>
      </c>
      <c r="E18" s="18" t="inlineStr">
        <is>
          <t>i.t</t>
        </is>
      </c>
      <c r="F18" s="16" t="n">
        <v>41</v>
      </c>
      <c r="G18" s="19" t="n">
        <v>1203.25</v>
      </c>
      <c r="H18" s="18" t="inlineStr">
        <is>
          <t>Potential Leader</t>
        </is>
      </c>
      <c r="J18" s="18" t="inlineStr">
        <is>
          <t>industrials</t>
        </is>
      </c>
      <c r="K18" s="16" t="n">
        <v>193</v>
      </c>
      <c r="L18" s="16" t="n">
        <v>152</v>
      </c>
      <c r="M18" s="20" t="inlineStr">
        <is>
          <t>27.0%</t>
        </is>
      </c>
    </row>
    <row r="19">
      <c r="A19" s="16" t="n">
        <v>14</v>
      </c>
      <c r="B19" s="17" t="n">
        <v>330</v>
      </c>
      <c r="C19" s="17" t="inlineStr">
        <is>
          <t>BIL</t>
        </is>
      </c>
      <c r="D19" s="18" t="inlineStr">
        <is>
          <t>Bhartiya International Limited</t>
        </is>
      </c>
      <c r="E19" s="18" t="inlineStr">
        <is>
          <t>consumer discretionary</t>
        </is>
      </c>
      <c r="F19" s="16" t="n">
        <v>40</v>
      </c>
      <c r="G19" s="19" t="n">
        <v>1355.59</v>
      </c>
      <c r="H19" s="18" t="inlineStr">
        <is>
          <t>Potential Leader</t>
        </is>
      </c>
      <c r="J19" s="18" t="inlineStr">
        <is>
          <t>aerospace &amp; defence</t>
        </is>
      </c>
      <c r="K19" s="16" t="n">
        <v>44</v>
      </c>
      <c r="L19" s="16" t="n">
        <v>35</v>
      </c>
      <c r="M19" s="20" t="inlineStr">
        <is>
          <t>25.7%</t>
        </is>
      </c>
    </row>
    <row r="20">
      <c r="A20" s="16" t="n">
        <v>15</v>
      </c>
      <c r="B20" s="17" t="n">
        <v>330</v>
      </c>
      <c r="C20" s="17" t="inlineStr">
        <is>
          <t>MOREPENLAB</t>
        </is>
      </c>
      <c r="D20" s="18" t="inlineStr">
        <is>
          <t>Morepen Laboratories Limited</t>
        </is>
      </c>
      <c r="E20" s="18" t="inlineStr">
        <is>
          <t>healthcare</t>
        </is>
      </c>
      <c r="F20" s="16" t="n">
        <v>40</v>
      </c>
      <c r="G20" s="19" t="n">
        <v>6596.27</v>
      </c>
      <c r="H20" s="18" t="inlineStr">
        <is>
          <t>Potential Leader</t>
        </is>
      </c>
      <c r="J20" s="18" t="inlineStr">
        <is>
          <t>realty</t>
        </is>
      </c>
      <c r="K20" s="16" t="n">
        <v>84</v>
      </c>
      <c r="L20" s="16" t="n">
        <v>70</v>
      </c>
      <c r="M20" s="20" t="inlineStr">
        <is>
          <t>20.0%</t>
        </is>
      </c>
    </row>
    <row r="21">
      <c r="A21" s="16" t="n">
        <v>16</v>
      </c>
      <c r="B21" s="17" t="n">
        <v>318</v>
      </c>
      <c r="C21" s="17" t="inlineStr">
        <is>
          <t>FCL</t>
        </is>
      </c>
      <c r="D21" s="18" t="inlineStr">
        <is>
          <t>Fineotex Chemical Limited</t>
        </is>
      </c>
      <c r="E21" s="18" t="inlineStr">
        <is>
          <t>chemicals</t>
        </is>
      </c>
      <c r="F21" s="16" t="n">
        <v>38</v>
      </c>
      <c r="G21" s="19" t="n">
        <v>7042.9</v>
      </c>
      <c r="H21" s="18" t="inlineStr">
        <is>
          <t>Potential Leader</t>
        </is>
      </c>
    </row>
    <row r="22">
      <c r="A22" s="16" t="n">
        <v>17</v>
      </c>
      <c r="B22" s="17" t="n">
        <v>312</v>
      </c>
      <c r="C22" s="17" t="inlineStr">
        <is>
          <t>INDSWFTLAB</t>
        </is>
      </c>
      <c r="D22" s="18" t="inlineStr">
        <is>
          <t>Ind-swift Laboratories Limited</t>
        </is>
      </c>
      <c r="E22" s="18" t="inlineStr">
        <is>
          <t>healthcare</t>
        </is>
      </c>
      <c r="F22" s="16" t="n">
        <v>37</v>
      </c>
      <c r="G22" s="19" t="n">
        <v>3516.29</v>
      </c>
      <c r="H22" s="18" t="inlineStr">
        <is>
          <t>Potential Leader</t>
        </is>
      </c>
    </row>
    <row r="23">
      <c r="A23" s="16" t="n">
        <v>18</v>
      </c>
      <c r="B23" s="17" t="n">
        <v>300</v>
      </c>
      <c r="C23" s="17" t="inlineStr">
        <is>
          <t>MANINDS</t>
        </is>
      </c>
      <c r="D23" s="18" t="inlineStr">
        <is>
          <t>Man Industries (india) Limited</t>
        </is>
      </c>
      <c r="E23" s="18" t="inlineStr">
        <is>
          <t>metals &amp; mining</t>
        </is>
      </c>
      <c r="F23" s="16" t="n">
        <v>35</v>
      </c>
      <c r="G23" s="19" t="n">
        <v>7653.6</v>
      </c>
      <c r="H23" s="18" t="inlineStr">
        <is>
          <t>Potential Leader</t>
        </is>
      </c>
    </row>
    <row r="24">
      <c r="A24" s="16" t="n">
        <v>19</v>
      </c>
      <c r="B24" s="17" t="n">
        <v>294</v>
      </c>
      <c r="C24" s="17" t="inlineStr">
        <is>
          <t>MAHSEAMLES</t>
        </is>
      </c>
      <c r="D24" s="18" t="inlineStr">
        <is>
          <t>Maharashtra Seamless Limited</t>
        </is>
      </c>
      <c r="E24" s="18" t="inlineStr">
        <is>
          <t>metals &amp; mining</t>
        </is>
      </c>
      <c r="F24" s="16" t="n">
        <v>34</v>
      </c>
      <c r="G24" s="19" t="n">
        <v>9589.66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BLISSGVS</t>
        </is>
      </c>
      <c r="D25" s="18" t="inlineStr">
        <is>
          <t>Bliss Gvs Pharma Limited</t>
        </is>
      </c>
      <c r="E25" s="18" t="inlineStr">
        <is>
          <t>healthcare</t>
        </is>
      </c>
      <c r="F25" s="16" t="n">
        <v>33</v>
      </c>
      <c r="G25" s="19" t="n">
        <v>7473.78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MBECL</t>
        </is>
      </c>
      <c r="B30" s="18" t="inlineStr">
        <is>
          <t>Mcnally Bharat Engineering Company Limited</t>
        </is>
      </c>
      <c r="C30" s="18" t="inlineStr">
        <is>
          <t>realty</t>
        </is>
      </c>
      <c r="D30" s="16" t="n">
        <v>10</v>
      </c>
      <c r="E30" s="16" t="n">
        <v>1</v>
      </c>
      <c r="F30" s="19" t="n">
        <v>1521.33</v>
      </c>
      <c r="J30" s="17" t="inlineStr">
        <is>
          <t>ARTEMISMED</t>
        </is>
      </c>
      <c r="K30" s="18" t="inlineStr">
        <is>
          <t>healthcare</t>
        </is>
      </c>
      <c r="L30" s="19" t="n">
        <v>262</v>
      </c>
      <c r="M30" s="19" t="n">
        <v>5662.61</v>
      </c>
      <c r="N30" s="16" t="n">
        <v>26</v>
      </c>
    </row>
    <row r="31">
      <c r="A31" s="17" t="inlineStr">
        <is>
          <t>EMUDHRA</t>
        </is>
      </c>
      <c r="B31" s="18" t="inlineStr">
        <is>
          <t>eMudhra Ltd</t>
        </is>
      </c>
      <c r="C31" s="18" t="inlineStr">
        <is>
          <t>i.t</t>
        </is>
      </c>
      <c r="D31" s="16" t="n">
        <v>10</v>
      </c>
      <c r="E31" s="16" t="n">
        <v>0</v>
      </c>
      <c r="F31" s="19" t="n">
        <v>5411.33</v>
      </c>
      <c r="J31" s="17" t="inlineStr">
        <is>
          <t>SBCL</t>
        </is>
      </c>
      <c r="K31" s="18" t="inlineStr">
        <is>
          <t>metals &amp; mining</t>
        </is>
      </c>
      <c r="L31" s="19" t="n">
        <v>250</v>
      </c>
      <c r="M31" s="19" t="n">
        <v>6650.4</v>
      </c>
      <c r="N31" s="16" t="n">
        <v>28</v>
      </c>
    </row>
    <row r="32">
      <c r="A32" s="17" t="inlineStr">
        <is>
          <t>IL&amp;FSENGG</t>
        </is>
      </c>
      <c r="B32" s="18" t="inlineStr">
        <is>
          <t>IL&amp;FS Engineering and Construction Company Limited</t>
        </is>
      </c>
      <c r="C32" s="18" t="inlineStr">
        <is>
          <t>Industrials</t>
        </is>
      </c>
      <c r="D32" s="16" t="n">
        <v>9</v>
      </c>
      <c r="E32" s="16" t="n">
        <v>2</v>
      </c>
      <c r="F32" s="19" t="n">
        <v>505.47</v>
      </c>
      <c r="J32" s="17" t="inlineStr">
        <is>
          <t>SHIVALIK</t>
        </is>
      </c>
      <c r="K32" s="18" t="inlineStr">
        <is>
          <t>chemicals</t>
        </is>
      </c>
      <c r="L32" s="19" t="n">
        <v>245</v>
      </c>
      <c r="M32" s="19" t="n">
        <v>654.84</v>
      </c>
      <c r="N32" s="16" t="n">
        <v>6</v>
      </c>
    </row>
    <row r="33">
      <c r="A33" s="17" t="inlineStr">
        <is>
          <t>NPST</t>
        </is>
      </c>
      <c r="B33" s="18" t="inlineStr">
        <is>
          <t>Network People Services Technologies Limited</t>
        </is>
      </c>
      <c r="C33" s="18" t="inlineStr">
        <is>
          <t>Technology</t>
        </is>
      </c>
      <c r="D33" s="16" t="n">
        <v>8</v>
      </c>
      <c r="E33" s="16" t="n">
        <v>0</v>
      </c>
      <c r="F33" s="19" t="n">
        <v>3411.18</v>
      </c>
      <c r="J33" s="17" t="inlineStr">
        <is>
          <t>APOLLO</t>
        </is>
      </c>
      <c r="K33" s="18" t="inlineStr">
        <is>
          <t>aerospace &amp; defence</t>
        </is>
      </c>
      <c r="L33" s="19" t="n">
        <v>240</v>
      </c>
      <c r="M33" s="19" t="n">
        <v>14700.48</v>
      </c>
      <c r="N33" s="16" t="n">
        <v>8</v>
      </c>
    </row>
    <row r="34">
      <c r="A34" s="17" t="inlineStr">
        <is>
          <t>DHARMAJ</t>
        </is>
      </c>
      <c r="B34" s="18" t="inlineStr">
        <is>
          <t>Dharmaj Crop Guard Ltd</t>
        </is>
      </c>
      <c r="C34" s="18" t="inlineStr">
        <is>
          <t>chemicals</t>
        </is>
      </c>
      <c r="D34" s="16" t="n">
        <v>6</v>
      </c>
      <c r="E34" s="16" t="n">
        <v>0</v>
      </c>
      <c r="F34" s="19" t="n">
        <v>997.53</v>
      </c>
      <c r="J34" s="17" t="inlineStr">
        <is>
          <t>SHAREINDIA</t>
        </is>
      </c>
      <c r="K34" s="18" t="inlineStr">
        <is>
          <t>financials</t>
        </is>
      </c>
      <c r="L34" s="19" t="n">
        <v>227</v>
      </c>
      <c r="M34" s="19" t="n">
        <v>4587.02</v>
      </c>
      <c r="N34" s="16" t="n">
        <v>15</v>
      </c>
    </row>
    <row r="35">
      <c r="A35" s="17" t="inlineStr">
        <is>
          <t>SUNDROP</t>
        </is>
      </c>
      <c r="B35" s="18" t="inlineStr">
        <is>
          <t>Sundrop Brands Ltd</t>
        </is>
      </c>
      <c r="C35" s="18" t="inlineStr">
        <is>
          <t>fmcg</t>
        </is>
      </c>
      <c r="D35" s="16" t="n">
        <v>6</v>
      </c>
      <c r="E35" s="16" t="n">
        <v>0</v>
      </c>
      <c r="F35" s="19" t="n">
        <v>2811.24</v>
      </c>
      <c r="J35" s="17" t="inlineStr">
        <is>
          <t>SMCGLOBAL</t>
        </is>
      </c>
      <c r="K35" s="18" t="inlineStr">
        <is>
          <t>financials</t>
        </is>
      </c>
      <c r="L35" s="19" t="n">
        <v>227</v>
      </c>
      <c r="M35" s="19" t="n">
        <v>1792.46</v>
      </c>
      <c r="N35" s="16" t="n">
        <v>16</v>
      </c>
    </row>
    <row r="36">
      <c r="A36" s="17" t="inlineStr">
        <is>
          <t>SHIVALIK</t>
        </is>
      </c>
      <c r="B36" s="18" t="inlineStr">
        <is>
          <t>Shivalik Rasayan Ltd</t>
        </is>
      </c>
      <c r="C36" s="18" t="inlineStr">
        <is>
          <t>chemicals</t>
        </is>
      </c>
      <c r="D36" s="16" t="n">
        <v>6</v>
      </c>
      <c r="E36" s="16" t="n">
        <v>0</v>
      </c>
      <c r="F36" s="19" t="n">
        <v>654.84</v>
      </c>
      <c r="J36" s="17" t="inlineStr">
        <is>
          <t>MENONBE</t>
        </is>
      </c>
      <c r="K36" s="18" t="inlineStr">
        <is>
          <t>Consumer Cyclical</t>
        </is>
      </c>
      <c r="L36" s="19" t="n">
        <v>225</v>
      </c>
      <c r="M36" s="19" t="n">
        <v>1629.92</v>
      </c>
      <c r="N36" s="16" t="n">
        <v>27</v>
      </c>
    </row>
    <row r="37">
      <c r="A37" s="17" t="inlineStr">
        <is>
          <t>SHARDAMOTR</t>
        </is>
      </c>
      <c r="B37" s="18" t="inlineStr">
        <is>
          <t>Sharda Motor Industries Limited</t>
        </is>
      </c>
      <c r="C37" s="18" t="inlineStr">
        <is>
          <t>Consumer Cyclical</t>
        </is>
      </c>
      <c r="D37" s="16" t="n">
        <v>6</v>
      </c>
      <c r="E37" s="16" t="n">
        <v>1</v>
      </c>
      <c r="F37" s="19" t="n">
        <v>5425.61</v>
      </c>
      <c r="J37" s="17" t="inlineStr">
        <is>
          <t>RPTECH</t>
        </is>
      </c>
      <c r="K37" s="18" t="inlineStr">
        <is>
          <t>i.t</t>
        </is>
      </c>
      <c r="L37" s="19" t="n">
        <v>225</v>
      </c>
      <c r="M37" s="19" t="n">
        <v>5884.84</v>
      </c>
      <c r="N37" s="16" t="n">
        <v>10</v>
      </c>
    </row>
    <row r="38">
      <c r="A38" s="17" t="inlineStr">
        <is>
          <t>GESHIP</t>
        </is>
      </c>
      <c r="B38" s="18" t="inlineStr">
        <is>
          <t>The Great Eastern Shipping Company Limited</t>
        </is>
      </c>
      <c r="C38" s="18" t="inlineStr">
        <is>
          <t>transportation</t>
        </is>
      </c>
      <c r="D38" s="16" t="n">
        <v>6</v>
      </c>
      <c r="E38" s="16" t="n">
        <v>1</v>
      </c>
      <c r="F38" s="19" t="n">
        <v>21375.1</v>
      </c>
      <c r="J38" s="17" t="inlineStr">
        <is>
          <t>SATIN</t>
        </is>
      </c>
      <c r="K38" s="18" t="inlineStr">
        <is>
          <t>financials</t>
        </is>
      </c>
      <c r="L38" s="19" t="n">
        <v>225</v>
      </c>
      <c r="M38" s="19" t="n">
        <v>2614.3</v>
      </c>
      <c r="N38" s="16" t="n">
        <v>2</v>
      </c>
    </row>
    <row r="39">
      <c r="A39" s="17" t="inlineStr">
        <is>
          <t>TREL</t>
        </is>
      </c>
      <c r="B39" s="18" t="inlineStr">
        <is>
          <t>TransIndia Real Estate Ltd</t>
        </is>
      </c>
      <c r="C39" s="18" t="inlineStr">
        <is>
          <t>transportation</t>
        </is>
      </c>
      <c r="D39" s="16" t="n">
        <v>4</v>
      </c>
      <c r="E39" s="16" t="n">
        <v>1</v>
      </c>
      <c r="F39" s="19" t="n">
        <v>695.8099999999999</v>
      </c>
      <c r="J39" s="17" t="inlineStr">
        <is>
          <t>BIRLACABLE</t>
        </is>
      </c>
      <c r="K39" s="18" t="inlineStr">
        <is>
          <t>Technology</t>
        </is>
      </c>
      <c r="L39" s="19" t="n">
        <v>222</v>
      </c>
      <c r="M39" s="19" t="n">
        <v>1054.2</v>
      </c>
      <c r="N39" s="16" t="n">
        <v>28</v>
      </c>
    </row>
    <row r="40">
      <c r="A40" s="17" t="inlineStr">
        <is>
          <t>TEXRAIL</t>
        </is>
      </c>
      <c r="B40" s="18" t="inlineStr">
        <is>
          <t>Texmaco Rail &amp; Engineering Limited</t>
        </is>
      </c>
      <c r="C40" s="18" t="inlineStr">
        <is>
          <t>industrials</t>
        </is>
      </c>
      <c r="D40" s="16" t="n">
        <v>4</v>
      </c>
      <c r="E40" s="16" t="n">
        <v>0</v>
      </c>
      <c r="F40" s="19" t="n">
        <v>5113.07</v>
      </c>
      <c r="J40" s="17" t="inlineStr">
        <is>
          <t>KINGFA</t>
        </is>
      </c>
      <c r="K40" s="18" t="inlineStr">
        <is>
          <t>plastic products</t>
        </is>
      </c>
      <c r="L40" s="19" t="n">
        <v>220</v>
      </c>
      <c r="M40" s="19" t="n">
        <v>8452.67</v>
      </c>
      <c r="N40" s="16" t="n">
        <v>26</v>
      </c>
    </row>
    <row r="41">
      <c r="A41" s="17" t="inlineStr">
        <is>
          <t>PCBL</t>
        </is>
      </c>
      <c r="B41" s="18" t="inlineStr">
        <is>
          <t>PCBL Chemical Limited</t>
        </is>
      </c>
      <c r="C41" s="18" t="inlineStr">
        <is>
          <t>Basic Materials</t>
        </is>
      </c>
      <c r="D41" s="16" t="n">
        <v>3</v>
      </c>
      <c r="E41" s="16" t="n">
        <v>0</v>
      </c>
      <c r="F41" s="19" t="n">
        <v>13084.6</v>
      </c>
      <c r="J41" s="17" t="inlineStr">
        <is>
          <t>SHANTIGOLD</t>
        </is>
      </c>
      <c r="K41" s="18" t="inlineStr">
        <is>
          <t>consumer discretionary</t>
        </is>
      </c>
      <c r="L41" s="19" t="n">
        <v>220</v>
      </c>
      <c r="M41" s="19" t="n">
        <v>2499.25</v>
      </c>
      <c r="N41" s="16" t="n">
        <v>20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106.07</v>
      </c>
      <c r="D47" s="27" t="n">
        <v>215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4374.86</v>
      </c>
    </row>
    <row r="48">
      <c r="A48" s="16" t="n">
        <v>2</v>
      </c>
      <c r="B48" s="26" t="n">
        <v>98</v>
      </c>
      <c r="C48" s="27" t="n">
        <v>98.06</v>
      </c>
      <c r="D48" s="27" t="n">
        <v>205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2960.1</v>
      </c>
    </row>
    <row r="49">
      <c r="A49" s="16" t="n">
        <v>3</v>
      </c>
      <c r="B49" s="26" t="n">
        <v>98</v>
      </c>
      <c r="C49" s="27" t="n">
        <v>83.48999999999999</v>
      </c>
      <c r="D49" s="27" t="n">
        <v>205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2544.32</v>
      </c>
    </row>
    <row r="50">
      <c r="A50" s="16" t="n">
        <v>4</v>
      </c>
      <c r="B50" s="26" t="n">
        <v>97</v>
      </c>
      <c r="C50" s="27" t="n">
        <v>81.91</v>
      </c>
      <c r="D50" s="27" t="n">
        <v>188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17926.34</v>
      </c>
    </row>
    <row r="51">
      <c r="A51" s="16" t="n">
        <v>5</v>
      </c>
      <c r="B51" s="26" t="n">
        <v>97</v>
      </c>
      <c r="C51" s="27" t="n">
        <v>64.44</v>
      </c>
      <c r="D51" s="27" t="n">
        <v>210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Consumer Defensive</t>
        </is>
      </c>
      <c r="H51" s="19" t="n">
        <v>35566.28</v>
      </c>
    </row>
    <row r="52">
      <c r="A52" s="16" t="n">
        <v>6</v>
      </c>
      <c r="B52" s="26" t="n">
        <v>96</v>
      </c>
      <c r="C52" s="27" t="n">
        <v>58.1</v>
      </c>
      <c r="D52" s="27" t="n">
        <v>207</v>
      </c>
      <c r="E52" s="17" t="inlineStr">
        <is>
          <t>INDSWFTLAB</t>
        </is>
      </c>
      <c r="F52" s="18" t="inlineStr">
        <is>
          <t>Ind-swift Laboratories Limited</t>
        </is>
      </c>
      <c r="G52" s="18" t="inlineStr">
        <is>
          <t>healthcare</t>
        </is>
      </c>
      <c r="H52" s="19" t="n">
        <v>3516.29</v>
      </c>
    </row>
    <row r="53">
      <c r="A53" s="16" t="n">
        <v>7</v>
      </c>
      <c r="B53" s="26" t="n">
        <v>96</v>
      </c>
      <c r="C53" s="27" t="n">
        <v>54.55</v>
      </c>
      <c r="D53" s="27" t="n">
        <v>207</v>
      </c>
      <c r="E53" s="17" t="inlineStr">
        <is>
          <t>MOREPENLAB</t>
        </is>
      </c>
      <c r="F53" s="18" t="inlineStr">
        <is>
          <t>Morepen Laboratories Limited</t>
        </is>
      </c>
      <c r="G53" s="18" t="inlineStr">
        <is>
          <t>healthcare</t>
        </is>
      </c>
      <c r="H53" s="19" t="n">
        <v>6596.27</v>
      </c>
    </row>
    <row r="54">
      <c r="A54" s="16" t="n">
        <v>8</v>
      </c>
      <c r="B54" s="26" t="n">
        <v>95</v>
      </c>
      <c r="C54" s="27" t="n">
        <v>51.78</v>
      </c>
      <c r="D54" s="27" t="n">
        <v>212</v>
      </c>
      <c r="E54" s="17" t="inlineStr">
        <is>
          <t>BLISSGVS</t>
        </is>
      </c>
      <c r="F54" s="18" t="inlineStr">
        <is>
          <t>Bliss Gvs Pharma Limited</t>
        </is>
      </c>
      <c r="G54" s="18" t="inlineStr">
        <is>
          <t>healthcare</t>
        </is>
      </c>
      <c r="H54" s="19" t="n">
        <v>7473.78</v>
      </c>
    </row>
    <row r="55">
      <c r="A55" s="16" t="n">
        <v>9</v>
      </c>
      <c r="B55" s="26" t="n">
        <v>95</v>
      </c>
      <c r="C55" s="27" t="n">
        <v>47</v>
      </c>
      <c r="D55" s="27" t="n">
        <v>203</v>
      </c>
      <c r="E55" s="17" t="inlineStr">
        <is>
          <t>INDORAMA</t>
        </is>
      </c>
      <c r="F55" s="18" t="inlineStr">
        <is>
          <t>Indo Rama Synthetics (india) Limited</t>
        </is>
      </c>
      <c r="G55" s="18" t="inlineStr">
        <is>
          <t>textiles</t>
        </is>
      </c>
      <c r="H55" s="19" t="n">
        <v>2594.42</v>
      </c>
    </row>
    <row r="56">
      <c r="A56" s="16" t="n">
        <v>10</v>
      </c>
      <c r="B56" s="28" t="n">
        <v>94</v>
      </c>
      <c r="C56" s="27" t="n">
        <v>46.12</v>
      </c>
      <c r="D56" s="27" t="n">
        <v>203</v>
      </c>
      <c r="E56" s="17" t="inlineStr">
        <is>
          <t>CYIENTDLM</t>
        </is>
      </c>
      <c r="F56" s="18" t="inlineStr">
        <is>
          <t>Cyient DLM Ltd</t>
        </is>
      </c>
      <c r="G56" s="18" t="inlineStr">
        <is>
          <t>aerospace &amp; defence</t>
        </is>
      </c>
      <c r="H56" s="19" t="n">
        <v>7393.77</v>
      </c>
    </row>
    <row r="57">
      <c r="A57" s="16" t="n">
        <v>11</v>
      </c>
      <c r="B57" s="28" t="n">
        <v>94</v>
      </c>
      <c r="C57" s="27" t="n">
        <v>45.8</v>
      </c>
      <c r="D57" s="27" t="n">
        <v>208</v>
      </c>
      <c r="E57" s="17" t="inlineStr">
        <is>
          <t>SETL</t>
        </is>
      </c>
      <c r="F57" s="18" t="inlineStr">
        <is>
          <t>Standard Enginnering Technology Ltd</t>
        </is>
      </c>
      <c r="G57" s="18" t="inlineStr">
        <is>
          <t>industrials</t>
        </is>
      </c>
      <c r="H57" s="19" t="n">
        <v>8030.54</v>
      </c>
    </row>
    <row r="58">
      <c r="A58" s="16" t="n">
        <v>12</v>
      </c>
      <c r="B58" s="28" t="n">
        <v>93</v>
      </c>
      <c r="C58" s="27" t="n">
        <v>45.53</v>
      </c>
      <c r="D58" s="27" t="n">
        <v>193</v>
      </c>
      <c r="E58" s="17" t="inlineStr">
        <is>
          <t>RAYMOND</t>
        </is>
      </c>
      <c r="F58" s="18" t="inlineStr">
        <is>
          <t>Raymond Limited</t>
        </is>
      </c>
      <c r="G58" s="18" t="inlineStr">
        <is>
          <t>transportation</t>
        </is>
      </c>
      <c r="H58" s="19" t="n">
        <v>7966.55</v>
      </c>
    </row>
    <row r="59">
      <c r="A59" s="16" t="n">
        <v>13</v>
      </c>
      <c r="B59" s="28" t="n">
        <v>93</v>
      </c>
      <c r="C59" s="27" t="n">
        <v>45.24</v>
      </c>
      <c r="D59" s="27" t="n">
        <v>215</v>
      </c>
      <c r="E59" s="17" t="inlineStr">
        <is>
          <t>NRL</t>
        </is>
      </c>
      <c r="F59" s="18" t="inlineStr">
        <is>
          <t>Nupur Recyclers Ltd</t>
        </is>
      </c>
      <c r="G59" s="18" t="inlineStr">
        <is>
          <t>services</t>
        </is>
      </c>
      <c r="H59" s="19" t="n">
        <v>1116.85</v>
      </c>
    </row>
    <row r="60">
      <c r="A60" s="16" t="n">
        <v>14</v>
      </c>
      <c r="B60" s="28" t="n">
        <v>92</v>
      </c>
      <c r="C60" s="27" t="n">
        <v>45.02</v>
      </c>
      <c r="D60" s="27" t="n">
        <v>202</v>
      </c>
      <c r="E60" s="17" t="inlineStr">
        <is>
          <t>KPL</t>
        </is>
      </c>
      <c r="F60" s="18" t="inlineStr">
        <is>
          <t>Kwality Pharmaceuticals Limited</t>
        </is>
      </c>
      <c r="G60" s="18" t="inlineStr">
        <is>
          <t>Healthcare</t>
        </is>
      </c>
      <c r="H60" s="19" t="n">
        <v>3714.94</v>
      </c>
    </row>
    <row r="61">
      <c r="A61" s="16" t="n">
        <v>15</v>
      </c>
      <c r="B61" s="28" t="n">
        <v>92</v>
      </c>
      <c r="C61" s="27" t="n">
        <v>44.93</v>
      </c>
      <c r="D61" s="27" t="n">
        <v>190</v>
      </c>
      <c r="E61" s="17" t="inlineStr">
        <is>
          <t>SPECTRUM</t>
        </is>
      </c>
      <c r="F61" s="18" t="inlineStr">
        <is>
          <t>Spectrum Electrical Industries Ltd</t>
        </is>
      </c>
      <c r="G61" s="18" t="inlineStr">
        <is>
          <t>industrials</t>
        </is>
      </c>
      <c r="H61" s="19" t="n">
        <v>6012.74</v>
      </c>
    </row>
    <row r="62">
      <c r="A62" s="16" t="n">
        <v>16</v>
      </c>
      <c r="B62" s="28" t="n">
        <v>91</v>
      </c>
      <c r="C62" s="27" t="n">
        <v>44.87</v>
      </c>
      <c r="D62" s="27" t="n">
        <v>217</v>
      </c>
      <c r="E62" s="17" t="inlineStr">
        <is>
          <t>VIKRAMTH</t>
        </is>
      </c>
      <c r="F62" s="18" t="inlineStr">
        <is>
          <t>Vikram Thermo (India) Limited</t>
        </is>
      </c>
      <c r="G62" s="18" t="inlineStr">
        <is>
          <t>Healthcare</t>
        </is>
      </c>
      <c r="H62" s="19" t="n">
        <v>1357.79</v>
      </c>
    </row>
    <row r="63">
      <c r="A63" s="16" t="n">
        <v>17</v>
      </c>
      <c r="B63" s="28" t="n">
        <v>91</v>
      </c>
      <c r="C63" s="27" t="n">
        <v>44.02</v>
      </c>
      <c r="D63" s="27" t="n">
        <v>202</v>
      </c>
      <c r="E63" s="17" t="inlineStr">
        <is>
          <t>AHCL</t>
        </is>
      </c>
      <c r="F63" s="18" t="inlineStr">
        <is>
          <t>Anlon Healthcare Ltd</t>
        </is>
      </c>
      <c r="G63" s="18" t="inlineStr">
        <is>
          <t>healthcare</t>
        </is>
      </c>
      <c r="H63" s="19" t="n">
        <v>1674.8</v>
      </c>
    </row>
    <row r="64">
      <c r="A64" s="16" t="n">
        <v>18</v>
      </c>
      <c r="B64" s="28" t="n">
        <v>90</v>
      </c>
      <c r="C64" s="27" t="n">
        <v>43.53</v>
      </c>
      <c r="D64" s="27" t="n">
        <v>215</v>
      </c>
      <c r="E64" s="17" t="inlineStr">
        <is>
          <t>FILATEX</t>
        </is>
      </c>
      <c r="F64" s="18" t="inlineStr">
        <is>
          <t>Filatex India Limited</t>
        </is>
      </c>
      <c r="G64" s="18" t="inlineStr">
        <is>
          <t>textiles</t>
        </is>
      </c>
      <c r="H64" s="19" t="n">
        <v>4748.76</v>
      </c>
    </row>
    <row r="65">
      <c r="A65" s="16" t="n">
        <v>19</v>
      </c>
      <c r="B65" s="28" t="n">
        <v>90</v>
      </c>
      <c r="C65" s="27" t="n">
        <v>42.65</v>
      </c>
      <c r="D65" s="27" t="n">
        <v>193</v>
      </c>
      <c r="E65" s="17" t="inlineStr">
        <is>
          <t>STLNETWORK</t>
        </is>
      </c>
      <c r="F65" s="18" t="inlineStr">
        <is>
          <t>STL Networks Ltd</t>
        </is>
      </c>
      <c r="G65" s="18" t="inlineStr">
        <is>
          <t>telecom-service</t>
        </is>
      </c>
      <c r="H65" s="19" t="n">
        <v>2665.39</v>
      </c>
    </row>
    <row r="6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SMCGLOBAL</t>
        </is>
      </c>
      <c r="B2" s="30" t="inlineStr">
        <is>
          <t>SMC Global Securities Ltd</t>
        </is>
      </c>
      <c r="C2" s="30" t="inlineStr">
        <is>
          <t>financials</t>
        </is>
      </c>
      <c r="D2" s="30" t="inlineStr">
        <is>
          <t>finance &amp; investments</t>
        </is>
      </c>
      <c r="E2" s="30" t="inlineStr">
        <is>
          <t>smallcap</t>
        </is>
      </c>
      <c r="F2" s="30" t="n">
        <v>1792.46</v>
      </c>
      <c r="G2" s="30" t="n">
        <v>97.23</v>
      </c>
      <c r="H2" s="30" t="n">
        <v>13.59</v>
      </c>
      <c r="I2" s="30" t="n">
        <v>26689199</v>
      </c>
      <c r="J2" s="30" t="inlineStr">
        <is>
          <t>543263</t>
        </is>
      </c>
    </row>
    <row r="3">
      <c r="A3" s="30" t="inlineStr">
        <is>
          <t>PRIMO</t>
        </is>
      </c>
      <c r="B3" s="30" t="inlineStr">
        <is>
          <t>Primo Chemicals Ltd</t>
        </is>
      </c>
      <c r="C3" s="30" t="inlineStr">
        <is>
          <t>chemicals</t>
        </is>
      </c>
      <c r="D3" s="30" t="inlineStr">
        <is>
          <t>chlor alkali / soda ash</t>
        </is>
      </c>
      <c r="E3" s="30" t="inlineStr">
        <is>
          <t>smallcap</t>
        </is>
      </c>
      <c r="F3" s="30" t="n">
        <v>612.64</v>
      </c>
      <c r="G3" s="30" t="n">
        <v>28.13</v>
      </c>
      <c r="H3" s="30" t="n">
        <v>11.27</v>
      </c>
      <c r="I3" s="30" t="n">
        <v>4154950</v>
      </c>
      <c r="J3" s="30" t="inlineStr">
        <is>
          <t>506852</t>
        </is>
      </c>
    </row>
    <row r="4">
      <c r="A4" s="30" t="inlineStr">
        <is>
          <t>SYNCOMF</t>
        </is>
      </c>
      <c r="B4" s="30" t="inlineStr">
        <is>
          <t>Syncom Formulations (India) Ltd</t>
        </is>
      </c>
      <c r="C4" s="30" t="inlineStr">
        <is>
          <t>healthcare</t>
        </is>
      </c>
      <c r="D4" s="30" t="inlineStr">
        <is>
          <t>pharmaceuticals - indian - bulk drugs &amp; formln</t>
        </is>
      </c>
      <c r="E4" s="30" t="inlineStr">
        <is>
          <t>smallcap</t>
        </is>
      </c>
      <c r="F4" s="30" t="n">
        <v>1884.7</v>
      </c>
      <c r="G4" s="30" t="n">
        <v>22.2</v>
      </c>
      <c r="H4" s="30" t="n">
        <v>10.72</v>
      </c>
      <c r="I4" s="30" t="n">
        <v>82454897</v>
      </c>
      <c r="J4" s="30" t="inlineStr">
        <is>
          <t>524470</t>
        </is>
      </c>
    </row>
    <row r="5">
      <c r="A5" s="30" t="inlineStr">
        <is>
          <t>AHCL</t>
        </is>
      </c>
      <c r="B5" s="30" t="inlineStr">
        <is>
          <t>Anlon Healthcare Ltd</t>
        </is>
      </c>
      <c r="C5" s="30" t="inlineStr">
        <is>
          <t>healthcare</t>
        </is>
      </c>
      <c r="D5" s="30" t="inlineStr">
        <is>
          <t>pharmaceuticals - indian - bulk drugs &amp; formln</t>
        </is>
      </c>
      <c r="E5" s="30" t="inlineStr">
        <is>
          <t>smallcap</t>
        </is>
      </c>
      <c r="F5" s="30" t="n">
        <v>1674.8</v>
      </c>
      <c r="G5" s="30" t="n">
        <v>34.66</v>
      </c>
      <c r="H5" s="30" t="n">
        <v>10</v>
      </c>
      <c r="I5" s="30" t="n">
        <v>23572265</v>
      </c>
      <c r="J5" s="30" t="inlineStr">
        <is>
          <t>544497</t>
        </is>
      </c>
    </row>
    <row r="6">
      <c r="A6" s="30" t="inlineStr">
        <is>
          <t>SUNFLAG</t>
        </is>
      </c>
      <c r="B6" s="30" t="inlineStr">
        <is>
          <t>Sunflag Iron And Steel Company Limited</t>
        </is>
      </c>
      <c r="C6" s="30" t="inlineStr">
        <is>
          <t>metals &amp; mining</t>
        </is>
      </c>
      <c r="D6" s="30" t="inlineStr">
        <is>
          <t>steel - medium / small</t>
        </is>
      </c>
      <c r="E6" s="30" t="inlineStr">
        <is>
          <t>midcap</t>
        </is>
      </c>
      <c r="F6" s="30" t="n">
        <v>7400.71</v>
      </c>
      <c r="G6" s="30" t="n">
        <v>449.2</v>
      </c>
      <c r="H6" s="30" t="n">
        <v>9.390000000000001</v>
      </c>
      <c r="I6" s="30" t="n">
        <v>4467850</v>
      </c>
      <c r="J6" s="30" t="inlineStr">
        <is>
          <t>500404</t>
        </is>
      </c>
    </row>
    <row r="7">
      <c r="A7" s="30" t="inlineStr">
        <is>
          <t>OPTIEMUS</t>
        </is>
      </c>
      <c r="B7" s="30" t="inlineStr">
        <is>
          <t>Optiemus Infracom Ltd</t>
        </is>
      </c>
      <c r="C7" s="30" t="inlineStr">
        <is>
          <t>telecom</t>
        </is>
      </c>
      <c r="D7" s="30" t="inlineStr">
        <is>
          <t>trading</t>
        </is>
      </c>
      <c r="E7" s="30" t="inlineStr">
        <is>
          <t>midcap</t>
        </is>
      </c>
      <c r="F7" s="30" t="n">
        <v>6839.58</v>
      </c>
      <c r="G7" s="30" t="n">
        <v>809.95</v>
      </c>
      <c r="H7" s="30" t="n">
        <v>6.78</v>
      </c>
      <c r="I7" s="30" t="n">
        <v>3028580</v>
      </c>
      <c r="J7" s="30" t="inlineStr">
        <is>
          <t>530135</t>
        </is>
      </c>
    </row>
    <row r="8">
      <c r="A8" s="30" t="inlineStr">
        <is>
          <t>MACPOWER</t>
        </is>
      </c>
      <c r="B8" s="30" t="inlineStr">
        <is>
          <t>Macpower CNC Machines Ltd</t>
        </is>
      </c>
      <c r="C8" s="30" t="inlineStr">
        <is>
          <t>industrials</t>
        </is>
      </c>
      <c r="D8" s="30" t="inlineStr">
        <is>
          <t>engineering</t>
        </is>
      </c>
      <c r="E8" s="30" t="inlineStr">
        <is>
          <t>smallcap</t>
        </is>
      </c>
      <c r="F8" s="30" t="n">
        <v>2063.36</v>
      </c>
      <c r="G8" s="30" t="n">
        <v>2194.6</v>
      </c>
      <c r="H8" s="30" t="n">
        <v>6.4</v>
      </c>
      <c r="I8" s="30" t="n">
        <v>148082</v>
      </c>
      <c r="J8" s="30" t="inlineStr">
        <is>
          <t>535057</t>
        </is>
      </c>
    </row>
    <row r="9">
      <c r="A9" s="30" t="inlineStr">
        <is>
          <t>DIVGIITTS</t>
        </is>
      </c>
      <c r="B9" s="30" t="inlineStr">
        <is>
          <t>Divgi Torqtransfer Systems Ltd</t>
        </is>
      </c>
      <c r="C9" s="30" t="inlineStr">
        <is>
          <t>auto</t>
        </is>
      </c>
      <c r="D9" s="30" t="inlineStr">
        <is>
          <t>auto ancillaries</t>
        </is>
      </c>
      <c r="E9" s="30" t="inlineStr">
        <is>
          <t>smallcap</t>
        </is>
      </c>
      <c r="F9" s="30" t="n">
        <v>3531.1</v>
      </c>
      <c r="G9" s="30" t="n">
        <v>1218.6</v>
      </c>
      <c r="H9" s="30" t="n">
        <v>5.54</v>
      </c>
      <c r="I9" s="30" t="n">
        <v>376368</v>
      </c>
      <c r="J9" s="30" t="inlineStr">
        <is>
          <t>543812</t>
        </is>
      </c>
    </row>
    <row r="10">
      <c r="A10" s="30" t="inlineStr">
        <is>
          <t>KRONOX</t>
        </is>
      </c>
      <c r="B10" s="30" t="inlineStr">
        <is>
          <t>Kronox Lab Sciences Ltd</t>
        </is>
      </c>
      <c r="C10" s="30" t="inlineStr">
        <is>
          <t>chemicals</t>
        </is>
      </c>
      <c r="D10" s="30" t="inlineStr">
        <is>
          <t>chemicals</t>
        </is>
      </c>
      <c r="E10" s="30" t="inlineStr">
        <is>
          <t>smallcap</t>
        </is>
      </c>
      <c r="F10" s="30" t="n">
        <v>766.49</v>
      </c>
      <c r="G10" s="30" t="n">
        <v>216.9</v>
      </c>
      <c r="H10" s="30" t="n">
        <v>5</v>
      </c>
      <c r="I10" s="30" t="n">
        <v>377726</v>
      </c>
      <c r="J10" s="30" t="inlineStr">
        <is>
          <t>544187</t>
        </is>
      </c>
    </row>
    <row r="11">
      <c r="A11" s="30" t="inlineStr">
        <is>
          <t>RBZJEWEL</t>
        </is>
      </c>
      <c r="B11" s="30" t="inlineStr">
        <is>
          <t>RBZ Jewellers Ltd</t>
        </is>
      </c>
      <c r="C11" s="30" t="inlineStr">
        <is>
          <t>consumer discretionary</t>
        </is>
      </c>
      <c r="D11" s="30" t="inlineStr">
        <is>
          <t>diamond cutting / jewellery</t>
        </is>
      </c>
      <c r="E11" s="30" t="inlineStr">
        <is>
          <t>smallcap</t>
        </is>
      </c>
      <c r="F11" s="30" t="n">
        <v>723.48</v>
      </c>
      <c r="G11" s="30" t="n">
        <v>189.91</v>
      </c>
      <c r="H11" s="30" t="n">
        <v>5</v>
      </c>
      <c r="I11" s="30" t="n">
        <v>80764</v>
      </c>
      <c r="J11" s="30" t="inlineStr">
        <is>
          <t>544060</t>
        </is>
      </c>
    </row>
    <row r="12">
      <c r="A12" s="30" t="inlineStr">
        <is>
          <t>SETL</t>
        </is>
      </c>
      <c r="B12" s="30" t="inlineStr">
        <is>
          <t>Standard Enginnering Technology Ltd</t>
        </is>
      </c>
      <c r="C12" s="30" t="inlineStr">
        <is>
          <t>industrials</t>
        </is>
      </c>
      <c r="D12" s="30" t="inlineStr">
        <is>
          <t>engineering</t>
        </is>
      </c>
      <c r="E12" s="30" t="inlineStr">
        <is>
          <t>midcap</t>
        </is>
      </c>
      <c r="F12" s="30" t="n">
        <v>8030.54</v>
      </c>
      <c r="G12" s="30" t="n">
        <v>422.65</v>
      </c>
      <c r="H12" s="30" t="n">
        <v>4.99</v>
      </c>
      <c r="I12" s="30" t="n">
        <v>974559</v>
      </c>
      <c r="J12" s="30" t="inlineStr">
        <is>
          <t>544333</t>
        </is>
      </c>
    </row>
    <row r="13">
      <c r="A13" s="30" t="inlineStr">
        <is>
          <t>STYLEBAAZA</t>
        </is>
      </c>
      <c r="B13" s="30" t="inlineStr">
        <is>
          <t>Baazar Style Retail Ltd</t>
        </is>
      </c>
      <c r="C13" s="30" t="inlineStr">
        <is>
          <t>consumer discretionary</t>
        </is>
      </c>
      <c r="D13" s="30" t="inlineStr">
        <is>
          <t>trading</t>
        </is>
      </c>
      <c r="E13" s="30" t="inlineStr">
        <is>
          <t>smallcap</t>
        </is>
      </c>
      <c r="F13" s="30" t="n">
        <v>2860.49</v>
      </c>
      <c r="G13" s="30" t="n">
        <v>394.5</v>
      </c>
      <c r="H13" s="30" t="n">
        <v>4.98</v>
      </c>
      <c r="I13" s="30" t="n">
        <v>4429305</v>
      </c>
      <c r="J13" s="30" t="inlineStr">
        <is>
          <t>544243</t>
        </is>
      </c>
    </row>
    <row r="14">
      <c r="A14" s="30" t="inlineStr">
        <is>
          <t>GANESHBE</t>
        </is>
      </c>
      <c r="B14" s="30" t="inlineStr">
        <is>
          <t>Ganesh Benzoplast Ltd</t>
        </is>
      </c>
      <c r="C14" s="30" t="inlineStr">
        <is>
          <t>miscellaneous</t>
        </is>
      </c>
      <c r="D14" s="30" t="inlineStr">
        <is>
          <t>miscellaneous</t>
        </is>
      </c>
      <c r="E14" s="30" t="inlineStr">
        <is>
          <t>smallcap</t>
        </is>
      </c>
      <c r="F14" s="30" t="n">
        <v>941.91</v>
      </c>
      <c r="G14" s="30" t="n">
        <v>137.32</v>
      </c>
      <c r="H14" s="30" t="n">
        <v>4.95</v>
      </c>
      <c r="I14" s="30" t="n">
        <v>583964</v>
      </c>
      <c r="J14" s="30" t="inlineStr">
        <is>
          <t>500153</t>
        </is>
      </c>
    </row>
    <row r="15">
      <c r="A15" s="30" t="inlineStr">
        <is>
          <t>EMAMIPAP</t>
        </is>
      </c>
      <c r="B15" s="30" t="inlineStr">
        <is>
          <t>Emami Paper Mills Ltd</t>
        </is>
      </c>
      <c r="C15" s="30" t="inlineStr">
        <is>
          <t>building materials</t>
        </is>
      </c>
      <c r="D15" s="30" t="inlineStr">
        <is>
          <t>paper</t>
        </is>
      </c>
      <c r="E15" s="30" t="inlineStr">
        <is>
          <t>smallcap</t>
        </is>
      </c>
      <c r="F15" s="30" t="n">
        <v>676.8</v>
      </c>
      <c r="G15" s="30" t="n">
        <v>117.4</v>
      </c>
      <c r="H15" s="30" t="n">
        <v>4.94</v>
      </c>
      <c r="I15" s="30" t="n">
        <v>65773</v>
      </c>
      <c r="J15" s="30" t="inlineStr">
        <is>
          <t>533208</t>
        </is>
      </c>
    </row>
    <row r="16">
      <c r="A16" s="30" t="inlineStr">
        <is>
          <t>QPOWER</t>
        </is>
      </c>
      <c r="B16" s="30" t="inlineStr">
        <is>
          <t>Quality Power Electrical Equipments Ltd</t>
        </is>
      </c>
      <c r="C16" s="30" t="inlineStr">
        <is>
          <t>industrials</t>
        </is>
      </c>
      <c r="D16" s="30" t="inlineStr">
        <is>
          <t>electric equipment</t>
        </is>
      </c>
      <c r="E16" s="30" t="inlineStr">
        <is>
          <t>midcap</t>
        </is>
      </c>
      <c r="F16" s="30" t="n">
        <v>11754.47</v>
      </c>
      <c r="G16" s="30" t="n">
        <v>1592.7</v>
      </c>
      <c r="H16" s="30" t="n">
        <v>4.93</v>
      </c>
      <c r="I16" s="30" t="n">
        <v>365360</v>
      </c>
      <c r="J16" s="30" t="inlineStr">
        <is>
          <t>544367</t>
        </is>
      </c>
    </row>
    <row r="17">
      <c r="A17" s="30" t="inlineStr">
        <is>
          <t>HEG</t>
        </is>
      </c>
      <c r="B17" s="30" t="inlineStr">
        <is>
          <t>Heg Limited</t>
        </is>
      </c>
      <c r="C17" s="30" t="inlineStr">
        <is>
          <t>industrials</t>
        </is>
      </c>
      <c r="D17" s="30" t="inlineStr">
        <is>
          <t>electrodes - graphites</t>
        </is>
      </c>
      <c r="E17" s="30" t="inlineStr">
        <is>
          <t>midcap</t>
        </is>
      </c>
      <c r="F17" s="30" t="n">
        <v>8195.5</v>
      </c>
      <c r="G17" s="30" t="n">
        <v>248.5</v>
      </c>
      <c r="H17" s="30" t="n">
        <v>4.83</v>
      </c>
      <c r="I17" s="30" t="n">
        <v>10878684</v>
      </c>
      <c r="J17" s="30" t="inlineStr">
        <is>
          <t>509631</t>
        </is>
      </c>
    </row>
    <row r="18">
      <c r="A18" s="30" t="inlineStr">
        <is>
          <t>MANAKSTEEL</t>
        </is>
      </c>
      <c r="B18" s="30" t="inlineStr">
        <is>
          <t>Manaksia Steels Limited</t>
        </is>
      </c>
      <c r="C18" s="30" t="inlineStr">
        <is>
          <t>metals &amp; mining</t>
        </is>
      </c>
      <c r="D18" s="30" t="inlineStr">
        <is>
          <t>steel - medium / small</t>
        </is>
      </c>
      <c r="E18" s="30" t="inlineStr">
        <is>
          <t>smallcap</t>
        </is>
      </c>
      <c r="F18" s="30" t="n">
        <v>688.63</v>
      </c>
      <c r="G18" s="30" t="n">
        <v>110.13</v>
      </c>
      <c r="H18" s="30" t="n">
        <v>4.81</v>
      </c>
      <c r="I18" s="30" t="n">
        <v>43958</v>
      </c>
      <c r="J18" s="30" t="inlineStr">
        <is>
          <t>539044</t>
        </is>
      </c>
    </row>
    <row r="19">
      <c r="A19" s="30" t="inlineStr">
        <is>
          <t>BLISSGVS</t>
        </is>
      </c>
      <c r="B19" s="30" t="inlineStr">
        <is>
          <t>Bliss Gvs Pharma Limited</t>
        </is>
      </c>
      <c r="C19" s="30" t="inlineStr">
        <is>
          <t>healthcare</t>
        </is>
      </c>
      <c r="D19" s="30" t="inlineStr">
        <is>
          <t>pharmaceuticals - indian - formulations</t>
        </is>
      </c>
      <c r="E19" s="30" t="inlineStr">
        <is>
          <t>midcap</t>
        </is>
      </c>
      <c r="F19" s="30" t="n">
        <v>7473.78</v>
      </c>
      <c r="G19" s="30" t="n">
        <v>737.65</v>
      </c>
      <c r="H19" s="30" t="n">
        <v>4.68</v>
      </c>
      <c r="I19" s="30" t="n">
        <v>2825169</v>
      </c>
      <c r="J19" s="30" t="inlineStr">
        <is>
          <t>506197</t>
        </is>
      </c>
    </row>
    <row r="20">
      <c r="A20" s="30" t="inlineStr">
        <is>
          <t>OCCLLTD</t>
        </is>
      </c>
      <c r="B20" s="30" t="inlineStr">
        <is>
          <t>OCCL Ltd</t>
        </is>
      </c>
      <c r="C20" s="30" t="inlineStr">
        <is>
          <t>chemicals</t>
        </is>
      </c>
      <c r="D20" s="30" t="inlineStr">
        <is>
          <t>chemicals</t>
        </is>
      </c>
      <c r="E20" s="30" t="inlineStr">
        <is>
          <t>smallcap</t>
        </is>
      </c>
      <c r="F20" s="30" t="n">
        <v>837.52</v>
      </c>
      <c r="G20" s="30" t="n">
        <v>174.52</v>
      </c>
      <c r="H20" s="30" t="n">
        <v>4.09</v>
      </c>
      <c r="I20" s="30" t="n">
        <v>296533</v>
      </c>
      <c r="J20" s="30" t="inlineStr">
        <is>
          <t>544278</t>
        </is>
      </c>
    </row>
    <row r="21">
      <c r="A21" s="30" t="inlineStr">
        <is>
          <t>RUBYMILLS</t>
        </is>
      </c>
      <c r="B21" s="30" t="inlineStr">
        <is>
          <t>The Ruby Mills Limited</t>
        </is>
      </c>
      <c r="C21" s="30" t="inlineStr">
        <is>
          <t>textiles</t>
        </is>
      </c>
      <c r="D21" s="30" t="inlineStr">
        <is>
          <t>textiles - composite</t>
        </is>
      </c>
      <c r="E21" s="30" t="inlineStr">
        <is>
          <t>smallcap</t>
        </is>
      </c>
      <c r="F21" s="30" t="n">
        <v>1644.75</v>
      </c>
      <c r="G21" s="30" t="n">
        <v>510.6</v>
      </c>
      <c r="H21" s="30" t="n">
        <v>3.81</v>
      </c>
      <c r="I21" s="30" t="n">
        <v>95953</v>
      </c>
      <c r="J21" s="30" t="inlineStr">
        <is>
          <t>503169</t>
        </is>
      </c>
    </row>
    <row r="22">
      <c r="A22" s="30" t="inlineStr">
        <is>
          <t>OAL</t>
        </is>
      </c>
      <c r="B22" s="30" t="inlineStr">
        <is>
          <t>Oriental Aromatics Ltd</t>
        </is>
      </c>
      <c r="C22" s="30" t="inlineStr">
        <is>
          <t>chemicals</t>
        </is>
      </c>
      <c r="D22" s="30" t="inlineStr">
        <is>
          <t>chemicals</t>
        </is>
      </c>
      <c r="E22" s="30" t="inlineStr">
        <is>
          <t>smallcap</t>
        </is>
      </c>
      <c r="F22" s="30" t="n">
        <v>1795.92</v>
      </c>
      <c r="G22" s="30" t="n">
        <v>553.15</v>
      </c>
      <c r="H22" s="30" t="n">
        <v>3.65</v>
      </c>
      <c r="I22" s="30" t="n">
        <v>99966</v>
      </c>
      <c r="J22" s="30" t="inlineStr">
        <is>
          <t>500078</t>
        </is>
      </c>
    </row>
    <row r="23">
      <c r="A23" s="30" t="inlineStr">
        <is>
          <t>FILATEX</t>
        </is>
      </c>
      <c r="B23" s="30" t="inlineStr">
        <is>
          <t>Filatex India Limited</t>
        </is>
      </c>
      <c r="C23" s="30" t="inlineStr">
        <is>
          <t>textiles</t>
        </is>
      </c>
      <c r="D23" s="30" t="inlineStr">
        <is>
          <t>textiles - manmade</t>
        </is>
      </c>
      <c r="E23" s="30" t="inlineStr">
        <is>
          <t>smallcap</t>
        </is>
      </c>
      <c r="F23" s="30" t="n">
        <v>4748.76</v>
      </c>
      <c r="G23" s="30" t="n">
        <v>110.75</v>
      </c>
      <c r="H23" s="30" t="n">
        <v>3.56</v>
      </c>
      <c r="I23" s="30" t="n">
        <v>5372095</v>
      </c>
      <c r="J23" s="30" t="inlineStr">
        <is>
          <t>526227</t>
        </is>
      </c>
    </row>
    <row r="24">
      <c r="A24" s="30" t="inlineStr">
        <is>
          <t>MARINE</t>
        </is>
      </c>
      <c r="B24" s="30" t="inlineStr">
        <is>
          <t>Marine Electricals (India) Ltd</t>
        </is>
      </c>
      <c r="C24" s="30" t="inlineStr">
        <is>
          <t>industrials</t>
        </is>
      </c>
      <c r="D24" s="30" t="inlineStr">
        <is>
          <t>electric equipment</t>
        </is>
      </c>
      <c r="E24" s="30" t="inlineStr">
        <is>
          <t>midcap</t>
        </is>
      </c>
      <c r="F24" s="30" t="n">
        <v>5790.2</v>
      </c>
      <c r="G24" s="30" t="n">
        <v>428.2</v>
      </c>
      <c r="H24" s="30" t="n">
        <v>3.49</v>
      </c>
      <c r="I24" s="30" t="n">
        <v>2468681</v>
      </c>
      <c r="J24" s="30" t="inlineStr">
        <is>
          <t>535119</t>
        </is>
      </c>
    </row>
    <row r="25">
      <c r="A25" s="30" t="inlineStr">
        <is>
          <t>HITECHCORP</t>
        </is>
      </c>
      <c r="B25" s="30" t="inlineStr">
        <is>
          <t>Hitech Corporation</t>
        </is>
      </c>
      <c r="C25" s="30" t="inlineStr">
        <is>
          <t>industrials</t>
        </is>
      </c>
      <c r="D25" s="30" t="inlineStr">
        <is>
          <t>packaging</t>
        </is>
      </c>
      <c r="E25" s="30" t="inlineStr">
        <is>
          <t>smallcap</t>
        </is>
      </c>
      <c r="F25" s="30" t="n">
        <v>567.0599999999999</v>
      </c>
      <c r="G25" s="30" t="n">
        <v>341.45</v>
      </c>
      <c r="H25" s="30" t="n">
        <v>3.42</v>
      </c>
      <c r="I25" s="30" t="n">
        <v>38828</v>
      </c>
      <c r="J25" s="30" t="inlineStr">
        <is>
          <t>526217</t>
        </is>
      </c>
    </row>
    <row r="26">
      <c r="A26" s="30" t="inlineStr">
        <is>
          <t>APOLLO</t>
        </is>
      </c>
      <c r="B26" s="30" t="inlineStr">
        <is>
          <t>Apollo Micro Systems Ltd</t>
        </is>
      </c>
      <c r="C26" s="30" t="inlineStr">
        <is>
          <t>aerospace &amp; defence</t>
        </is>
      </c>
      <c r="D26" s="30" t="inlineStr">
        <is>
          <t>electronics - components</t>
        </is>
      </c>
      <c r="E26" s="30" t="inlineStr">
        <is>
          <t>midcap</t>
        </is>
      </c>
      <c r="F26" s="30" t="n">
        <v>14700.48</v>
      </c>
      <c r="G26" s="30" t="n">
        <v>408.3</v>
      </c>
      <c r="H26" s="30" t="n">
        <v>3.21</v>
      </c>
      <c r="I26" s="30" t="n">
        <v>11506533</v>
      </c>
      <c r="J26" s="30" t="inlineStr">
        <is>
          <t>540879</t>
        </is>
      </c>
    </row>
    <row r="27">
      <c r="A27" s="30" t="inlineStr">
        <is>
          <t>SOFTTECH</t>
        </is>
      </c>
      <c r="B27" s="30" t="inlineStr">
        <is>
          <t>Softtech Engineers Ltd</t>
        </is>
      </c>
      <c r="C27" s="30" t="inlineStr">
        <is>
          <t>i.t</t>
        </is>
      </c>
      <c r="D27" s="30" t="inlineStr">
        <is>
          <t>computers - software - medium / small</t>
        </is>
      </c>
      <c r="E27" s="30" t="inlineStr">
        <is>
          <t>smallcap</t>
        </is>
      </c>
      <c r="F27" s="30" t="n">
        <v>664.15</v>
      </c>
      <c r="G27" s="30" t="n">
        <v>495</v>
      </c>
      <c r="H27" s="30" t="n">
        <v>3.17</v>
      </c>
      <c r="I27" s="30" t="n">
        <v>2982</v>
      </c>
      <c r="J27" s="30" t="inlineStr">
        <is>
          <t>535078</t>
        </is>
      </c>
    </row>
    <row r="28">
      <c r="A28" s="30" t="inlineStr">
        <is>
          <t>BLUSPRING</t>
        </is>
      </c>
      <c r="B28" s="30" t="inlineStr">
        <is>
          <t>Bluspring Enterprises Ltd</t>
        </is>
      </c>
      <c r="C28" s="30" t="inlineStr">
        <is>
          <t>miscellaneous</t>
        </is>
      </c>
      <c r="D28" s="30" t="inlineStr">
        <is>
          <t>diversified - large</t>
        </is>
      </c>
      <c r="E28" s="30" t="inlineStr">
        <is>
          <t>smallcap</t>
        </is>
      </c>
      <c r="F28" s="30" t="n">
        <v>2168.69</v>
      </c>
      <c r="G28" s="30" t="n">
        <v>149.44</v>
      </c>
      <c r="H28" s="30" t="n">
        <v>2.98</v>
      </c>
      <c r="I28" s="30" t="n">
        <v>690632</v>
      </c>
      <c r="J28" s="30" t="inlineStr">
        <is>
          <t>544414</t>
        </is>
      </c>
    </row>
    <row r="29">
      <c r="A29" s="30" t="inlineStr">
        <is>
          <t>SSWL</t>
        </is>
      </c>
      <c r="B29" s="30" t="inlineStr">
        <is>
          <t>Steel Strips Wheels Limited</t>
        </is>
      </c>
      <c r="C29" s="30" t="inlineStr">
        <is>
          <t>auto</t>
        </is>
      </c>
      <c r="D29" s="30" t="inlineStr">
        <is>
          <t>auto ancillaries</t>
        </is>
      </c>
      <c r="E29" s="30" t="inlineStr">
        <is>
          <t>midcap</t>
        </is>
      </c>
      <c r="F29" s="30" t="n">
        <v>5953.21</v>
      </c>
      <c r="G29" s="30" t="n">
        <v>388.65</v>
      </c>
      <c r="H29" s="30" t="n">
        <v>2.61</v>
      </c>
      <c r="I29" s="30" t="n">
        <v>1382064</v>
      </c>
      <c r="J29" s="30" t="inlineStr">
        <is>
          <t>513262</t>
        </is>
      </c>
    </row>
    <row r="30">
      <c r="A30" s="30" t="inlineStr">
        <is>
          <t>GESHIP</t>
        </is>
      </c>
      <c r="B30" s="30" t="inlineStr">
        <is>
          <t>The Great Eastern Shipping Company Limited</t>
        </is>
      </c>
      <c r="C30" s="30" t="inlineStr">
        <is>
          <t>transportation</t>
        </is>
      </c>
      <c r="D30" s="30" t="inlineStr">
        <is>
          <t>shipping</t>
        </is>
      </c>
      <c r="E30" s="30" t="inlineStr">
        <is>
          <t>largecap</t>
        </is>
      </c>
      <c r="F30" s="30" t="n">
        <v>21375.1</v>
      </c>
      <c r="G30" s="30" t="n">
        <v>1533.4</v>
      </c>
      <c r="H30" s="30" t="n">
        <v>2.42</v>
      </c>
      <c r="I30" s="30" t="n">
        <v>3277779</v>
      </c>
      <c r="J30" s="30" t="inlineStr">
        <is>
          <t>500620</t>
        </is>
      </c>
    </row>
    <row r="31">
      <c r="A31" s="30" t="inlineStr">
        <is>
          <t>VIDHIING</t>
        </is>
      </c>
      <c r="B31" s="30" t="inlineStr">
        <is>
          <t>Vidhi Specialty Food Ingredients</t>
        </is>
      </c>
      <c r="C31" s="30" t="inlineStr">
        <is>
          <t>chemicals</t>
        </is>
      </c>
      <c r="D31" s="30" t="inlineStr">
        <is>
          <t>dyes and pigments</t>
        </is>
      </c>
      <c r="E31" s="30" t="inlineStr">
        <is>
          <t>smallcap</t>
        </is>
      </c>
      <c r="F31" s="30" t="n">
        <v>1726.85</v>
      </c>
      <c r="G31" s="30" t="n">
        <v>354</v>
      </c>
      <c r="H31" s="30" t="n">
        <v>2.39</v>
      </c>
      <c r="I31" s="30" t="n">
        <v>15153</v>
      </c>
      <c r="J31" s="30" t="inlineStr">
        <is>
          <t>531717</t>
        </is>
      </c>
    </row>
    <row r="32">
      <c r="A32" s="30" t="inlineStr">
        <is>
          <t>MUKANDLTD</t>
        </is>
      </c>
      <c r="B32" s="30" t="inlineStr">
        <is>
          <t>Mukand Limited</t>
        </is>
      </c>
      <c r="C32" s="30" t="inlineStr">
        <is>
          <t>metals &amp; mining</t>
        </is>
      </c>
      <c r="D32" s="30" t="inlineStr">
        <is>
          <t>steel - medium / small</t>
        </is>
      </c>
      <c r="E32" s="30" t="inlineStr">
        <is>
          <t>smallcap</t>
        </is>
      </c>
      <c r="F32" s="30" t="n">
        <v>2413.8</v>
      </c>
      <c r="G32" s="30" t="n">
        <v>171.03</v>
      </c>
      <c r="H32" s="30" t="n">
        <v>2.38</v>
      </c>
      <c r="I32" s="30" t="n">
        <v>1597471</v>
      </c>
      <c r="J32" s="30" t="inlineStr">
        <is>
          <t>500460</t>
        </is>
      </c>
    </row>
    <row r="33">
      <c r="A33" s="30" t="inlineStr">
        <is>
          <t>KINGFA</t>
        </is>
      </c>
      <c r="B33" s="30" t="inlineStr">
        <is>
          <t>Kingfa Science &amp; Technology (india) Limited</t>
        </is>
      </c>
      <c r="C33" s="30" t="inlineStr">
        <is>
          <t>plastic products</t>
        </is>
      </c>
      <c r="D33" s="30" t="inlineStr">
        <is>
          <t>plastics products</t>
        </is>
      </c>
      <c r="E33" s="30" t="inlineStr">
        <is>
          <t>midcap</t>
        </is>
      </c>
      <c r="F33" s="30" t="n">
        <v>8452.67</v>
      </c>
      <c r="G33" s="30" t="n">
        <v>6384</v>
      </c>
      <c r="H33" s="30" t="n">
        <v>2.35</v>
      </c>
      <c r="I33" s="30" t="n">
        <v>10603</v>
      </c>
      <c r="J33" s="30" t="inlineStr">
        <is>
          <t>524019</t>
        </is>
      </c>
    </row>
    <row r="34">
      <c r="A34" s="30" t="inlineStr">
        <is>
          <t>ARTEMISMED</t>
        </is>
      </c>
      <c r="B34" s="30" t="inlineStr">
        <is>
          <t>Artemis Medicare Services Ltd</t>
        </is>
      </c>
      <c r="C34" s="30" t="inlineStr">
        <is>
          <t>healthcare</t>
        </is>
      </c>
      <c r="D34" s="30" t="inlineStr">
        <is>
          <t>healthcare</t>
        </is>
      </c>
      <c r="E34" s="30" t="inlineStr">
        <is>
          <t>midcap</t>
        </is>
      </c>
      <c r="F34" s="30" t="n">
        <v>5662.61</v>
      </c>
      <c r="G34" s="30" t="n">
        <v>365.9</v>
      </c>
      <c r="H34" s="30" t="n">
        <v>2.29</v>
      </c>
      <c r="I34" s="30" t="n">
        <v>2092323</v>
      </c>
      <c r="J34" s="30" t="inlineStr">
        <is>
          <t>542919</t>
        </is>
      </c>
    </row>
    <row r="35">
      <c r="A35" s="30" t="inlineStr">
        <is>
          <t>GCSL</t>
        </is>
      </c>
      <c r="B35" s="30" t="inlineStr">
        <is>
          <t>Gretex Corporate Services Ltd</t>
        </is>
      </c>
      <c r="C35" s="30" t="inlineStr">
        <is>
          <t>financials</t>
        </is>
      </c>
      <c r="D35" s="30" t="inlineStr">
        <is>
          <t>finance &amp; investments</t>
        </is>
      </c>
      <c r="E35" s="30" t="inlineStr">
        <is>
          <t>smallcap</t>
        </is>
      </c>
      <c r="F35" s="30" t="n">
        <v>1633.98</v>
      </c>
      <c r="G35" s="30" t="n">
        <v>667.35</v>
      </c>
      <c r="H35" s="30" t="n">
        <v>2.13</v>
      </c>
      <c r="I35" s="30" t="n">
        <v>273458</v>
      </c>
      <c r="J35" s="30" t="inlineStr">
        <is>
          <t>543324</t>
        </is>
      </c>
    </row>
    <row r="36">
      <c r="A36" s="30" t="inlineStr">
        <is>
          <t>KANORICHEM</t>
        </is>
      </c>
      <c r="B36" s="30" t="inlineStr">
        <is>
          <t>Kanoria Chemicals &amp; Industries Limited</t>
        </is>
      </c>
      <c r="C36" s="30" t="inlineStr">
        <is>
          <t>chemicals</t>
        </is>
      </c>
      <c r="D36" s="30" t="inlineStr">
        <is>
          <t>chemicals</t>
        </is>
      </c>
      <c r="E36" s="30" t="inlineStr">
        <is>
          <t>smallcap</t>
        </is>
      </c>
      <c r="F36" s="30" t="n">
        <v>867.53</v>
      </c>
      <c r="G36" s="30" t="n">
        <v>202.55</v>
      </c>
      <c r="H36" s="30" t="n">
        <v>2.01</v>
      </c>
      <c r="I36" s="30" t="n">
        <v>59287</v>
      </c>
      <c r="J36" s="30" t="inlineStr">
        <is>
          <t>506525</t>
        </is>
      </c>
    </row>
    <row r="37">
      <c r="A37" s="30" t="inlineStr">
        <is>
          <t>TREL</t>
        </is>
      </c>
      <c r="B37" s="30" t="inlineStr">
        <is>
          <t>TransIndia Real Estate Ltd</t>
        </is>
      </c>
      <c r="C37" s="30" t="inlineStr">
        <is>
          <t>transportation</t>
        </is>
      </c>
      <c r="D37" s="30" t="inlineStr">
        <is>
          <t>miscellaneous</t>
        </is>
      </c>
      <c r="E37" s="30" t="inlineStr">
        <is>
          <t>smallcap</t>
        </is>
      </c>
      <c r="F37" s="30" t="n">
        <v>695.8099999999999</v>
      </c>
      <c r="G37" s="30" t="n">
        <v>28.89</v>
      </c>
      <c r="H37" s="30" t="n">
        <v>2.01</v>
      </c>
      <c r="I37" s="30" t="n">
        <v>143807</v>
      </c>
      <c r="J37" s="30" t="inlineStr">
        <is>
          <t>543955</t>
        </is>
      </c>
    </row>
    <row r="38">
      <c r="A38" s="30" t="inlineStr">
        <is>
          <t>MBECL</t>
        </is>
      </c>
      <c r="B38" s="30" t="inlineStr">
        <is>
          <t>Mcnally Bharat Engineering Company Limited</t>
        </is>
      </c>
      <c r="C38" s="30" t="inlineStr">
        <is>
          <t>realty</t>
        </is>
      </c>
      <c r="D38" s="30" t="inlineStr">
        <is>
          <t>engineering - turnkey services</t>
        </is>
      </c>
      <c r="E38" s="30" t="inlineStr">
        <is>
          <t>smallcap</t>
        </is>
      </c>
      <c r="F38" s="30" t="n">
        <v>1521.33</v>
      </c>
      <c r="G38" s="30" t="n">
        <v>465.52</v>
      </c>
      <c r="H38" s="30" t="n">
        <v>2</v>
      </c>
      <c r="I38" s="30" t="n">
        <v>2040</v>
      </c>
      <c r="J38" s="30" t="inlineStr">
        <is>
          <t>532629</t>
        </is>
      </c>
    </row>
    <row r="39">
      <c r="A39" s="30" t="inlineStr">
        <is>
          <t>BAFNAPH</t>
        </is>
      </c>
      <c r="B39" s="30" t="inlineStr">
        <is>
          <t>Bafna Pharmaceuticals Ltd</t>
        </is>
      </c>
      <c r="C39" s="30" t="inlineStr">
        <is>
          <t>healthcare</t>
        </is>
      </c>
      <c r="D39" s="30" t="inlineStr">
        <is>
          <t>pharmaceuticals - indian - formulations</t>
        </is>
      </c>
      <c r="E39" s="30" t="inlineStr">
        <is>
          <t>smallcap</t>
        </is>
      </c>
      <c r="F39" s="30" t="n">
        <v>828.09</v>
      </c>
      <c r="G39" s="30" t="n">
        <v>357.05</v>
      </c>
      <c r="H39" s="30" t="n">
        <v>2</v>
      </c>
      <c r="I39" s="30" t="n">
        <v>1073</v>
      </c>
      <c r="J39" s="30" t="inlineStr">
        <is>
          <t>532989</t>
        </is>
      </c>
    </row>
    <row r="40">
      <c r="A40" s="30" t="inlineStr">
        <is>
          <t>KABRAEXTRU</t>
        </is>
      </c>
      <c r="B40" s="30" t="inlineStr">
        <is>
          <t>Kabra Extrusion Technik Limited</t>
        </is>
      </c>
      <c r="C40" s="30" t="inlineStr">
        <is>
          <t>industrials</t>
        </is>
      </c>
      <c r="D40" s="30" t="inlineStr">
        <is>
          <t>engineering</t>
        </is>
      </c>
      <c r="E40" s="30" t="inlineStr">
        <is>
          <t>smallcap</t>
        </is>
      </c>
      <c r="F40" s="30" t="n">
        <v>2960.1</v>
      </c>
      <c r="G40" s="30" t="n">
        <v>863.15</v>
      </c>
      <c r="H40" s="30" t="n">
        <v>1.98</v>
      </c>
      <c r="I40" s="30" t="n">
        <v>601526</v>
      </c>
      <c r="J40" s="30" t="inlineStr">
        <is>
          <t>524109</t>
        </is>
      </c>
    </row>
    <row r="41">
      <c r="A41" s="30" t="inlineStr">
        <is>
          <t>MAZDA</t>
        </is>
      </c>
      <c r="B41" s="30" t="inlineStr">
        <is>
          <t>Mazda Limited</t>
        </is>
      </c>
      <c r="C41" s="30" t="inlineStr">
        <is>
          <t>industrials</t>
        </is>
      </c>
      <c r="D41" s="30" t="inlineStr">
        <is>
          <t>engineering</t>
        </is>
      </c>
      <c r="E41" s="30" t="inlineStr">
        <is>
          <t>smallcap</t>
        </is>
      </c>
      <c r="F41" s="30" t="n">
        <v>560.8</v>
      </c>
      <c r="G41" s="30" t="n">
        <v>285.15</v>
      </c>
      <c r="H41" s="30" t="n">
        <v>1.82</v>
      </c>
      <c r="I41" s="30" t="n">
        <v>49420</v>
      </c>
      <c r="J41" s="30" t="inlineStr">
        <is>
          <t>523792</t>
        </is>
      </c>
    </row>
    <row r="42">
      <c r="A42" s="30" t="inlineStr">
        <is>
          <t>SPECTRUM</t>
        </is>
      </c>
      <c r="B42" s="30" t="inlineStr">
        <is>
          <t>Spectrum Electrical Industries Ltd</t>
        </is>
      </c>
      <c r="C42" s="30" t="inlineStr">
        <is>
          <t>industrials</t>
        </is>
      </c>
      <c r="D42" s="30" t="inlineStr">
        <is>
          <t>electric equipment</t>
        </is>
      </c>
      <c r="E42" s="30" t="inlineStr">
        <is>
          <t>midcap</t>
        </is>
      </c>
      <c r="F42" s="30" t="n">
        <v>6012.74</v>
      </c>
      <c r="G42" s="30" t="n">
        <v>3578.7</v>
      </c>
      <c r="H42" s="30" t="n">
        <v>1.7</v>
      </c>
      <c r="I42" s="30" t="n">
        <v>7291</v>
      </c>
      <c r="J42" s="30" t="inlineStr">
        <is>
          <t>535112</t>
        </is>
      </c>
    </row>
    <row r="43">
      <c r="A43" s="30" t="inlineStr">
        <is>
          <t>SATIA</t>
        </is>
      </c>
      <c r="B43" s="30" t="inlineStr">
        <is>
          <t>Satia Industries Ltd</t>
        </is>
      </c>
      <c r="C43" s="30" t="inlineStr">
        <is>
          <t>building materials</t>
        </is>
      </c>
      <c r="D43" s="30" t="inlineStr">
        <is>
          <t>paper</t>
        </is>
      </c>
      <c r="E43" s="30" t="inlineStr">
        <is>
          <t>smallcap</t>
        </is>
      </c>
      <c r="F43" s="30" t="n">
        <v>670</v>
      </c>
      <c r="G43" s="30" t="n">
        <v>68.09999999999999</v>
      </c>
      <c r="H43" s="30" t="n">
        <v>1.64</v>
      </c>
      <c r="I43" s="30" t="n">
        <v>191667</v>
      </c>
      <c r="J43" s="30" t="inlineStr">
        <is>
          <t>539201</t>
        </is>
      </c>
    </row>
    <row r="44">
      <c r="A44" s="30" t="inlineStr">
        <is>
          <t>TARSONS</t>
        </is>
      </c>
      <c r="B44" s="30" t="inlineStr">
        <is>
          <t>Tarsons Products Ltd</t>
        </is>
      </c>
      <c r="C44" s="30" t="inlineStr">
        <is>
          <t>healthcare</t>
        </is>
      </c>
      <c r="D44" s="30" t="inlineStr">
        <is>
          <t>miscellaneous</t>
        </is>
      </c>
      <c r="E44" s="30" t="inlineStr">
        <is>
          <t>smallcap</t>
        </is>
      </c>
      <c r="F44" s="30" t="n">
        <v>1770.44</v>
      </c>
      <c r="G44" s="30" t="n">
        <v>338</v>
      </c>
      <c r="H44" s="30" t="n">
        <v>1.58</v>
      </c>
      <c r="I44" s="30" t="n">
        <v>169662</v>
      </c>
      <c r="J44" s="30" t="inlineStr">
        <is>
          <t>543399</t>
        </is>
      </c>
    </row>
    <row r="45">
      <c r="A45" s="30" t="inlineStr">
        <is>
          <t>SANGAMIND</t>
        </is>
      </c>
      <c r="B45" s="30" t="inlineStr">
        <is>
          <t>Sangam (india) Limited</t>
        </is>
      </c>
      <c r="C45" s="30" t="inlineStr">
        <is>
          <t>textiles</t>
        </is>
      </c>
      <c r="D45" s="30" t="inlineStr">
        <is>
          <t>textiles - spinning - synthetic / blended</t>
        </is>
      </c>
      <c r="E45" s="30" t="inlineStr">
        <is>
          <t>smallcap</t>
        </is>
      </c>
      <c r="F45" s="30" t="n">
        <v>3114.78</v>
      </c>
      <c r="G45" s="30" t="n">
        <v>629.3</v>
      </c>
      <c r="H45" s="30" t="n">
        <v>1.52</v>
      </c>
      <c r="I45" s="30" t="n">
        <v>89480</v>
      </c>
      <c r="J45" s="30" t="inlineStr">
        <is>
          <t>514234</t>
        </is>
      </c>
    </row>
    <row r="46">
      <c r="A46" s="30" t="inlineStr">
        <is>
          <t>AVADHSUGAR</t>
        </is>
      </c>
      <c r="B46" s="30" t="inlineStr">
        <is>
          <t>Avadh Sugar &amp; Energy</t>
        </is>
      </c>
      <c r="C46" s="30" t="inlineStr">
        <is>
          <t>fmcg</t>
        </is>
      </c>
      <c r="D46" s="30" t="inlineStr">
        <is>
          <t>sugar</t>
        </is>
      </c>
      <c r="E46" s="30" t="inlineStr">
        <is>
          <t>smallcap</t>
        </is>
      </c>
      <c r="F46" s="30" t="n">
        <v>1594.47</v>
      </c>
      <c r="G46" s="30" t="n">
        <v>808.4</v>
      </c>
      <c r="H46" s="30" t="n">
        <v>1.49</v>
      </c>
      <c r="I46" s="30" t="n">
        <v>276330</v>
      </c>
      <c r="J46" s="30" t="inlineStr">
        <is>
          <t>540649</t>
        </is>
      </c>
    </row>
    <row r="47">
      <c r="A47" s="30" t="inlineStr">
        <is>
          <t>WELSPUNLIV</t>
        </is>
      </c>
      <c r="B47" s="30" t="inlineStr">
        <is>
          <t>Welspun Living Ltd</t>
        </is>
      </c>
      <c r="C47" s="30" t="inlineStr">
        <is>
          <t>textiles</t>
        </is>
      </c>
      <c r="D47" s="30" t="inlineStr">
        <is>
          <t>textiles - products</t>
        </is>
      </c>
      <c r="E47" s="30" t="inlineStr">
        <is>
          <t>largecap</t>
        </is>
      </c>
      <c r="F47" s="30" t="n">
        <v>21226.7</v>
      </c>
      <c r="G47" s="30" t="n">
        <v>227.95</v>
      </c>
      <c r="H47" s="30" t="n">
        <v>1.46</v>
      </c>
      <c r="I47" s="30" t="n">
        <v>4159923</v>
      </c>
      <c r="J47" s="30" t="inlineStr">
        <is>
          <t>514162</t>
        </is>
      </c>
    </row>
    <row r="48">
      <c r="A48" s="30" t="inlineStr">
        <is>
          <t>INDORAMA</t>
        </is>
      </c>
      <c r="B48" s="30" t="inlineStr">
        <is>
          <t>Indo Rama Synthetics (india) Limited</t>
        </is>
      </c>
      <c r="C48" s="30" t="inlineStr">
        <is>
          <t>textiles</t>
        </is>
      </c>
      <c r="D48" s="30" t="inlineStr">
        <is>
          <t>textiles - manmade</t>
        </is>
      </c>
      <c r="E48" s="30" t="inlineStr">
        <is>
          <t>smallcap</t>
        </is>
      </c>
      <c r="F48" s="30" t="n">
        <v>2594.42</v>
      </c>
      <c r="G48" s="30" t="n">
        <v>100.8</v>
      </c>
      <c r="H48" s="30" t="n">
        <v>1.45</v>
      </c>
      <c r="I48" s="30" t="n">
        <v>1050318</v>
      </c>
      <c r="J48" s="30" t="inlineStr">
        <is>
          <t>500207</t>
        </is>
      </c>
    </row>
    <row r="49">
      <c r="A49" s="30" t="inlineStr">
        <is>
          <t>SGIL</t>
        </is>
      </c>
      <c r="B49" s="30" t="inlineStr">
        <is>
          <t>Synergy Green Industries Ltd</t>
        </is>
      </c>
      <c r="C49" s="30" t="inlineStr">
        <is>
          <t>castings, forgings &amp; fasteners</t>
        </is>
      </c>
      <c r="D49" s="30" t="inlineStr">
        <is>
          <t>castings &amp; forgings</t>
        </is>
      </c>
      <c r="E49" s="30" t="inlineStr">
        <is>
          <t>smallcap</t>
        </is>
      </c>
      <c r="F49" s="30" t="n">
        <v>998.64</v>
      </c>
      <c r="G49" s="30" t="n">
        <v>650.75</v>
      </c>
      <c r="H49" s="30" t="n">
        <v>1.28</v>
      </c>
      <c r="I49" s="30" t="n">
        <v>7433</v>
      </c>
      <c r="J49" s="30" t="inlineStr">
        <is>
          <t>541929</t>
        </is>
      </c>
    </row>
    <row r="50">
      <c r="A50" s="30" t="inlineStr">
        <is>
          <t>NRBBEARING</t>
        </is>
      </c>
      <c r="B50" s="30" t="inlineStr">
        <is>
          <t>Nrb Bearing Limited</t>
        </is>
      </c>
      <c r="C50" s="30" t="inlineStr">
        <is>
          <t>industrials</t>
        </is>
      </c>
      <c r="D50" s="30" t="inlineStr">
        <is>
          <t>bearings</t>
        </is>
      </c>
      <c r="E50" s="30" t="inlineStr">
        <is>
          <t>midcap</t>
        </is>
      </c>
      <c r="F50" s="30" t="n">
        <v>5183.42</v>
      </c>
      <c r="G50" s="30" t="n">
        <v>541.5</v>
      </c>
      <c r="H50" s="30" t="n">
        <v>1.25</v>
      </c>
      <c r="I50" s="30" t="n">
        <v>1413609</v>
      </c>
      <c r="J50" s="30" t="inlineStr">
        <is>
          <t>530367</t>
        </is>
      </c>
    </row>
    <row r="51">
      <c r="A51" s="30" t="inlineStr">
        <is>
          <t>WHEELS</t>
        </is>
      </c>
      <c r="B51" s="30" t="inlineStr">
        <is>
          <t>Wheels India Limited</t>
        </is>
      </c>
      <c r="C51" s="30" t="inlineStr">
        <is>
          <t>auto</t>
        </is>
      </c>
      <c r="D51" s="30" t="inlineStr">
        <is>
          <t>auto ancillaries</t>
        </is>
      </c>
      <c r="E51" s="30" t="inlineStr">
        <is>
          <t>midcap</t>
        </is>
      </c>
      <c r="F51" s="30" t="n">
        <v>5610.8</v>
      </c>
      <c r="G51" s="30" t="n">
        <v>2323.8</v>
      </c>
      <c r="H51" s="30" t="n">
        <v>1.19</v>
      </c>
      <c r="I51" s="30" t="n">
        <v>342438</v>
      </c>
      <c r="J51" s="30" t="inlineStr">
        <is>
          <t>590073</t>
        </is>
      </c>
    </row>
    <row r="52">
      <c r="A52" s="30" t="inlineStr">
        <is>
          <t>ABDL</t>
        </is>
      </c>
      <c r="B52" s="30" t="inlineStr">
        <is>
          <t>Allied Blenders &amp; Distillers Ltd</t>
        </is>
      </c>
      <c r="C52" s="30" t="inlineStr">
        <is>
          <t>fmcg</t>
        </is>
      </c>
      <c r="D52" s="30" t="inlineStr">
        <is>
          <t>breweries &amp; distilleries</t>
        </is>
      </c>
      <c r="E52" s="30" t="inlineStr">
        <is>
          <t>largecap</t>
        </is>
      </c>
      <c r="F52" s="30" t="n">
        <v>20000.67</v>
      </c>
      <c r="G52" s="30" t="n">
        <v>723.45</v>
      </c>
      <c r="H52" s="30" t="n">
        <v>1.17</v>
      </c>
      <c r="I52" s="30" t="n">
        <v>1807712</v>
      </c>
      <c r="J52" s="30" t="inlineStr">
        <is>
          <t>544203</t>
        </is>
      </c>
    </row>
    <row r="53">
      <c r="A53" s="30" t="inlineStr">
        <is>
          <t>SHILPAMED</t>
        </is>
      </c>
      <c r="B53" s="30" t="inlineStr">
        <is>
          <t>Shilpa Medicare Limited</t>
        </is>
      </c>
      <c r="C53" s="30" t="inlineStr">
        <is>
          <t>healthcare</t>
        </is>
      </c>
      <c r="D53" s="30" t="inlineStr">
        <is>
          <t>pharmaceuticals - indian - formulations</t>
        </is>
      </c>
      <c r="E53" s="30" t="inlineStr">
        <is>
          <t>midcap</t>
        </is>
      </c>
      <c r="F53" s="30" t="n">
        <v>19821.24</v>
      </c>
      <c r="G53" s="30" t="n">
        <v>1025.25</v>
      </c>
      <c r="H53" s="30" t="n">
        <v>1.16</v>
      </c>
      <c r="I53" s="30" t="n">
        <v>678050</v>
      </c>
      <c r="J53" s="30" t="inlineStr">
        <is>
          <t>530549</t>
        </is>
      </c>
    </row>
    <row r="54">
      <c r="A54" s="30" t="inlineStr">
        <is>
          <t>SURAKSHA</t>
        </is>
      </c>
      <c r="B54" s="30" t="inlineStr">
        <is>
          <t>Suraksha Diagnostic Ltd</t>
        </is>
      </c>
      <c r="C54" s="30" t="inlineStr">
        <is>
          <t>healthcare</t>
        </is>
      </c>
      <c r="D54" s="30" t="inlineStr">
        <is>
          <t>healthcare</t>
        </is>
      </c>
      <c r="E54" s="30" t="inlineStr">
        <is>
          <t>smallcap</t>
        </is>
      </c>
      <c r="F54" s="30" t="n">
        <v>1787.93</v>
      </c>
      <c r="G54" s="30" t="n">
        <v>347.05</v>
      </c>
      <c r="H54" s="30" t="n">
        <v>1.09</v>
      </c>
      <c r="I54" s="30" t="n">
        <v>65448</v>
      </c>
      <c r="J54" s="30" t="inlineStr">
        <is>
          <t>544293</t>
        </is>
      </c>
    </row>
    <row r="55">
      <c r="A55" s="30" t="inlineStr">
        <is>
          <t>JAMNAAUTO</t>
        </is>
      </c>
      <c r="B55" s="30" t="inlineStr">
        <is>
          <t>Jamna Auto Industries Limited</t>
        </is>
      </c>
      <c r="C55" s="30" t="inlineStr">
        <is>
          <t>auto</t>
        </is>
      </c>
      <c r="D55" s="30" t="inlineStr">
        <is>
          <t>auto ancillaries</t>
        </is>
      </c>
      <c r="E55" s="30" t="inlineStr">
        <is>
          <t>midcap</t>
        </is>
      </c>
      <c r="F55" s="30" t="n">
        <v>5525.05</v>
      </c>
      <c r="G55" s="30" t="n">
        <v>139.68</v>
      </c>
      <c r="H55" s="30" t="n">
        <v>1.07</v>
      </c>
      <c r="I55" s="30" t="n">
        <v>3679842</v>
      </c>
      <c r="J55" s="30" t="inlineStr">
        <is>
          <t>520051</t>
        </is>
      </c>
    </row>
    <row r="56">
      <c r="A56" s="30" t="inlineStr">
        <is>
          <t>MOTISONS</t>
        </is>
      </c>
      <c r="B56" s="30" t="inlineStr">
        <is>
          <t>Motisons Jewellers Ltd</t>
        </is>
      </c>
      <c r="C56" s="30" t="inlineStr">
        <is>
          <t>consumer discretionary</t>
        </is>
      </c>
      <c r="D56" s="30" t="inlineStr">
        <is>
          <t>diamond cutting / jewellery</t>
        </is>
      </c>
      <c r="E56" s="30" t="inlineStr">
        <is>
          <t>smallcap</t>
        </is>
      </c>
      <c r="F56" s="30" t="n">
        <v>2030.45</v>
      </c>
      <c r="G56" s="30" t="n">
        <v>18.04</v>
      </c>
      <c r="H56" s="30" t="n">
        <v>1.06</v>
      </c>
      <c r="I56" s="30" t="n">
        <v>45802394</v>
      </c>
      <c r="J56" s="30" t="inlineStr">
        <is>
          <t>544053</t>
        </is>
      </c>
    </row>
    <row r="57">
      <c r="A57" s="30" t="inlineStr">
        <is>
          <t>TFCILTD</t>
        </is>
      </c>
      <c r="B57" s="30" t="inlineStr">
        <is>
          <t>Tourism Finance Corporation Of India Limited</t>
        </is>
      </c>
      <c r="C57" s="30" t="inlineStr">
        <is>
          <t>financials</t>
        </is>
      </c>
      <c r="D57" s="30" t="inlineStr">
        <is>
          <t>finance - term-lending institutions</t>
        </is>
      </c>
      <c r="E57" s="30" t="inlineStr">
        <is>
          <t>midcap</t>
        </is>
      </c>
      <c r="F57" s="30" t="n">
        <v>6403.44</v>
      </c>
      <c r="G57" s="30" t="n">
        <v>139.68</v>
      </c>
      <c r="H57" s="30" t="n">
        <v>0.99</v>
      </c>
      <c r="I57" s="30" t="n">
        <v>21011736</v>
      </c>
      <c r="J57" s="30" t="inlineStr">
        <is>
          <t>526650</t>
        </is>
      </c>
    </row>
    <row r="58">
      <c r="A58" s="30" t="inlineStr">
        <is>
          <t>SBC</t>
        </is>
      </c>
      <c r="B58" s="30" t="inlineStr">
        <is>
          <t>SBC Exports Ltd</t>
        </is>
      </c>
      <c r="C58" s="30" t="inlineStr">
        <is>
          <t>textiles</t>
        </is>
      </c>
      <c r="D58" s="30" t="inlineStr">
        <is>
          <t>textiles - products</t>
        </is>
      </c>
      <c r="E58" s="30" t="inlineStr">
        <is>
          <t>smallcap</t>
        </is>
      </c>
      <c r="F58" s="30" t="n">
        <v>2524.76</v>
      </c>
      <c r="G58" s="30" t="n">
        <v>53.54</v>
      </c>
      <c r="H58" s="30" t="n">
        <v>0.98</v>
      </c>
      <c r="I58" s="30" t="n">
        <v>22177245</v>
      </c>
      <c r="J58" s="30" t="inlineStr">
        <is>
          <t>542725</t>
        </is>
      </c>
    </row>
    <row r="59">
      <c r="A59" s="30" t="inlineStr">
        <is>
          <t>INDSWFTLAB</t>
        </is>
      </c>
      <c r="B59" s="30" t="inlineStr">
        <is>
          <t>Ind-swift Laboratories Limited</t>
        </is>
      </c>
      <c r="C59" s="30" t="inlineStr">
        <is>
          <t>healthcare</t>
        </is>
      </c>
      <c r="D59" s="30" t="inlineStr">
        <is>
          <t>pharmaceuticals - indian - bulk drugs &amp; formln</t>
        </is>
      </c>
      <c r="E59" s="30" t="inlineStr">
        <is>
          <t>smallcap</t>
        </is>
      </c>
      <c r="F59" s="30" t="n">
        <v>3516.29</v>
      </c>
      <c r="G59" s="30" t="n">
        <v>408.1</v>
      </c>
      <c r="H59" s="30" t="n">
        <v>0.93</v>
      </c>
      <c r="I59" s="30" t="n">
        <v>598696</v>
      </c>
      <c r="J59" s="30" t="inlineStr">
        <is>
          <t>532305</t>
        </is>
      </c>
    </row>
    <row r="60">
      <c r="A60" s="30" t="inlineStr">
        <is>
          <t>ZYDUSLIFE</t>
        </is>
      </c>
      <c r="B60" s="30" t="inlineStr">
        <is>
          <t>Zydus Lifesciences Ltd</t>
        </is>
      </c>
      <c r="C60" s="30" t="inlineStr">
        <is>
          <t>healthcare</t>
        </is>
      </c>
      <c r="D60" s="30" t="inlineStr">
        <is>
          <t>pharmaceuticals - indian - bulk drugs &amp; formln</t>
        </is>
      </c>
      <c r="E60" s="30" t="inlineStr">
        <is>
          <t>largecap</t>
        </is>
      </c>
      <c r="F60" s="30" t="n">
        <v>120089.49</v>
      </c>
      <c r="G60" s="30" t="n">
        <v>1215</v>
      </c>
      <c r="H60" s="30" t="n">
        <v>0.92</v>
      </c>
      <c r="I60" s="30" t="n">
        <v>3986338</v>
      </c>
      <c r="J60" s="30" t="inlineStr">
        <is>
          <t>532321</t>
        </is>
      </c>
    </row>
    <row r="61">
      <c r="A61" s="30" t="inlineStr">
        <is>
          <t>NAZARA</t>
        </is>
      </c>
      <c r="B61" s="30" t="inlineStr">
        <is>
          <t>Nazara Technologies Ltd</t>
        </is>
      </c>
      <c r="C61" s="30" t="inlineStr">
        <is>
          <t>i.t</t>
        </is>
      </c>
      <c r="D61" s="30" t="inlineStr">
        <is>
          <t>telecommunications - service provider</t>
        </is>
      </c>
      <c r="E61" s="30" t="inlineStr">
        <is>
          <t>midcap</t>
        </is>
      </c>
      <c r="F61" s="30" t="n">
        <v>14481.88</v>
      </c>
      <c r="G61" s="30" t="n">
        <v>379.65</v>
      </c>
      <c r="H61" s="30" t="n">
        <v>0.85</v>
      </c>
      <c r="I61" s="30" t="n">
        <v>2307584</v>
      </c>
      <c r="J61" s="30" t="inlineStr">
        <is>
          <t>543280</t>
        </is>
      </c>
    </row>
    <row r="62">
      <c r="A62" s="30" t="inlineStr">
        <is>
          <t>ASKAUTOLTD</t>
        </is>
      </c>
      <c r="B62" s="30" t="inlineStr">
        <is>
          <t>ASK Automotive Ltd</t>
        </is>
      </c>
      <c r="C62" s="30" t="inlineStr">
        <is>
          <t>auto</t>
        </is>
      </c>
      <c r="D62" s="30" t="inlineStr">
        <is>
          <t>auto ancillaries</t>
        </is>
      </c>
      <c r="E62" s="30" t="inlineStr">
        <is>
          <t>midcap</t>
        </is>
      </c>
      <c r="F62" s="30" t="n">
        <v>12718.65</v>
      </c>
      <c r="G62" s="30" t="n">
        <v>650.35</v>
      </c>
      <c r="H62" s="30" t="n">
        <v>0.8100000000000001</v>
      </c>
      <c r="I62" s="30" t="n">
        <v>430169</v>
      </c>
      <c r="J62" s="30" t="inlineStr">
        <is>
          <t>544022</t>
        </is>
      </c>
    </row>
    <row r="63">
      <c r="A63" s="30" t="inlineStr">
        <is>
          <t>SYRMA</t>
        </is>
      </c>
      <c r="B63" s="30" t="inlineStr">
        <is>
          <t>Syrma SGS Technology Ltd</t>
        </is>
      </c>
      <c r="C63" s="30" t="inlineStr">
        <is>
          <t>consumer discretionary</t>
        </is>
      </c>
      <c r="D63" s="30" t="inlineStr">
        <is>
          <t>electronics - components</t>
        </is>
      </c>
      <c r="E63" s="30" t="inlineStr">
        <is>
          <t>largecap</t>
        </is>
      </c>
      <c r="F63" s="30" t="n">
        <v>33409.81</v>
      </c>
      <c r="G63" s="30" t="n">
        <v>1746.4</v>
      </c>
      <c r="H63" s="30" t="n">
        <v>0.8</v>
      </c>
      <c r="I63" s="30" t="n">
        <v>1859395</v>
      </c>
      <c r="J63" s="30" t="inlineStr">
        <is>
          <t>543573</t>
        </is>
      </c>
    </row>
    <row r="64">
      <c r="A64" s="30" t="inlineStr">
        <is>
          <t>HARSHA</t>
        </is>
      </c>
      <c r="B64" s="30" t="inlineStr">
        <is>
          <t>Harsha Engineers International Ltd</t>
        </is>
      </c>
      <c r="C64" s="30" t="inlineStr">
        <is>
          <t>industrials</t>
        </is>
      </c>
      <c r="D64" s="30" t="inlineStr">
        <is>
          <t>engineering</t>
        </is>
      </c>
      <c r="E64" s="30" t="inlineStr">
        <is>
          <t>smallcap</t>
        </is>
      </c>
      <c r="F64" s="30" t="n">
        <v>4206.69</v>
      </c>
      <c r="G64" s="30" t="n">
        <v>465.55</v>
      </c>
      <c r="H64" s="30" t="n">
        <v>0.76</v>
      </c>
      <c r="I64" s="30" t="n">
        <v>196133</v>
      </c>
      <c r="J64" s="30" t="inlineStr">
        <is>
          <t>543600</t>
        </is>
      </c>
    </row>
    <row r="65">
      <c r="A65" s="30" t="inlineStr">
        <is>
          <t>INDOAMIN</t>
        </is>
      </c>
      <c r="B65" s="30" t="inlineStr">
        <is>
          <t>Indo Amines Ltd</t>
        </is>
      </c>
      <c r="C65" s="30" t="inlineStr">
        <is>
          <t>chemicals</t>
        </is>
      </c>
      <c r="D65" s="30" t="inlineStr">
        <is>
          <t>chemicals</t>
        </is>
      </c>
      <c r="E65" s="30" t="inlineStr">
        <is>
          <t>smallcap</t>
        </is>
      </c>
      <c r="F65" s="30" t="n">
        <v>990.8200000000001</v>
      </c>
      <c r="G65" s="30" t="n">
        <v>137.47</v>
      </c>
      <c r="H65" s="30" t="n">
        <v>0.71</v>
      </c>
      <c r="I65" s="30" t="n">
        <v>1045793</v>
      </c>
      <c r="J65" s="30" t="inlineStr">
        <is>
          <t>524648</t>
        </is>
      </c>
    </row>
    <row r="66">
      <c r="A66" s="30" t="inlineStr">
        <is>
          <t>INDGN</t>
        </is>
      </c>
      <c r="B66" s="30" t="inlineStr">
        <is>
          <t>Indegene Ltd</t>
        </is>
      </c>
      <c r="C66" s="30" t="inlineStr">
        <is>
          <t>healthcare</t>
        </is>
      </c>
      <c r="D66" s="30" t="inlineStr">
        <is>
          <t>miscellaneous</t>
        </is>
      </c>
      <c r="E66" s="30" t="inlineStr">
        <is>
          <t>midcap</t>
        </is>
      </c>
      <c r="F66" s="30" t="n">
        <v>14672.91</v>
      </c>
      <c r="G66" s="30" t="n">
        <v>613.3</v>
      </c>
      <c r="H66" s="30" t="n">
        <v>0.71</v>
      </c>
      <c r="I66" s="30" t="n">
        <v>744751</v>
      </c>
      <c r="J66" s="30" t="inlineStr">
        <is>
          <t>544172</t>
        </is>
      </c>
    </row>
    <row r="67">
      <c r="A67" s="30" t="inlineStr">
        <is>
          <t>CAPLIPOINT</t>
        </is>
      </c>
      <c r="B67" s="30" t="inlineStr">
        <is>
          <t>Caplin Point Laboratories Limited</t>
        </is>
      </c>
      <c r="C67" s="30" t="inlineStr">
        <is>
          <t>healthcare</t>
        </is>
      </c>
      <c r="D67" s="30" t="inlineStr">
        <is>
          <t>pharmaceuticals - indian - formulations</t>
        </is>
      </c>
      <c r="E67" s="30" t="inlineStr">
        <is>
          <t>largecap</t>
        </is>
      </c>
      <c r="F67" s="30" t="n">
        <v>21550.08</v>
      </c>
      <c r="G67" s="30" t="n">
        <v>2854</v>
      </c>
      <c r="H67" s="30" t="n">
        <v>0.67</v>
      </c>
      <c r="I67" s="30" t="n">
        <v>121333</v>
      </c>
      <c r="J67" s="30" t="inlineStr">
        <is>
          <t>524742</t>
        </is>
      </c>
    </row>
    <row r="68">
      <c r="A68" s="30" t="inlineStr">
        <is>
          <t>UTTAMSUGAR</t>
        </is>
      </c>
      <c r="B68" s="30" t="inlineStr">
        <is>
          <t>Uttam Sugar Mills Limited</t>
        </is>
      </c>
      <c r="C68" s="30" t="inlineStr">
        <is>
          <t>fmcg</t>
        </is>
      </c>
      <c r="D68" s="30" t="inlineStr">
        <is>
          <t>sugar</t>
        </is>
      </c>
      <c r="E68" s="30" t="inlineStr">
        <is>
          <t>smallcap</t>
        </is>
      </c>
      <c r="F68" s="30" t="n">
        <v>1118.02</v>
      </c>
      <c r="G68" s="30" t="n">
        <v>294.75</v>
      </c>
      <c r="H68" s="30" t="n">
        <v>0.55</v>
      </c>
      <c r="I68" s="30" t="n">
        <v>703248</v>
      </c>
      <c r="J68" s="30" t="inlineStr">
        <is>
          <t>532729</t>
        </is>
      </c>
    </row>
    <row r="69">
      <c r="A69" s="30" t="inlineStr">
        <is>
          <t>NEOGEN</t>
        </is>
      </c>
      <c r="B69" s="30" t="inlineStr">
        <is>
          <t>Neogen Chemicals Ltd</t>
        </is>
      </c>
      <c r="C69" s="30" t="inlineStr">
        <is>
          <t>chemicals</t>
        </is>
      </c>
      <c r="D69" s="30" t="inlineStr">
        <is>
          <t>chemicals</t>
        </is>
      </c>
      <c r="E69" s="30" t="inlineStr">
        <is>
          <t>midcap</t>
        </is>
      </c>
      <c r="F69" s="30" t="n">
        <v>7165.72</v>
      </c>
      <c r="G69" s="30" t="n">
        <v>2396.3</v>
      </c>
      <c r="H69" s="30" t="n">
        <v>0.47</v>
      </c>
      <c r="I69" s="30" t="n">
        <v>175449</v>
      </c>
      <c r="J69" s="30" t="inlineStr">
        <is>
          <t>542665</t>
        </is>
      </c>
    </row>
    <row r="70">
      <c r="A70" s="30" t="inlineStr">
        <is>
          <t>EBGNG</t>
        </is>
      </c>
      <c r="B70" s="30" t="inlineStr">
        <is>
          <t>GNG Electronics Ltd</t>
        </is>
      </c>
      <c r="C70" s="30" t="inlineStr">
        <is>
          <t>services</t>
        </is>
      </c>
      <c r="D70" s="30" t="inlineStr">
        <is>
          <t>trading</t>
        </is>
      </c>
      <c r="E70" s="30" t="inlineStr">
        <is>
          <t>midcap</t>
        </is>
      </c>
      <c r="F70" s="30" t="n">
        <v>7627.37</v>
      </c>
      <c r="G70" s="30" t="n">
        <v>672.15</v>
      </c>
      <c r="H70" s="30" t="n">
        <v>0.47</v>
      </c>
      <c r="I70" s="30" t="n">
        <v>598831</v>
      </c>
      <c r="J70" s="30" t="inlineStr">
        <is>
          <t>544455</t>
        </is>
      </c>
    </row>
    <row r="71">
      <c r="A71" s="30" t="inlineStr">
        <is>
          <t>DBOL</t>
        </is>
      </c>
      <c r="B71" s="30" t="inlineStr">
        <is>
          <t>Dhampur Bio Organics Ltd</t>
        </is>
      </c>
      <c r="C71" s="30" t="inlineStr">
        <is>
          <t>fmcg</t>
        </is>
      </c>
      <c r="D71" s="30" t="inlineStr">
        <is>
          <t>sugar</t>
        </is>
      </c>
      <c r="E71" s="30" t="inlineStr">
        <is>
          <t>smallcap</t>
        </is>
      </c>
      <c r="F71" s="30" t="n">
        <v>811.59</v>
      </c>
      <c r="G71" s="30" t="n">
        <v>122.77</v>
      </c>
      <c r="H71" s="30" t="n">
        <v>0.43</v>
      </c>
      <c r="I71" s="30" t="n">
        <v>385520</v>
      </c>
      <c r="J71" s="30" t="inlineStr">
        <is>
          <t>543593</t>
        </is>
      </c>
    </row>
    <row r="72">
      <c r="A72" s="30" t="inlineStr">
        <is>
          <t>CHEVIOT</t>
        </is>
      </c>
      <c r="B72" s="30" t="inlineStr">
        <is>
          <t>Cheviot Company Ltd</t>
        </is>
      </c>
      <c r="C72" s="30" t="inlineStr">
        <is>
          <t>textiles</t>
        </is>
      </c>
      <c r="D72" s="30" t="inlineStr">
        <is>
          <t>textiles - jute - yarn / products</t>
        </is>
      </c>
      <c r="E72" s="30" t="inlineStr">
        <is>
          <t>smallcap</t>
        </is>
      </c>
      <c r="F72" s="30" t="n">
        <v>690.98</v>
      </c>
      <c r="G72" s="30" t="n">
        <v>1187.9</v>
      </c>
      <c r="H72" s="30" t="n">
        <v>0.43</v>
      </c>
      <c r="I72" s="30" t="n">
        <v>1149</v>
      </c>
      <c r="J72" s="30" t="inlineStr">
        <is>
          <t>526817</t>
        </is>
      </c>
    </row>
    <row r="73">
      <c r="A73" s="30" t="inlineStr">
        <is>
          <t>MAHLOG</t>
        </is>
      </c>
      <c r="B73" s="30" t="inlineStr">
        <is>
          <t>Mahindra Logistics Ltd</t>
        </is>
      </c>
      <c r="C73" s="30" t="inlineStr">
        <is>
          <t>transportation</t>
        </is>
      </c>
      <c r="D73" s="30" t="inlineStr">
        <is>
          <t>miscellaneous</t>
        </is>
      </c>
      <c r="E73" s="30" t="inlineStr">
        <is>
          <t>smallcap</t>
        </is>
      </c>
      <c r="F73" s="30" t="n">
        <v>4169.82</v>
      </c>
      <c r="G73" s="30" t="n">
        <v>421.8</v>
      </c>
      <c r="H73" s="30" t="n">
        <v>0.37</v>
      </c>
      <c r="I73" s="30" t="n">
        <v>461716</v>
      </c>
      <c r="J73" s="30" t="inlineStr">
        <is>
          <t>540768</t>
        </is>
      </c>
    </row>
    <row r="74">
      <c r="A74" s="30" t="inlineStr">
        <is>
          <t>ALEMBICLTD</t>
        </is>
      </c>
      <c r="B74" s="30" t="inlineStr">
        <is>
          <t>Alembic Limited</t>
        </is>
      </c>
      <c r="C74" s="30" t="inlineStr">
        <is>
          <t>realty</t>
        </is>
      </c>
      <c r="D74" s="30" t="inlineStr">
        <is>
          <t>construction</t>
        </is>
      </c>
      <c r="E74" s="30" t="inlineStr">
        <is>
          <t>smallcap</t>
        </is>
      </c>
      <c r="F74" s="30" t="n">
        <v>2735.5</v>
      </c>
      <c r="G74" s="30" t="n">
        <v>106.91</v>
      </c>
      <c r="H74" s="30" t="n">
        <v>0.36</v>
      </c>
      <c r="I74" s="30" t="n">
        <v>828763</v>
      </c>
      <c r="J74" s="30" t="inlineStr">
        <is>
          <t>506235</t>
        </is>
      </c>
    </row>
    <row r="75">
      <c r="A75" s="30" t="inlineStr">
        <is>
          <t>GULFOILLUB</t>
        </is>
      </c>
      <c r="B75" s="30" t="inlineStr">
        <is>
          <t>Gulf Oil Lubricants India Limited</t>
        </is>
      </c>
      <c r="C75" s="30" t="inlineStr">
        <is>
          <t>chemicals</t>
        </is>
      </c>
      <c r="D75" s="30" t="inlineStr">
        <is>
          <t>chemicals</t>
        </is>
      </c>
      <c r="E75" s="30" t="inlineStr">
        <is>
          <t>midcap</t>
        </is>
      </c>
      <c r="F75" s="30" t="n">
        <v>5479.53</v>
      </c>
      <c r="G75" s="30" t="n">
        <v>1110.5</v>
      </c>
      <c r="H75" s="30" t="n">
        <v>0.35</v>
      </c>
      <c r="I75" s="30" t="n">
        <v>47443</v>
      </c>
      <c r="J75" s="30" t="inlineStr">
        <is>
          <t>538567</t>
        </is>
      </c>
    </row>
    <row r="76">
      <c r="A76" s="30" t="inlineStr">
        <is>
          <t>ESAFSFB</t>
        </is>
      </c>
      <c r="B76" s="30" t="inlineStr">
        <is>
          <t>ESAF Small Finance Bank Ltd</t>
        </is>
      </c>
      <c r="C76" s="30" t="inlineStr">
        <is>
          <t>bank</t>
        </is>
      </c>
      <c r="D76" s="30" t="inlineStr">
        <is>
          <t>banks - private sector</t>
        </is>
      </c>
      <c r="E76" s="30" t="inlineStr">
        <is>
          <t>smallcap</t>
        </is>
      </c>
      <c r="F76" s="30" t="n">
        <v>2211.37</v>
      </c>
      <c r="G76" s="30" t="n">
        <v>43</v>
      </c>
      <c r="H76" s="30" t="n">
        <v>0.33</v>
      </c>
      <c r="I76" s="30" t="n">
        <v>2453024</v>
      </c>
      <c r="J76" s="30" t="inlineStr">
        <is>
          <t>544020</t>
        </is>
      </c>
    </row>
    <row r="77">
      <c r="A77" s="30" t="inlineStr">
        <is>
          <t>SOMANYCERA</t>
        </is>
      </c>
      <c r="B77" s="30" t="inlineStr">
        <is>
          <t>Somany Ceramics Limited</t>
        </is>
      </c>
      <c r="C77" s="30" t="inlineStr">
        <is>
          <t>building materials</t>
        </is>
      </c>
      <c r="D77" s="30" t="inlineStr">
        <is>
          <t>ceramics - tiles / sanitaryware</t>
        </is>
      </c>
      <c r="E77" s="30" t="inlineStr">
        <is>
          <t>smallcap</t>
        </is>
      </c>
      <c r="F77" s="30" t="n">
        <v>2534.8</v>
      </c>
      <c r="G77" s="30" t="n">
        <v>620.05</v>
      </c>
      <c r="H77" s="30" t="n">
        <v>0.32</v>
      </c>
      <c r="I77" s="30" t="n">
        <v>132882</v>
      </c>
      <c r="J77" s="30" t="inlineStr">
        <is>
          <t>531548</t>
        </is>
      </c>
    </row>
    <row r="78">
      <c r="A78" s="30" t="inlineStr">
        <is>
          <t>PRIVISCL</t>
        </is>
      </c>
      <c r="B78" s="30" t="inlineStr">
        <is>
          <t>Privi Speciality Chemicals Ltd</t>
        </is>
      </c>
      <c r="C78" s="30" t="inlineStr">
        <is>
          <t>chemicals</t>
        </is>
      </c>
      <c r="D78" s="30" t="inlineStr">
        <is>
          <t>chemicals</t>
        </is>
      </c>
      <c r="E78" s="30" t="inlineStr">
        <is>
          <t>midcap</t>
        </is>
      </c>
      <c r="F78" s="30" t="n">
        <v>14039.53</v>
      </c>
      <c r="G78" s="30" t="n">
        <v>3605.3</v>
      </c>
      <c r="H78" s="30" t="n">
        <v>0.31</v>
      </c>
      <c r="I78" s="30" t="n">
        <v>81986</v>
      </c>
      <c r="J78" s="30" t="inlineStr">
        <is>
          <t>530117</t>
        </is>
      </c>
    </row>
    <row r="79">
      <c r="A79" s="30" t="inlineStr">
        <is>
          <t>BELRISE</t>
        </is>
      </c>
      <c r="B79" s="30" t="inlineStr">
        <is>
          <t>Belrise Industries Ltd</t>
        </is>
      </c>
      <c r="C79" s="30" t="inlineStr">
        <is>
          <t>auto</t>
        </is>
      </c>
      <c r="D79" s="30" t="inlineStr">
        <is>
          <t>auto ancillaries</t>
        </is>
      </c>
      <c r="E79" s="30" t="inlineStr">
        <is>
          <t>largecap</t>
        </is>
      </c>
      <c r="F79" s="30" t="n">
        <v>23977.63</v>
      </c>
      <c r="G79" s="30" t="n">
        <v>248.62</v>
      </c>
      <c r="H79" s="30" t="n">
        <v>0.28</v>
      </c>
      <c r="I79" s="30" t="n">
        <v>4151643</v>
      </c>
      <c r="J79" s="30" t="n"/>
    </row>
    <row r="80">
      <c r="A80" s="30" t="inlineStr">
        <is>
          <t>MOREPENLAB</t>
        </is>
      </c>
      <c r="B80" s="30" t="inlineStr">
        <is>
          <t>Morepen Laboratories Limited</t>
        </is>
      </c>
      <c r="C80" s="30" t="inlineStr">
        <is>
          <t>healthcare</t>
        </is>
      </c>
      <c r="D80" s="30" t="inlineStr">
        <is>
          <t>pharmaceuticals - indian - bulk drugs &amp; formln</t>
        </is>
      </c>
      <c r="E80" s="30" t="inlineStr">
        <is>
          <t>midcap</t>
        </is>
      </c>
      <c r="F80" s="30" t="n">
        <v>6596.27</v>
      </c>
      <c r="G80" s="30" t="n">
        <v>120.71</v>
      </c>
      <c r="H80" s="30" t="n">
        <v>0.27</v>
      </c>
      <c r="I80" s="30" t="n">
        <v>19123218</v>
      </c>
      <c r="J80" s="30" t="inlineStr">
        <is>
          <t>500288</t>
        </is>
      </c>
    </row>
    <row r="81">
      <c r="A81" s="30" t="inlineStr">
        <is>
          <t>RML</t>
        </is>
      </c>
      <c r="B81" s="30" t="inlineStr">
        <is>
          <t>Rane (madras) Limited</t>
        </is>
      </c>
      <c r="C81" s="30" t="inlineStr">
        <is>
          <t>auto</t>
        </is>
      </c>
      <c r="D81" s="30" t="inlineStr">
        <is>
          <t>auto ancillaries</t>
        </is>
      </c>
      <c r="E81" s="30" t="inlineStr">
        <is>
          <t>smallcap</t>
        </is>
      </c>
      <c r="F81" s="30" t="n">
        <v>3654.46</v>
      </c>
      <c r="G81" s="30" t="n">
        <v>1325.9</v>
      </c>
      <c r="H81" s="30" t="n">
        <v>0.27</v>
      </c>
      <c r="I81" s="30" t="n">
        <v>46931</v>
      </c>
      <c r="J81" s="30" t="inlineStr">
        <is>
          <t>532661</t>
        </is>
      </c>
    </row>
    <row r="82">
      <c r="A82" s="30" t="inlineStr">
        <is>
          <t>INDIQUBE</t>
        </is>
      </c>
      <c r="B82" s="30" t="inlineStr">
        <is>
          <t>Indiqube Spaces Ltd</t>
        </is>
      </c>
      <c r="C82" s="30" t="inlineStr">
        <is>
          <t>co-working</t>
        </is>
      </c>
      <c r="D82" s="30" t="inlineStr">
        <is>
          <t>miscellaneous</t>
        </is>
      </c>
      <c r="E82" s="30" t="inlineStr">
        <is>
          <t>smallcap</t>
        </is>
      </c>
      <c r="F82" s="30" t="n">
        <v>4217.48</v>
      </c>
      <c r="G82" s="30" t="n">
        <v>199.44</v>
      </c>
      <c r="H82" s="30" t="n">
        <v>0.25</v>
      </c>
      <c r="I82" s="30" t="n">
        <v>33774</v>
      </c>
      <c r="J82" s="30" t="inlineStr">
        <is>
          <t>544454</t>
        </is>
      </c>
    </row>
    <row r="83">
      <c r="A83" s="30" t="inlineStr">
        <is>
          <t>AGI</t>
        </is>
      </c>
      <c r="B83" s="30" t="inlineStr">
        <is>
          <t>AGI Greenpac Ltd</t>
        </is>
      </c>
      <c r="C83" s="30" t="inlineStr">
        <is>
          <t>industrials</t>
        </is>
      </c>
      <c r="D83" s="30" t="inlineStr">
        <is>
          <t>packaging</t>
        </is>
      </c>
      <c r="E83" s="30" t="inlineStr">
        <is>
          <t>midcap</t>
        </is>
      </c>
      <c r="F83" s="30" t="n">
        <v>5197.46</v>
      </c>
      <c r="G83" s="30" t="n">
        <v>804.8</v>
      </c>
      <c r="H83" s="30" t="n">
        <v>0.18</v>
      </c>
      <c r="I83" s="30" t="n">
        <v>141280</v>
      </c>
      <c r="J83" s="30" t="inlineStr">
        <is>
          <t>500187</t>
        </is>
      </c>
    </row>
    <row r="84">
      <c r="A84" s="30" t="inlineStr">
        <is>
          <t>LAURUSLABS</t>
        </is>
      </c>
      <c r="B84" s="30" t="inlineStr">
        <is>
          <t>Laurus Labs Limited</t>
        </is>
      </c>
      <c r="C84" s="30" t="inlineStr">
        <is>
          <t>healthcare</t>
        </is>
      </c>
      <c r="D84" s="30" t="inlineStr">
        <is>
          <t>pharmaceuticals - indian - bulk drugs &amp; formln</t>
        </is>
      </c>
      <c r="E84" s="30" t="inlineStr">
        <is>
          <t>largecap</t>
        </is>
      </c>
      <c r="F84" s="30" t="n">
        <v>108428.09</v>
      </c>
      <c r="G84" s="30" t="n">
        <v>2010.7</v>
      </c>
      <c r="H84" s="30" t="n">
        <v>0.18</v>
      </c>
      <c r="I84" s="30" t="n">
        <v>950451</v>
      </c>
      <c r="J84" s="30" t="inlineStr">
        <is>
          <t>540222</t>
        </is>
      </c>
    </row>
    <row r="85">
      <c r="A85" s="30" t="inlineStr">
        <is>
          <t>JGCHEM</t>
        </is>
      </c>
      <c r="B85" s="30" t="inlineStr">
        <is>
          <t>J.G.Chemicals Ltd</t>
        </is>
      </c>
      <c r="C85" s="30" t="inlineStr">
        <is>
          <t>chemicals</t>
        </is>
      </c>
      <c r="D85" s="30" t="inlineStr">
        <is>
          <t>chemicals</t>
        </is>
      </c>
      <c r="E85" s="30" t="inlineStr">
        <is>
          <t>smallcap</t>
        </is>
      </c>
      <c r="F85" s="30" t="n">
        <v>2429.93</v>
      </c>
      <c r="G85" s="30" t="n">
        <v>620.8</v>
      </c>
      <c r="H85" s="30" t="n">
        <v>0.11</v>
      </c>
      <c r="I85" s="30" t="n">
        <v>337771</v>
      </c>
      <c r="J85" s="30" t="n"/>
    </row>
    <row r="86">
      <c r="A86" s="30" t="inlineStr">
        <is>
          <t>SHREEJISPG</t>
        </is>
      </c>
      <c r="B86" s="30" t="inlineStr">
        <is>
          <t>Shreeji Shipping Global Ltd</t>
        </is>
      </c>
      <c r="C86" s="30" t="inlineStr">
        <is>
          <t>transportation</t>
        </is>
      </c>
      <c r="D86" s="30" t="inlineStr">
        <is>
          <t>shipping</t>
        </is>
      </c>
      <c r="E86" s="30" t="inlineStr">
        <is>
          <t>midcap</t>
        </is>
      </c>
      <c r="F86" s="30" t="n">
        <v>12258.78</v>
      </c>
      <c r="G86" s="30" t="n">
        <v>752.8</v>
      </c>
      <c r="H86" s="30" t="n">
        <v>0.05</v>
      </c>
      <c r="I86" s="30" t="n">
        <v>798667</v>
      </c>
      <c r="J86" s="30" t="inlineStr">
        <is>
          <t>544490</t>
        </is>
      </c>
    </row>
    <row r="87">
      <c r="A87" s="30" t="inlineStr">
        <is>
          <t>WINDLAS</t>
        </is>
      </c>
      <c r="B87" s="30" t="inlineStr">
        <is>
          <t>Windlas Biotech Ltd</t>
        </is>
      </c>
      <c r="C87" s="30" t="inlineStr">
        <is>
          <t>healthcare</t>
        </is>
      </c>
      <c r="D87" s="30" t="inlineStr">
        <is>
          <t>pharmaceuticals - indian - formulations</t>
        </is>
      </c>
      <c r="E87" s="30" t="inlineStr">
        <is>
          <t>smallcap</t>
        </is>
      </c>
      <c r="F87" s="30" t="n">
        <v>2275.25</v>
      </c>
      <c r="G87" s="30" t="n">
        <v>1102.55</v>
      </c>
      <c r="H87" s="30" t="n">
        <v>0</v>
      </c>
      <c r="I87" s="30" t="n">
        <v>116391</v>
      </c>
      <c r="J87" s="30" t="inlineStr">
        <is>
          <t>543329</t>
        </is>
      </c>
    </row>
    <row r="88">
      <c r="A88" s="30" t="inlineStr">
        <is>
          <t>PRIMESECU</t>
        </is>
      </c>
      <c r="B88" s="30" t="inlineStr">
        <is>
          <t>Prime Securities Limited</t>
        </is>
      </c>
      <c r="C88" s="30" t="inlineStr">
        <is>
          <t>financials</t>
        </is>
      </c>
      <c r="D88" s="30" t="inlineStr">
        <is>
          <t>finance &amp; investments</t>
        </is>
      </c>
      <c r="E88" s="30" t="inlineStr">
        <is>
          <t>smallcap</t>
        </is>
      </c>
      <c r="F88" s="30" t="n">
        <v>1024.66</v>
      </c>
      <c r="G88" s="30" t="n">
        <v>301.85</v>
      </c>
      <c r="H88" s="30" t="n">
        <v>-0.02</v>
      </c>
      <c r="I88" s="30" t="n">
        <v>8733</v>
      </c>
      <c r="J88" s="30" t="inlineStr">
        <is>
          <t>500337</t>
        </is>
      </c>
    </row>
    <row r="89">
      <c r="A89" s="30" t="inlineStr">
        <is>
          <t>BODALCHEM</t>
        </is>
      </c>
      <c r="B89" s="30" t="inlineStr">
        <is>
          <t>Bodal Chemicals Limited</t>
        </is>
      </c>
      <c r="C89" s="30" t="inlineStr">
        <is>
          <t>chemicals</t>
        </is>
      </c>
      <c r="D89" s="30" t="inlineStr">
        <is>
          <t>dyes and pigments</t>
        </is>
      </c>
      <c r="E89" s="30" t="inlineStr">
        <is>
          <t>smallcap</t>
        </is>
      </c>
      <c r="F89" s="30" t="n">
        <v>2544.32</v>
      </c>
      <c r="G89" s="30" t="n">
        <v>201.93</v>
      </c>
      <c r="H89" s="30" t="n">
        <v>-0.04</v>
      </c>
      <c r="I89" s="30" t="n">
        <v>1094096</v>
      </c>
      <c r="J89" s="30" t="inlineStr">
        <is>
          <t>524370</t>
        </is>
      </c>
    </row>
    <row r="90">
      <c r="A90" s="30" t="inlineStr">
        <is>
          <t>SUPRIYA</t>
        </is>
      </c>
      <c r="B90" s="30" t="inlineStr">
        <is>
          <t>Supriya Lifescience Ltd</t>
        </is>
      </c>
      <c r="C90" s="30" t="inlineStr">
        <is>
          <t>healthcare</t>
        </is>
      </c>
      <c r="D90" s="30" t="inlineStr">
        <is>
          <t>pharmaceuticals - indian - bulk drugs &amp; formln</t>
        </is>
      </c>
      <c r="E90" s="30" t="inlineStr">
        <is>
          <t>midcap</t>
        </is>
      </c>
      <c r="F90" s="30" t="n">
        <v>7929.17</v>
      </c>
      <c r="G90" s="30" t="n">
        <v>984.75</v>
      </c>
      <c r="H90" s="30" t="n">
        <v>-0.05</v>
      </c>
      <c r="I90" s="30" t="n">
        <v>441132</v>
      </c>
      <c r="J90" s="30" t="inlineStr">
        <is>
          <t>543434</t>
        </is>
      </c>
    </row>
    <row r="91">
      <c r="A91" s="30" t="inlineStr">
        <is>
          <t>DYNAMATECH</t>
        </is>
      </c>
      <c r="B91" s="30" t="inlineStr">
        <is>
          <t>Dynamatic Technologies Limited</t>
        </is>
      </c>
      <c r="C91" s="30" t="inlineStr">
        <is>
          <t>aerospace &amp; defence</t>
        </is>
      </c>
      <c r="D91" s="30" t="inlineStr">
        <is>
          <t>engineering</t>
        </is>
      </c>
      <c r="E91" s="30" t="inlineStr">
        <is>
          <t>midcap</t>
        </is>
      </c>
      <c r="F91" s="30" t="n">
        <v>8932.790000000001</v>
      </c>
      <c r="G91" s="30" t="n">
        <v>13139</v>
      </c>
      <c r="H91" s="30" t="n">
        <v>-0.11</v>
      </c>
      <c r="I91" s="30" t="n">
        <v>44529</v>
      </c>
      <c r="J91" s="30" t="inlineStr">
        <is>
          <t>505242</t>
        </is>
      </c>
    </row>
    <row r="92">
      <c r="A92" s="30" t="inlineStr">
        <is>
          <t>SHIVALIK</t>
        </is>
      </c>
      <c r="B92" s="30" t="inlineStr">
        <is>
          <t>Shivalik Rasayan Ltd</t>
        </is>
      </c>
      <c r="C92" s="30" t="inlineStr">
        <is>
          <t>chemicals</t>
        </is>
      </c>
      <c r="D92" s="30" t="inlineStr">
        <is>
          <t>pesticides / agrochemicals - indian</t>
        </is>
      </c>
      <c r="E92" s="30" t="inlineStr">
        <is>
          <t>smallcap</t>
        </is>
      </c>
      <c r="F92" s="30" t="n">
        <v>654.84</v>
      </c>
      <c r="G92" s="30" t="n">
        <v>407.95</v>
      </c>
      <c r="H92" s="30" t="n">
        <v>-0.12</v>
      </c>
      <c r="I92" s="30" t="n">
        <v>81065</v>
      </c>
      <c r="J92" s="30" t="inlineStr">
        <is>
          <t>539148</t>
        </is>
      </c>
    </row>
    <row r="93">
      <c r="A93" s="30" t="inlineStr">
        <is>
          <t>MGEL</t>
        </is>
      </c>
      <c r="B93" s="30" t="inlineStr">
        <is>
          <t>Mangalam Global Enterprise Ltd</t>
        </is>
      </c>
      <c r="C93" s="30" t="inlineStr">
        <is>
          <t>services</t>
        </is>
      </c>
      <c r="D93" s="30" t="inlineStr">
        <is>
          <t>trading</t>
        </is>
      </c>
      <c r="E93" s="30" t="inlineStr">
        <is>
          <t>smallcap</t>
        </is>
      </c>
      <c r="F93" s="30" t="n">
        <v>526.96</v>
      </c>
      <c r="G93" s="30" t="n">
        <v>15.97</v>
      </c>
      <c r="H93" s="30" t="n">
        <v>-0.13</v>
      </c>
      <c r="I93" s="30" t="n">
        <v>385336</v>
      </c>
      <c r="J93" s="30" t="inlineStr">
        <is>
          <t>535349</t>
        </is>
      </c>
    </row>
    <row r="94">
      <c r="A94" s="30" t="inlineStr">
        <is>
          <t>YUKEN</t>
        </is>
      </c>
      <c r="B94" s="30" t="inlineStr">
        <is>
          <t>Yuken India Ltd</t>
        </is>
      </c>
      <c r="C94" s="30" t="inlineStr">
        <is>
          <t>industrials</t>
        </is>
      </c>
      <c r="D94" s="30" t="inlineStr">
        <is>
          <t>engineering</t>
        </is>
      </c>
      <c r="E94" s="30" t="inlineStr">
        <is>
          <t>smallcap</t>
        </is>
      </c>
      <c r="F94" s="30" t="n">
        <v>1531.73</v>
      </c>
      <c r="G94" s="30" t="n">
        <v>1125.85</v>
      </c>
      <c r="H94" s="30" t="n">
        <v>-0.16</v>
      </c>
      <c r="I94" s="30" t="n">
        <v>14989</v>
      </c>
      <c r="J94" s="30" t="inlineStr">
        <is>
          <t>522108</t>
        </is>
      </c>
    </row>
    <row r="95">
      <c r="A95" s="30" t="inlineStr">
        <is>
          <t>MAHSEAMLES</t>
        </is>
      </c>
      <c r="B95" s="30" t="inlineStr">
        <is>
          <t>Maharashtra Seamless Limited</t>
        </is>
      </c>
      <c r="C95" s="30" t="inlineStr">
        <is>
          <t>metals &amp; mining</t>
        </is>
      </c>
      <c r="D95" s="30" t="inlineStr">
        <is>
          <t>steel - medium / small</t>
        </is>
      </c>
      <c r="E95" s="30" t="inlineStr">
        <is>
          <t>midcap</t>
        </is>
      </c>
      <c r="F95" s="30" t="n">
        <v>9589.66</v>
      </c>
      <c r="G95" s="30" t="n">
        <v>714.35</v>
      </c>
      <c r="H95" s="30" t="n">
        <v>-0.18</v>
      </c>
      <c r="I95" s="30" t="n">
        <v>214768</v>
      </c>
      <c r="J95" s="30" t="inlineStr">
        <is>
          <t>500265</t>
        </is>
      </c>
    </row>
    <row r="96">
      <c r="A96" s="30" t="inlineStr">
        <is>
          <t>ASHIANA</t>
        </is>
      </c>
      <c r="B96" s="30" t="inlineStr">
        <is>
          <t>Ashiana Housing Limited</t>
        </is>
      </c>
      <c r="C96" s="30" t="inlineStr">
        <is>
          <t>realty</t>
        </is>
      </c>
      <c r="D96" s="30" t="inlineStr">
        <is>
          <t>construction</t>
        </is>
      </c>
      <c r="E96" s="30" t="inlineStr">
        <is>
          <t>smallcap</t>
        </is>
      </c>
      <c r="F96" s="30" t="n">
        <v>3917.45</v>
      </c>
      <c r="G96" s="30" t="n">
        <v>388.8</v>
      </c>
      <c r="H96" s="30" t="n">
        <v>-0.23</v>
      </c>
      <c r="I96" s="30" t="n">
        <v>31231</v>
      </c>
      <c r="J96" s="30" t="inlineStr">
        <is>
          <t>523716</t>
        </is>
      </c>
    </row>
    <row r="97">
      <c r="A97" s="30" t="inlineStr">
        <is>
          <t>ONEPOINT</t>
        </is>
      </c>
      <c r="B97" s="30" t="inlineStr">
        <is>
          <t>One Point One Solutions Ltd</t>
        </is>
      </c>
      <c r="C97" s="30" t="inlineStr">
        <is>
          <t>i.t</t>
        </is>
      </c>
      <c r="D97" s="30" t="inlineStr">
        <is>
          <t>computers - software - medium / small</t>
        </is>
      </c>
      <c r="E97" s="30" t="inlineStr">
        <is>
          <t>smallcap</t>
        </is>
      </c>
      <c r="F97" s="30" t="n">
        <v>1830.04</v>
      </c>
      <c r="G97" s="30" t="n">
        <v>69.43000000000001</v>
      </c>
      <c r="H97" s="30" t="n">
        <v>-0.24</v>
      </c>
      <c r="I97" s="30" t="n">
        <v>2560171</v>
      </c>
      <c r="J97" s="30" t="inlineStr">
        <is>
          <t>535039</t>
        </is>
      </c>
    </row>
    <row r="98">
      <c r="A98" s="30" t="inlineStr">
        <is>
          <t>LGBBROSLTD</t>
        </is>
      </c>
      <c r="B98" s="30" t="inlineStr">
        <is>
          <t>Lg Balakrishnan &amp; Bros Limited</t>
        </is>
      </c>
      <c r="C98" s="30" t="inlineStr">
        <is>
          <t>auto</t>
        </is>
      </c>
      <c r="D98" s="30" t="inlineStr">
        <is>
          <t>bearings</t>
        </is>
      </c>
      <c r="E98" s="30" t="inlineStr">
        <is>
          <t>midcap</t>
        </is>
      </c>
      <c r="F98" s="30" t="n">
        <v>5534.29</v>
      </c>
      <c r="G98" s="30" t="n">
        <v>1730.6</v>
      </c>
      <c r="H98" s="30" t="n">
        <v>-0.27</v>
      </c>
      <c r="I98" s="30" t="n">
        <v>30315</v>
      </c>
      <c r="J98" s="30" t="inlineStr">
        <is>
          <t>500250</t>
        </is>
      </c>
    </row>
    <row r="99">
      <c r="A99" s="30" t="inlineStr">
        <is>
          <t>ROSSTECH</t>
        </is>
      </c>
      <c r="B99" s="30" t="inlineStr">
        <is>
          <t>Rossell Techsys Ltd</t>
        </is>
      </c>
      <c r="C99" s="30" t="inlineStr">
        <is>
          <t>aerospace &amp; defence</t>
        </is>
      </c>
      <c r="D99" s="30" t="inlineStr">
        <is>
          <t>engineering</t>
        </is>
      </c>
      <c r="E99" s="30" t="inlineStr">
        <is>
          <t>midcap</t>
        </is>
      </c>
      <c r="F99" s="30" t="n">
        <v>5287.68</v>
      </c>
      <c r="G99" s="30" t="n">
        <v>1398.8</v>
      </c>
      <c r="H99" s="30" t="n">
        <v>-0.28</v>
      </c>
      <c r="I99" s="30" t="n">
        <v>151249</v>
      </c>
      <c r="J99" s="30" t="inlineStr">
        <is>
          <t>544294</t>
        </is>
      </c>
    </row>
    <row r="100">
      <c r="A100" s="30" t="inlineStr">
        <is>
          <t>CASTROLIND</t>
        </is>
      </c>
      <c r="B100" s="30" t="inlineStr">
        <is>
          <t>Castrol India Limited</t>
        </is>
      </c>
      <c r="C100" s="30" t="inlineStr">
        <is>
          <t>chemicals</t>
        </is>
      </c>
      <c r="D100" s="30" t="inlineStr">
        <is>
          <t>chemicals</t>
        </is>
      </c>
      <c r="E100" s="30" t="inlineStr">
        <is>
          <t>midcap</t>
        </is>
      </c>
      <c r="F100" s="30" t="n">
        <v>19947.63</v>
      </c>
      <c r="G100" s="30" t="n">
        <v>201.04</v>
      </c>
      <c r="H100" s="30" t="n">
        <v>-0.31</v>
      </c>
      <c r="I100" s="30" t="n">
        <v>4886805</v>
      </c>
      <c r="J100" s="30" t="inlineStr">
        <is>
          <t>500870</t>
        </is>
      </c>
    </row>
    <row r="101">
      <c r="A101" s="30" t="inlineStr">
        <is>
          <t>RAMRAT</t>
        </is>
      </c>
      <c r="B101" s="30" t="inlineStr">
        <is>
          <t>Ram Ratna Wires Ltd</t>
        </is>
      </c>
      <c r="C101" s="30" t="inlineStr">
        <is>
          <t>metals &amp; mining</t>
        </is>
      </c>
      <c r="D101" s="30" t="inlineStr">
        <is>
          <t>mining / minerals / metals</t>
        </is>
      </c>
      <c r="E101" s="30" t="inlineStr">
        <is>
          <t>midcap</t>
        </is>
      </c>
      <c r="F101" s="30" t="n">
        <v>5320.9</v>
      </c>
      <c r="G101" s="30" t="n">
        <v>568.2</v>
      </c>
      <c r="H101" s="30" t="n">
        <v>-0.32</v>
      </c>
      <c r="I101" s="30" t="n">
        <v>244145</v>
      </c>
      <c r="J101" s="30" t="inlineStr">
        <is>
          <t>522281</t>
        </is>
      </c>
    </row>
    <row r="102">
      <c r="A102" s="30" t="inlineStr">
        <is>
          <t>LICHSGFIN</t>
        </is>
      </c>
      <c r="B102" s="30" t="inlineStr">
        <is>
          <t>Lic Housing Finance Limited</t>
        </is>
      </c>
      <c r="C102" s="30" t="inlineStr">
        <is>
          <t>financials</t>
        </is>
      </c>
      <c r="D102" s="30" t="inlineStr">
        <is>
          <t>finance - housing</t>
        </is>
      </c>
      <c r="E102" s="30" t="inlineStr">
        <is>
          <t>largecap</t>
        </is>
      </c>
      <c r="F102" s="30" t="n">
        <v>31133.57</v>
      </c>
      <c r="G102" s="30" t="n">
        <v>564.15</v>
      </c>
      <c r="H102" s="30" t="n">
        <v>-0.33</v>
      </c>
      <c r="I102" s="30" t="n">
        <v>2923229</v>
      </c>
      <c r="J102" s="30" t="inlineStr">
        <is>
          <t>500253</t>
        </is>
      </c>
    </row>
    <row r="103">
      <c r="A103" s="30" t="inlineStr">
        <is>
          <t>SOLARA</t>
        </is>
      </c>
      <c r="B103" s="30" t="inlineStr">
        <is>
          <t>Solara Active Pharma Sciences Ltd</t>
        </is>
      </c>
      <c r="C103" s="30" t="inlineStr">
        <is>
          <t>healthcare</t>
        </is>
      </c>
      <c r="D103" s="30" t="inlineStr">
        <is>
          <t>pharmaceuticals - indian - bulk drugs &amp; formln</t>
        </is>
      </c>
      <c r="E103" s="30" t="inlineStr">
        <is>
          <t>smallcap</t>
        </is>
      </c>
      <c r="F103" s="30" t="n">
        <v>3566.1</v>
      </c>
      <c r="G103" s="30" t="n">
        <v>736.3</v>
      </c>
      <c r="H103" s="30" t="n">
        <v>-0.39</v>
      </c>
      <c r="I103" s="30" t="n">
        <v>265881</v>
      </c>
      <c r="J103" s="30" t="inlineStr">
        <is>
          <t>541540</t>
        </is>
      </c>
    </row>
    <row r="104">
      <c r="A104" s="30" t="inlineStr">
        <is>
          <t>KDDL</t>
        </is>
      </c>
      <c r="B104" s="30" t="inlineStr">
        <is>
          <t>Kddl Limited</t>
        </is>
      </c>
      <c r="C104" s="30" t="inlineStr">
        <is>
          <t>consumer discretionary</t>
        </is>
      </c>
      <c r="D104" s="30" t="inlineStr">
        <is>
          <t>miscellaneous</t>
        </is>
      </c>
      <c r="E104" s="30" t="inlineStr">
        <is>
          <t>smallcap</t>
        </is>
      </c>
      <c r="F104" s="30" t="n">
        <v>4960.79</v>
      </c>
      <c r="G104" s="30" t="n">
        <v>4014.1</v>
      </c>
      <c r="H104" s="30" t="n">
        <v>-0.48</v>
      </c>
      <c r="I104" s="30" t="n">
        <v>41785</v>
      </c>
      <c r="J104" s="30" t="inlineStr">
        <is>
          <t>532054</t>
        </is>
      </c>
    </row>
    <row r="105">
      <c r="A105" s="30" t="inlineStr">
        <is>
          <t>PREMEXPLN</t>
        </is>
      </c>
      <c r="B105" s="30" t="inlineStr">
        <is>
          <t>Premier Explosives Limited</t>
        </is>
      </c>
      <c r="C105" s="30" t="inlineStr">
        <is>
          <t>aerospace &amp; defence</t>
        </is>
      </c>
      <c r="D105" s="30" t="inlineStr">
        <is>
          <t>chemicals</t>
        </is>
      </c>
      <c r="E105" s="30" t="inlineStr">
        <is>
          <t>smallcap</t>
        </is>
      </c>
      <c r="F105" s="30" t="n">
        <v>3657.64</v>
      </c>
      <c r="G105" s="30" t="n">
        <v>677.05</v>
      </c>
      <c r="H105" s="30" t="n">
        <v>-0.49</v>
      </c>
      <c r="I105" s="30" t="n">
        <v>383780</v>
      </c>
      <c r="J105" s="30" t="inlineStr">
        <is>
          <t>526247</t>
        </is>
      </c>
    </row>
    <row r="106">
      <c r="A106" s="30" t="inlineStr">
        <is>
          <t>BOSCH-HCIL</t>
        </is>
      </c>
      <c r="B106" s="30" t="inlineStr">
        <is>
          <t>Bosch Home Comfort India Ltd</t>
        </is>
      </c>
      <c r="C106" s="30" t="inlineStr">
        <is>
          <t>consumer discretionary</t>
        </is>
      </c>
      <c r="D106" s="30" t="inlineStr">
        <is>
          <t>air-conditioners</t>
        </is>
      </c>
      <c r="E106" s="30" t="inlineStr">
        <is>
          <t>smallcap</t>
        </is>
      </c>
      <c r="F106" s="30" t="n">
        <v>4925.9</v>
      </c>
      <c r="G106" s="30" t="n">
        <v>1802.4</v>
      </c>
      <c r="H106" s="30" t="n">
        <v>-0.51</v>
      </c>
      <c r="I106" s="30" t="n">
        <v>62663</v>
      </c>
      <c r="J106" s="30" t="inlineStr">
        <is>
          <t>523398</t>
        </is>
      </c>
    </row>
    <row r="107">
      <c r="A107" s="30" t="inlineStr">
        <is>
          <t>JAGSNPHARM</t>
        </is>
      </c>
      <c r="B107" s="30" t="inlineStr">
        <is>
          <t>Jagsonpal Pharmaceuticals Limited</t>
        </is>
      </c>
      <c r="C107" s="30" t="inlineStr">
        <is>
          <t>healthcare</t>
        </is>
      </c>
      <c r="D107" s="30" t="inlineStr">
        <is>
          <t>pharmaceuticals - indian - bulk drugs &amp; formln</t>
        </is>
      </c>
      <c r="E107" s="30" t="inlineStr">
        <is>
          <t>smallcap</t>
        </is>
      </c>
      <c r="F107" s="30" t="n">
        <v>1595.13</v>
      </c>
      <c r="G107" s="30" t="n">
        <v>241.02</v>
      </c>
      <c r="H107" s="30" t="n">
        <v>-0.52</v>
      </c>
      <c r="I107" s="30" t="n">
        <v>452117</v>
      </c>
      <c r="J107" s="30" t="inlineStr">
        <is>
          <t>507789</t>
        </is>
      </c>
    </row>
    <row r="108">
      <c r="A108" s="30" t="inlineStr">
        <is>
          <t>LALPATHLAB</t>
        </is>
      </c>
      <c r="B108" s="30" t="inlineStr">
        <is>
          <t>Dr. Lal Path Labs Ltd.</t>
        </is>
      </c>
      <c r="C108" s="30" t="inlineStr">
        <is>
          <t>healthcare</t>
        </is>
      </c>
      <c r="D108" s="30" t="inlineStr">
        <is>
          <t>healthcare</t>
        </is>
      </c>
      <c r="E108" s="30" t="inlineStr">
        <is>
          <t>largecap</t>
        </is>
      </c>
      <c r="F108" s="30" t="n">
        <v>32727.92</v>
      </c>
      <c r="G108" s="30" t="n">
        <v>1942.1</v>
      </c>
      <c r="H108" s="30" t="n">
        <v>-0.52</v>
      </c>
      <c r="I108" s="30" t="n">
        <v>137296</v>
      </c>
      <c r="J108" s="30" t="inlineStr">
        <is>
          <t>539524</t>
        </is>
      </c>
    </row>
    <row r="109">
      <c r="A109" s="30" t="inlineStr">
        <is>
          <t>ENGINERSIN</t>
        </is>
      </c>
      <c r="B109" s="30" t="inlineStr">
        <is>
          <t>Engineers India Limited</t>
        </is>
      </c>
      <c r="C109" s="30" t="inlineStr">
        <is>
          <t>realty</t>
        </is>
      </c>
      <c r="D109" s="30" t="inlineStr">
        <is>
          <t>engineering - turnkey services</t>
        </is>
      </c>
      <c r="E109" s="30" t="inlineStr">
        <is>
          <t>midcap</t>
        </is>
      </c>
      <c r="F109" s="30" t="n">
        <v>17740.87</v>
      </c>
      <c r="G109" s="30" t="n">
        <v>313.9</v>
      </c>
      <c r="H109" s="30" t="n">
        <v>-0.55</v>
      </c>
      <c r="I109" s="30" t="n">
        <v>9838833</v>
      </c>
      <c r="J109" s="30" t="inlineStr">
        <is>
          <t>532178</t>
        </is>
      </c>
    </row>
    <row r="110">
      <c r="A110" s="30" t="inlineStr">
        <is>
          <t>ARIES</t>
        </is>
      </c>
      <c r="B110" s="30" t="inlineStr">
        <is>
          <t>Aries Agro Limited</t>
        </is>
      </c>
      <c r="C110" s="30" t="inlineStr">
        <is>
          <t>chemicals</t>
        </is>
      </c>
      <c r="D110" s="30" t="inlineStr">
        <is>
          <t>fertilizers</t>
        </is>
      </c>
      <c r="E110" s="30" t="inlineStr">
        <is>
          <t>smallcap</t>
        </is>
      </c>
      <c r="F110" s="30" t="n">
        <v>615.5</v>
      </c>
      <c r="G110" s="30" t="n">
        <v>470.5</v>
      </c>
      <c r="H110" s="30" t="n">
        <v>-0.59</v>
      </c>
      <c r="I110" s="30" t="n">
        <v>6778</v>
      </c>
      <c r="J110" s="30" t="inlineStr">
        <is>
          <t>532935</t>
        </is>
      </c>
    </row>
    <row r="111">
      <c r="A111" s="30" t="inlineStr">
        <is>
          <t>REDINGTON</t>
        </is>
      </c>
      <c r="B111" s="30" t="inlineStr">
        <is>
          <t>Redington (india) Limited</t>
        </is>
      </c>
      <c r="C111" s="30" t="inlineStr">
        <is>
          <t>services</t>
        </is>
      </c>
      <c r="D111" s="30" t="inlineStr">
        <is>
          <t>trading</t>
        </is>
      </c>
      <c r="E111" s="30" t="inlineStr">
        <is>
          <t>largecap</t>
        </is>
      </c>
      <c r="F111" s="30" t="n">
        <v>31837.76</v>
      </c>
      <c r="G111" s="30" t="n">
        <v>404.85</v>
      </c>
      <c r="H111" s="30" t="n">
        <v>-0.59</v>
      </c>
      <c r="I111" s="30" t="n">
        <v>4235911</v>
      </c>
      <c r="J111" s="30" t="inlineStr">
        <is>
          <t>532805</t>
        </is>
      </c>
    </row>
    <row r="112">
      <c r="A112" s="30" t="inlineStr">
        <is>
          <t>SAILIFE</t>
        </is>
      </c>
      <c r="B112" s="30" t="inlineStr">
        <is>
          <t>Sai Life Sciences Ltd</t>
        </is>
      </c>
      <c r="C112" s="30" t="inlineStr">
        <is>
          <t>healthcare</t>
        </is>
      </c>
      <c r="D112" s="30" t="inlineStr">
        <is>
          <t>pharmaceuticals - indian - bulk drugs &amp; formln</t>
        </is>
      </c>
      <c r="E112" s="30" t="inlineStr">
        <is>
          <t>largecap</t>
        </is>
      </c>
      <c r="F112" s="30" t="n">
        <v>33800.18</v>
      </c>
      <c r="G112" s="30" t="n">
        <v>1582.8</v>
      </c>
      <c r="H112" s="30" t="n">
        <v>-0.59</v>
      </c>
      <c r="I112" s="30" t="n">
        <v>273968</v>
      </c>
      <c r="J112" s="30" t="inlineStr">
        <is>
          <t>544306</t>
        </is>
      </c>
    </row>
    <row r="113">
      <c r="A113" s="30" t="inlineStr">
        <is>
          <t>SALSTEEL</t>
        </is>
      </c>
      <c r="B113" s="30" t="inlineStr">
        <is>
          <t>SAL Steel</t>
        </is>
      </c>
      <c r="C113" s="30" t="inlineStr">
        <is>
          <t>metals &amp; mining</t>
        </is>
      </c>
      <c r="D113" s="30" t="inlineStr">
        <is>
          <t>steel - sponge iron</t>
        </is>
      </c>
      <c r="E113" s="30" t="inlineStr">
        <is>
          <t>smallcap</t>
        </is>
      </c>
      <c r="F113" s="30" t="n">
        <v>1355.02</v>
      </c>
      <c r="G113" s="30" t="n">
        <v>93.03</v>
      </c>
      <c r="H113" s="30" t="n">
        <v>-0.61</v>
      </c>
      <c r="I113" s="30" t="n">
        <v>1006262</v>
      </c>
      <c r="J113" s="30" t="inlineStr">
        <is>
          <t>532604</t>
        </is>
      </c>
    </row>
    <row r="114">
      <c r="A114" s="30" t="inlineStr">
        <is>
          <t>EMUDHRA</t>
        </is>
      </c>
      <c r="B114" s="30" t="inlineStr">
        <is>
          <t>eMudhra Ltd</t>
        </is>
      </c>
      <c r="C114" s="30" t="inlineStr">
        <is>
          <t>i.t</t>
        </is>
      </c>
      <c r="D114" s="30" t="inlineStr">
        <is>
          <t>computers - software - medium / small</t>
        </is>
      </c>
      <c r="E114" s="30" t="inlineStr">
        <is>
          <t>midcap</t>
        </is>
      </c>
      <c r="F114" s="30" t="n">
        <v>5411.33</v>
      </c>
      <c r="G114" s="30" t="n">
        <v>649.25</v>
      </c>
      <c r="H114" s="30" t="n">
        <v>-0.64</v>
      </c>
      <c r="I114" s="30" t="n">
        <v>447539</v>
      </c>
      <c r="J114" s="30" t="inlineStr">
        <is>
          <t>543533</t>
        </is>
      </c>
    </row>
    <row r="115">
      <c r="A115" s="30" t="inlineStr">
        <is>
          <t>AXISCADES</t>
        </is>
      </c>
      <c r="B115" s="30" t="inlineStr">
        <is>
          <t>AXISCADES Technologies Ltd</t>
        </is>
      </c>
      <c r="C115" s="30" t="inlineStr">
        <is>
          <t>aerospace &amp; defence</t>
        </is>
      </c>
      <c r="D115" s="30" t="inlineStr">
        <is>
          <t>computers - software - medium / small</t>
        </is>
      </c>
      <c r="E115" s="30" t="inlineStr">
        <is>
          <t>midcap</t>
        </is>
      </c>
      <c r="F115" s="30" t="n">
        <v>8047.29</v>
      </c>
      <c r="G115" s="30" t="n">
        <v>1879.5</v>
      </c>
      <c r="H115" s="30" t="n">
        <v>-0.67</v>
      </c>
      <c r="I115" s="30" t="n">
        <v>278673</v>
      </c>
      <c r="J115" s="30" t="inlineStr">
        <is>
          <t>532395</t>
        </is>
      </c>
    </row>
    <row r="116">
      <c r="A116" s="30" t="inlineStr">
        <is>
          <t>ZIMLAB</t>
        </is>
      </c>
      <c r="B116" s="30" t="inlineStr">
        <is>
          <t>Zim Laboratories Ltd</t>
        </is>
      </c>
      <c r="C116" s="30" t="inlineStr">
        <is>
          <t>healthcare</t>
        </is>
      </c>
      <c r="D116" s="30" t="inlineStr">
        <is>
          <t>pharmaceuticals - indian - bulk drugs &amp; formln</t>
        </is>
      </c>
      <c r="E116" s="30" t="inlineStr">
        <is>
          <t>smallcap</t>
        </is>
      </c>
      <c r="F116" s="30" t="n">
        <v>741.55</v>
      </c>
      <c r="G116" s="30" t="n">
        <v>137.55</v>
      </c>
      <c r="H116" s="30" t="n">
        <v>-0.67</v>
      </c>
      <c r="I116" s="30" t="n">
        <v>114414</v>
      </c>
      <c r="J116" s="30" t="inlineStr">
        <is>
          <t>541400</t>
        </is>
      </c>
    </row>
    <row r="117">
      <c r="A117" s="30" t="inlineStr">
        <is>
          <t>GOODLUCK</t>
        </is>
      </c>
      <c r="B117" s="30" t="inlineStr">
        <is>
          <t>Goodluck India Limited</t>
        </is>
      </c>
      <c r="C117" s="30" t="inlineStr">
        <is>
          <t>metals &amp; mining</t>
        </is>
      </c>
      <c r="D117" s="30" t="inlineStr">
        <is>
          <t>steel - medium / small</t>
        </is>
      </c>
      <c r="E117" s="30" t="inlineStr">
        <is>
          <t>midcap</t>
        </is>
      </c>
      <c r="F117" s="30" t="n">
        <v>5241.55</v>
      </c>
      <c r="G117" s="30" t="n">
        <v>522</v>
      </c>
      <c r="H117" s="30" t="n">
        <v>-0.6899999999999999</v>
      </c>
      <c r="I117" s="30" t="n">
        <v>283018</v>
      </c>
      <c r="J117" s="30" t="inlineStr">
        <is>
          <t>530655</t>
        </is>
      </c>
    </row>
    <row r="118">
      <c r="A118" s="30" t="inlineStr">
        <is>
          <t>LIKHITHA</t>
        </is>
      </c>
      <c r="B118" s="30" t="inlineStr">
        <is>
          <t>Likhitha Infrastructure Ltd</t>
        </is>
      </c>
      <c r="C118" s="30" t="inlineStr">
        <is>
          <t>realty</t>
        </is>
      </c>
      <c r="D118" s="30" t="inlineStr">
        <is>
          <t>construction</t>
        </is>
      </c>
      <c r="E118" s="30" t="inlineStr">
        <is>
          <t>smallcap</t>
        </is>
      </c>
      <c r="F118" s="30" t="n">
        <v>908.26</v>
      </c>
      <c r="G118" s="30" t="n">
        <v>228.63</v>
      </c>
      <c r="H118" s="30" t="n">
        <v>-0.7</v>
      </c>
      <c r="I118" s="30" t="n">
        <v>53337</v>
      </c>
      <c r="J118" s="30" t="inlineStr">
        <is>
          <t>543240</t>
        </is>
      </c>
    </row>
    <row r="119">
      <c r="A119" s="30" t="inlineStr">
        <is>
          <t>DIVISLAB</t>
        </is>
      </c>
      <c r="B119" s="30" t="inlineStr">
        <is>
          <t>Divi's Laboratories Limited</t>
        </is>
      </c>
      <c r="C119" s="30" t="inlineStr">
        <is>
          <t>healthcare</t>
        </is>
      </c>
      <c r="D119" s="30" t="inlineStr">
        <is>
          <t>pharmaceuticals - indian - bulk drugs</t>
        </is>
      </c>
      <c r="E119" s="30" t="inlineStr">
        <is>
          <t>largecap</t>
        </is>
      </c>
      <c r="F119" s="30" t="n">
        <v>255367.5</v>
      </c>
      <c r="G119" s="30" t="n">
        <v>9550</v>
      </c>
      <c r="H119" s="30" t="n">
        <v>-0.72</v>
      </c>
      <c r="I119" s="30" t="n">
        <v>380253</v>
      </c>
      <c r="J119" s="30" t="inlineStr">
        <is>
          <t>532488</t>
        </is>
      </c>
    </row>
    <row r="120">
      <c r="A120" s="30" t="inlineStr">
        <is>
          <t>GALAPREC</t>
        </is>
      </c>
      <c r="B120" s="30" t="inlineStr">
        <is>
          <t>Gala Precision Engineering Ltd</t>
        </is>
      </c>
      <c r="C120" s="30" t="inlineStr">
        <is>
          <t>castings, forgings &amp; fasteners</t>
        </is>
      </c>
      <c r="D120" s="30" t="inlineStr">
        <is>
          <t>fasteners</t>
        </is>
      </c>
      <c r="E120" s="30" t="inlineStr">
        <is>
          <t>smallcap</t>
        </is>
      </c>
      <c r="F120" s="30" t="n">
        <v>1472.07</v>
      </c>
      <c r="G120" s="30" t="n">
        <v>1140.2</v>
      </c>
      <c r="H120" s="30" t="n">
        <v>-0.73</v>
      </c>
      <c r="I120" s="30" t="n">
        <v>38862</v>
      </c>
      <c r="J120" s="30" t="inlineStr">
        <is>
          <t>544244</t>
        </is>
      </c>
    </row>
    <row r="121">
      <c r="A121" s="30" t="inlineStr">
        <is>
          <t>SUNDROP</t>
        </is>
      </c>
      <c r="B121" s="30" t="inlineStr">
        <is>
          <t>Sundrop Brands Ltd</t>
        </is>
      </c>
      <c r="C121" s="30" t="inlineStr">
        <is>
          <t>fmcg</t>
        </is>
      </c>
      <c r="D121" s="30" t="inlineStr">
        <is>
          <t>food - processing - indian</t>
        </is>
      </c>
      <c r="E121" s="30" t="inlineStr">
        <is>
          <t>smallcap</t>
        </is>
      </c>
      <c r="F121" s="30" t="n">
        <v>2811.24</v>
      </c>
      <c r="G121" s="30" t="n">
        <v>740.2</v>
      </c>
      <c r="H121" s="30" t="n">
        <v>-0.74</v>
      </c>
      <c r="I121" s="30" t="n">
        <v>20187</v>
      </c>
      <c r="J121" s="30" t="inlineStr">
        <is>
          <t>500215</t>
        </is>
      </c>
    </row>
    <row r="122">
      <c r="A122" s="30" t="inlineStr">
        <is>
          <t>INNOVACAP</t>
        </is>
      </c>
      <c r="B122" s="30" t="inlineStr">
        <is>
          <t>Innova Captab Ltd</t>
        </is>
      </c>
      <c r="C122" s="30" t="inlineStr">
        <is>
          <t>healthcare</t>
        </is>
      </c>
      <c r="D122" s="30" t="inlineStr">
        <is>
          <t>pharmaceuticals - indian - bulk drugs &amp; formln</t>
        </is>
      </c>
      <c r="E122" s="30" t="inlineStr">
        <is>
          <t>midcap</t>
        </is>
      </c>
      <c r="F122" s="30" t="n">
        <v>7330.51</v>
      </c>
      <c r="G122" s="30" t="n">
        <v>1271.2</v>
      </c>
      <c r="H122" s="30" t="n">
        <v>-0.77</v>
      </c>
      <c r="I122" s="30" t="n">
        <v>60672</v>
      </c>
      <c r="J122" s="30" t="inlineStr">
        <is>
          <t>544067</t>
        </is>
      </c>
    </row>
    <row r="123">
      <c r="A123" s="30" t="inlineStr">
        <is>
          <t>DMCC</t>
        </is>
      </c>
      <c r="B123" s="30" t="inlineStr">
        <is>
          <t>DMCC Speciality Chemicals Ltd</t>
        </is>
      </c>
      <c r="C123" s="30" t="inlineStr">
        <is>
          <t>chemicals</t>
        </is>
      </c>
      <c r="D123" s="30" t="inlineStr">
        <is>
          <t>chemicals</t>
        </is>
      </c>
      <c r="E123" s="30" t="inlineStr">
        <is>
          <t>smallcap</t>
        </is>
      </c>
      <c r="F123" s="30" t="n">
        <v>761.54</v>
      </c>
      <c r="G123" s="30" t="n">
        <v>302.8</v>
      </c>
      <c r="H123" s="30" t="n">
        <v>-0.84</v>
      </c>
      <c r="I123" s="30" t="n">
        <v>144945</v>
      </c>
      <c r="J123" s="30" t="inlineStr">
        <is>
          <t>506405</t>
        </is>
      </c>
    </row>
    <row r="124">
      <c r="A124" s="30" t="inlineStr">
        <is>
          <t>JASH</t>
        </is>
      </c>
      <c r="B124" s="30" t="inlineStr">
        <is>
          <t>Jash Engineering Ltd</t>
        </is>
      </c>
      <c r="C124" s="30" t="inlineStr">
        <is>
          <t>industrials</t>
        </is>
      </c>
      <c r="D124" s="30" t="inlineStr">
        <is>
          <t>engineering</t>
        </is>
      </c>
      <c r="E124" s="30" t="inlineStr">
        <is>
          <t>smallcap</t>
        </is>
      </c>
      <c r="F124" s="30" t="n">
        <v>3752.76</v>
      </c>
      <c r="G124" s="30" t="n">
        <v>588.75</v>
      </c>
      <c r="H124" s="30" t="n">
        <v>-0.86</v>
      </c>
      <c r="I124" s="30" t="n">
        <v>241237</v>
      </c>
      <c r="J124" s="30" t="inlineStr">
        <is>
          <t>535019</t>
        </is>
      </c>
    </row>
    <row r="125">
      <c r="A125" s="30" t="inlineStr">
        <is>
          <t>RATNAVEER</t>
        </is>
      </c>
      <c r="B125" s="30" t="inlineStr">
        <is>
          <t>Ratnaveer Precision Engineering Ltd</t>
        </is>
      </c>
      <c r="C125" s="30" t="inlineStr">
        <is>
          <t>metals &amp; mining</t>
        </is>
      </c>
      <c r="D125" s="30" t="inlineStr">
        <is>
          <t>steel - medium / small</t>
        </is>
      </c>
      <c r="E125" s="30" t="inlineStr">
        <is>
          <t>smallcap</t>
        </is>
      </c>
      <c r="F125" s="30" t="n">
        <v>2385.29</v>
      </c>
      <c r="G125" s="30" t="n">
        <v>330.95</v>
      </c>
      <c r="H125" s="30" t="n">
        <v>-0.9</v>
      </c>
      <c r="I125" s="30" t="n">
        <v>5822738</v>
      </c>
      <c r="J125" s="30" t="inlineStr">
        <is>
          <t>543978</t>
        </is>
      </c>
    </row>
    <row r="126">
      <c r="A126" s="30" t="inlineStr">
        <is>
          <t>VSSL</t>
        </is>
      </c>
      <c r="B126" s="30" t="inlineStr">
        <is>
          <t>Vardhman Special Steels Limited</t>
        </is>
      </c>
      <c r="C126" s="30" t="inlineStr">
        <is>
          <t>metals &amp; mining</t>
        </is>
      </c>
      <c r="D126" s="30" t="inlineStr">
        <is>
          <t>steel - medium / small</t>
        </is>
      </c>
      <c r="E126" s="30" t="inlineStr">
        <is>
          <t>smallcap</t>
        </is>
      </c>
      <c r="F126" s="30" t="n">
        <v>3978.62</v>
      </c>
      <c r="G126" s="30" t="n">
        <v>407.75</v>
      </c>
      <c r="H126" s="30" t="n">
        <v>-0.91</v>
      </c>
      <c r="I126" s="30" t="n">
        <v>108982</v>
      </c>
      <c r="J126" s="30" t="inlineStr">
        <is>
          <t>534392</t>
        </is>
      </c>
    </row>
    <row r="127">
      <c r="A127" s="30" t="inlineStr">
        <is>
          <t>SATIN</t>
        </is>
      </c>
      <c r="B127" s="30" t="inlineStr">
        <is>
          <t>Satin Creditcare Network Limited</t>
        </is>
      </c>
      <c r="C127" s="30" t="inlineStr">
        <is>
          <t>financials</t>
        </is>
      </c>
      <c r="D127" s="30" t="inlineStr">
        <is>
          <t>finance &amp; investments</t>
        </is>
      </c>
      <c r="E127" s="30" t="inlineStr">
        <is>
          <t>smallcap</t>
        </is>
      </c>
      <c r="F127" s="30" t="n">
        <v>2614.3</v>
      </c>
      <c r="G127" s="30" t="n">
        <v>234.4</v>
      </c>
      <c r="H127" s="30" t="n">
        <v>-0.95</v>
      </c>
      <c r="I127" s="30" t="n">
        <v>331802</v>
      </c>
      <c r="J127" s="30" t="inlineStr">
        <is>
          <t>539404</t>
        </is>
      </c>
    </row>
    <row r="128">
      <c r="A128" s="30" t="inlineStr">
        <is>
          <t>BIL</t>
        </is>
      </c>
      <c r="B128" s="30" t="inlineStr">
        <is>
          <t>Bhartiya International Limited</t>
        </is>
      </c>
      <c r="C128" s="30" t="inlineStr">
        <is>
          <t>consumer discretionary</t>
        </is>
      </c>
      <c r="D128" s="30" t="inlineStr">
        <is>
          <t>leather / leather products</t>
        </is>
      </c>
      <c r="E128" s="30" t="inlineStr">
        <is>
          <t>smallcap</t>
        </is>
      </c>
      <c r="F128" s="30" t="n">
        <v>1355.59</v>
      </c>
      <c r="G128" s="30" t="n">
        <v>1001.2</v>
      </c>
      <c r="H128" s="30" t="n">
        <v>-0.95</v>
      </c>
      <c r="I128" s="30" t="n">
        <v>3150</v>
      </c>
      <c r="J128" s="30" t="inlineStr">
        <is>
          <t>526666</t>
        </is>
      </c>
    </row>
    <row r="129">
      <c r="A129" s="30" t="inlineStr">
        <is>
          <t>ROLEXRINGS</t>
        </is>
      </c>
      <c r="B129" s="30" t="inlineStr">
        <is>
          <t>Rolex Rings Ltd</t>
        </is>
      </c>
      <c r="C129" s="30" t="inlineStr">
        <is>
          <t>auto</t>
        </is>
      </c>
      <c r="D129" s="30" t="inlineStr">
        <is>
          <t>auto ancillaries</t>
        </is>
      </c>
      <c r="E129" s="30" t="inlineStr">
        <is>
          <t>midcap</t>
        </is>
      </c>
      <c r="F129" s="30" t="n">
        <v>5320.03</v>
      </c>
      <c r="G129" s="30" t="n">
        <v>193.45</v>
      </c>
      <c r="H129" s="30" t="n">
        <v>-0.97</v>
      </c>
      <c r="I129" s="30" t="n">
        <v>3173757</v>
      </c>
      <c r="J129" s="30" t="inlineStr">
        <is>
          <t>543325</t>
        </is>
      </c>
    </row>
    <row r="130">
      <c r="A130" s="30" t="inlineStr">
        <is>
          <t>MBAPL</t>
        </is>
      </c>
      <c r="B130" s="30" t="inlineStr">
        <is>
          <t>Madhya Bharat Agro Products Ltd</t>
        </is>
      </c>
      <c r="C130" s="30" t="inlineStr">
        <is>
          <t>chemicals</t>
        </is>
      </c>
      <c r="D130" s="30" t="inlineStr">
        <is>
          <t>fertilizers</t>
        </is>
      </c>
      <c r="E130" s="30" t="inlineStr">
        <is>
          <t>smallcap</t>
        </is>
      </c>
      <c r="F130" s="30" t="n">
        <v>1476.25</v>
      </c>
      <c r="G130" s="30" t="n">
        <v>166.81</v>
      </c>
      <c r="H130" s="30" t="n">
        <v>-0.99</v>
      </c>
      <c r="I130" s="30" t="n">
        <v>569002</v>
      </c>
      <c r="J130" s="30" t="inlineStr">
        <is>
          <t>538370</t>
        </is>
      </c>
    </row>
    <row r="131">
      <c r="A131" s="30" t="inlineStr">
        <is>
          <t>RPTECH</t>
        </is>
      </c>
      <c r="B131" s="30" t="inlineStr">
        <is>
          <t>Rashi Peripherals Ltd</t>
        </is>
      </c>
      <c r="C131" s="30" t="inlineStr">
        <is>
          <t>i.t</t>
        </is>
      </c>
      <c r="D131" s="30" t="inlineStr">
        <is>
          <t>trading</t>
        </is>
      </c>
      <c r="E131" s="30" t="inlineStr">
        <is>
          <t>midcap</t>
        </is>
      </c>
      <c r="F131" s="30" t="n">
        <v>5884.84</v>
      </c>
      <c r="G131" s="30" t="n">
        <v>883.95</v>
      </c>
      <c r="H131" s="30" t="n">
        <v>-1.01</v>
      </c>
      <c r="I131" s="30" t="n">
        <v>253607</v>
      </c>
      <c r="J131" s="30" t="n"/>
    </row>
    <row r="132">
      <c r="A132" s="30" t="inlineStr">
        <is>
          <t>JUBLPHARMA</t>
        </is>
      </c>
      <c r="B132" s="30" t="inlineStr">
        <is>
          <t>Jubilant Pharmova Ltd</t>
        </is>
      </c>
      <c r="C132" s="30" t="inlineStr">
        <is>
          <t>healthcare</t>
        </is>
      </c>
      <c r="D132" s="30" t="inlineStr">
        <is>
          <t>pharmaceuticals - indian - bulk drugs</t>
        </is>
      </c>
      <c r="E132" s="30" t="inlineStr">
        <is>
          <t>midcap</t>
        </is>
      </c>
      <c r="F132" s="30" t="n">
        <v>17074.14</v>
      </c>
      <c r="G132" s="30" t="n">
        <v>1060.45</v>
      </c>
      <c r="H132" s="30" t="n">
        <v>-1.07</v>
      </c>
      <c r="I132" s="30" t="n">
        <v>95393</v>
      </c>
      <c r="J132" s="30" t="inlineStr">
        <is>
          <t>530019</t>
        </is>
      </c>
    </row>
    <row r="133">
      <c r="A133" s="30" t="inlineStr">
        <is>
          <t>SANATHAN</t>
        </is>
      </c>
      <c r="B133" s="30" t="inlineStr">
        <is>
          <t>Sanathan Textiles Ltd</t>
        </is>
      </c>
      <c r="C133" s="30" t="inlineStr">
        <is>
          <t>textiles</t>
        </is>
      </c>
      <c r="D133" s="30" t="inlineStr">
        <is>
          <t>textiles - cotton/blended</t>
        </is>
      </c>
      <c r="E133" s="30" t="inlineStr">
        <is>
          <t>smallcap</t>
        </is>
      </c>
      <c r="F133" s="30" t="n">
        <v>4416.02</v>
      </c>
      <c r="G133" s="30" t="n">
        <v>517.55</v>
      </c>
      <c r="H133" s="30" t="n">
        <v>-1.08</v>
      </c>
      <c r="I133" s="30" t="n">
        <v>74280</v>
      </c>
      <c r="J133" s="30" t="inlineStr">
        <is>
          <t>544314</t>
        </is>
      </c>
    </row>
    <row r="134">
      <c r="A134" s="30" t="inlineStr">
        <is>
          <t>APLLTD</t>
        </is>
      </c>
      <c r="B134" s="30" t="inlineStr">
        <is>
          <t>Alembic Pharmaceuticals Limited</t>
        </is>
      </c>
      <c r="C134" s="30" t="inlineStr">
        <is>
          <t>healthcare</t>
        </is>
      </c>
      <c r="D134" s="30" t="inlineStr">
        <is>
          <t>pharmaceuticals - indian - bulk drugs &amp; formln</t>
        </is>
      </c>
      <c r="E134" s="30" t="inlineStr">
        <is>
          <t>midcap</t>
        </is>
      </c>
      <c r="F134" s="30" t="n">
        <v>16978.14</v>
      </c>
      <c r="G134" s="30" t="n">
        <v>854.35</v>
      </c>
      <c r="H134" s="30" t="n">
        <v>-1.09</v>
      </c>
      <c r="I134" s="30" t="n">
        <v>211650</v>
      </c>
      <c r="J134" s="30" t="inlineStr">
        <is>
          <t>533573</t>
        </is>
      </c>
    </row>
    <row r="135">
      <c r="A135" s="30" t="inlineStr">
        <is>
          <t>ACE</t>
        </is>
      </c>
      <c r="B135" s="30" t="inlineStr">
        <is>
          <t>Action Construction Equipment Limited</t>
        </is>
      </c>
      <c r="C135" s="30" t="inlineStr">
        <is>
          <t>industrials</t>
        </is>
      </c>
      <c r="D135" s="30" t="inlineStr">
        <is>
          <t>engineering</t>
        </is>
      </c>
      <c r="E135" s="30" t="inlineStr">
        <is>
          <t>midcap</t>
        </is>
      </c>
      <c r="F135" s="30" t="n">
        <v>14606.74</v>
      </c>
      <c r="G135" s="30" t="n">
        <v>1212.9</v>
      </c>
      <c r="H135" s="30" t="n">
        <v>-1.12</v>
      </c>
      <c r="I135" s="30" t="n">
        <v>230428</v>
      </c>
      <c r="J135" s="30" t="inlineStr">
        <is>
          <t>532762</t>
        </is>
      </c>
    </row>
    <row r="136">
      <c r="A136" s="30" t="inlineStr">
        <is>
          <t>CYIENT</t>
        </is>
      </c>
      <c r="B136" s="30" t="inlineStr">
        <is>
          <t>Cyient Limited</t>
        </is>
      </c>
      <c r="C136" s="30" t="inlineStr">
        <is>
          <t>i.t</t>
        </is>
      </c>
      <c r="D136" s="30" t="inlineStr">
        <is>
          <t>computers - software - medium / small</t>
        </is>
      </c>
      <c r="E136" s="30" t="inlineStr">
        <is>
          <t>midcap</t>
        </is>
      </c>
      <c r="F136" s="30" t="n">
        <v>11466.09</v>
      </c>
      <c r="G136" s="30" t="n">
        <v>1082.3</v>
      </c>
      <c r="H136" s="30" t="n">
        <v>-1.13</v>
      </c>
      <c r="I136" s="30" t="n">
        <v>246850</v>
      </c>
      <c r="J136" s="30" t="inlineStr">
        <is>
          <t>532175</t>
        </is>
      </c>
    </row>
    <row r="137">
      <c r="A137" s="30" t="inlineStr">
        <is>
          <t>ACMESOLAR</t>
        </is>
      </c>
      <c r="B137" s="30" t="inlineStr">
        <is>
          <t>ACME Solar Holdings Ltd</t>
        </is>
      </c>
      <c r="C137" s="30" t="inlineStr">
        <is>
          <t>realty</t>
        </is>
      </c>
      <c r="D137" s="30" t="inlineStr">
        <is>
          <t>engineering - turnkey services</t>
        </is>
      </c>
      <c r="E137" s="30" t="inlineStr">
        <is>
          <t>largecap</t>
        </is>
      </c>
      <c r="F137" s="30" t="n">
        <v>31307.46</v>
      </c>
      <c r="G137" s="30" t="n">
        <v>437.9</v>
      </c>
      <c r="H137" s="30" t="n">
        <v>-1.13</v>
      </c>
      <c r="I137" s="30" t="n">
        <v>1868409</v>
      </c>
      <c r="J137" s="30" t="inlineStr">
        <is>
          <t>544283</t>
        </is>
      </c>
    </row>
    <row r="138">
      <c r="A138" s="30" t="inlineStr">
        <is>
          <t>MANBA</t>
        </is>
      </c>
      <c r="B138" s="30" t="inlineStr">
        <is>
          <t>Manba Finance Ltd</t>
        </is>
      </c>
      <c r="C138" s="30" t="inlineStr">
        <is>
          <t>financials</t>
        </is>
      </c>
      <c r="D138" s="30" t="inlineStr">
        <is>
          <t>finance &amp; investments</t>
        </is>
      </c>
      <c r="E138" s="30" t="inlineStr">
        <is>
          <t>smallcap</t>
        </is>
      </c>
      <c r="F138" s="30" t="n">
        <v>700.09</v>
      </c>
      <c r="G138" s="30" t="n">
        <v>137.68</v>
      </c>
      <c r="H138" s="30" t="n">
        <v>-1.2</v>
      </c>
      <c r="I138" s="30" t="n">
        <v>148229</v>
      </c>
      <c r="J138" s="30" t="inlineStr">
        <is>
          <t>544262</t>
        </is>
      </c>
    </row>
    <row r="139">
      <c r="A139" s="30" t="inlineStr">
        <is>
          <t>ETERNAL</t>
        </is>
      </c>
      <c r="B139" s="30" t="inlineStr">
        <is>
          <t>Eternal Ltd</t>
        </is>
      </c>
      <c r="C139" s="30" t="inlineStr">
        <is>
          <t>i.t</t>
        </is>
      </c>
      <c r="D139" s="30" t="inlineStr">
        <is>
          <t>miscellaneous</t>
        </is>
      </c>
      <c r="E139" s="30" t="inlineStr">
        <is>
          <t>largecap</t>
        </is>
      </c>
      <c r="F139" s="30" t="n">
        <v>323286.75</v>
      </c>
      <c r="G139" s="30" t="n">
        <v>330.95</v>
      </c>
      <c r="H139" s="30" t="n">
        <v>-1.21</v>
      </c>
      <c r="I139" s="30" t="n">
        <v>19560239</v>
      </c>
      <c r="J139" s="30" t="inlineStr">
        <is>
          <t>543320</t>
        </is>
      </c>
    </row>
    <row r="140">
      <c r="A140" s="30" t="inlineStr">
        <is>
          <t>SPECIALITY</t>
        </is>
      </c>
      <c r="B140" s="30" t="inlineStr">
        <is>
          <t>Speciality Restaurants Limited</t>
        </is>
      </c>
      <c r="C140" s="30" t="inlineStr">
        <is>
          <t>services</t>
        </is>
      </c>
      <c r="D140" s="30" t="inlineStr">
        <is>
          <t>hotels</t>
        </is>
      </c>
      <c r="E140" s="30" t="inlineStr">
        <is>
          <t>smallcap</t>
        </is>
      </c>
      <c r="F140" s="30" t="n">
        <v>736.85</v>
      </c>
      <c r="G140" s="30" t="n">
        <v>150.89</v>
      </c>
      <c r="H140" s="30" t="n">
        <v>-1.22</v>
      </c>
      <c r="I140" s="30" t="n">
        <v>13417</v>
      </c>
      <c r="J140" s="30" t="inlineStr">
        <is>
          <t>534425</t>
        </is>
      </c>
    </row>
    <row r="141">
      <c r="A141" s="30" t="inlineStr">
        <is>
          <t>DHAMPURSUG</t>
        </is>
      </c>
      <c r="B141" s="30" t="inlineStr">
        <is>
          <t>Dhampur Sugar Mills Limited</t>
        </is>
      </c>
      <c r="C141" s="30" t="inlineStr">
        <is>
          <t>fmcg</t>
        </is>
      </c>
      <c r="D141" s="30" t="inlineStr">
        <is>
          <t>sugar</t>
        </is>
      </c>
      <c r="E141" s="30" t="inlineStr">
        <is>
          <t>smallcap</t>
        </is>
      </c>
      <c r="F141" s="30" t="n">
        <v>1123.24</v>
      </c>
      <c r="G141" s="30" t="n">
        <v>172.42</v>
      </c>
      <c r="H141" s="30" t="n">
        <v>-1.29</v>
      </c>
      <c r="I141" s="30" t="n">
        <v>987937</v>
      </c>
      <c r="J141" s="30" t="inlineStr">
        <is>
          <t>500119</t>
        </is>
      </c>
    </row>
    <row r="142">
      <c r="A142" s="30" t="inlineStr">
        <is>
          <t>WSTCSTPAPR</t>
        </is>
      </c>
      <c r="B142" s="30" t="inlineStr">
        <is>
          <t>West Coast Paper Mills Limited</t>
        </is>
      </c>
      <c r="C142" s="30" t="inlineStr">
        <is>
          <t>building materials</t>
        </is>
      </c>
      <c r="D142" s="30" t="inlineStr">
        <is>
          <t>paper</t>
        </is>
      </c>
      <c r="E142" s="30" t="inlineStr">
        <is>
          <t>smallcap</t>
        </is>
      </c>
      <c r="F142" s="30" t="n">
        <v>4834.12</v>
      </c>
      <c r="G142" s="30" t="n">
        <v>722.35</v>
      </c>
      <c r="H142" s="30" t="n">
        <v>-1.3</v>
      </c>
      <c r="I142" s="30" t="n">
        <v>120599</v>
      </c>
      <c r="J142" s="30" t="inlineStr">
        <is>
          <t>500444</t>
        </is>
      </c>
    </row>
    <row r="143">
      <c r="A143" s="30" t="inlineStr">
        <is>
          <t>GLOBAL</t>
        </is>
      </c>
      <c r="B143" s="30" t="inlineStr">
        <is>
          <t>Global Education Ltd</t>
        </is>
      </c>
      <c r="C143" s="30" t="inlineStr">
        <is>
          <t>services</t>
        </is>
      </c>
      <c r="D143" s="30" t="inlineStr">
        <is>
          <t>miscellaneous</t>
        </is>
      </c>
      <c r="E143" s="30" t="inlineStr">
        <is>
          <t>smallcap</t>
        </is>
      </c>
      <c r="F143" s="30" t="n">
        <v>689.21</v>
      </c>
      <c r="G143" s="30" t="n">
        <v>133.61</v>
      </c>
      <c r="H143" s="30" t="n">
        <v>-1.32</v>
      </c>
      <c r="I143" s="30" t="n">
        <v>156821</v>
      </c>
      <c r="J143" s="30" t="inlineStr">
        <is>
          <t>538406</t>
        </is>
      </c>
    </row>
    <row r="144">
      <c r="A144" s="30" t="inlineStr">
        <is>
          <t>DHARMAJ</t>
        </is>
      </c>
      <c r="B144" s="30" t="inlineStr">
        <is>
          <t>Dharmaj Crop Guard Ltd</t>
        </is>
      </c>
      <c r="C144" s="30" t="inlineStr">
        <is>
          <t>chemicals</t>
        </is>
      </c>
      <c r="D144" s="30" t="inlineStr">
        <is>
          <t>pesticides / agrochemicals - indian</t>
        </is>
      </c>
      <c r="E144" s="30" t="inlineStr">
        <is>
          <t>smallcap</t>
        </is>
      </c>
      <c r="F144" s="30" t="n">
        <v>997.53</v>
      </c>
      <c r="G144" s="30" t="n">
        <v>291.05</v>
      </c>
      <c r="H144" s="30" t="n">
        <v>-1.39</v>
      </c>
      <c r="I144" s="30" t="n">
        <v>26277</v>
      </c>
      <c r="J144" s="30" t="inlineStr">
        <is>
          <t>543687</t>
        </is>
      </c>
    </row>
    <row r="145">
      <c r="A145" s="30" t="inlineStr">
        <is>
          <t>RAYMOND</t>
        </is>
      </c>
      <c r="B145" s="30" t="inlineStr">
        <is>
          <t>Raymond Limited</t>
        </is>
      </c>
      <c r="C145" s="30" t="inlineStr">
        <is>
          <t>transportation</t>
        </is>
      </c>
      <c r="D145" s="30" t="inlineStr">
        <is>
          <t>transport - airlines</t>
        </is>
      </c>
      <c r="E145" s="30" t="inlineStr">
        <is>
          <t>midcap</t>
        </is>
      </c>
      <c r="F145" s="30" t="n">
        <v>7966.55</v>
      </c>
      <c r="G145" s="30" t="n">
        <v>1179.95</v>
      </c>
      <c r="H145" s="30" t="n">
        <v>-1.4</v>
      </c>
      <c r="I145" s="30" t="n">
        <v>4864233</v>
      </c>
      <c r="J145" s="30" t="inlineStr">
        <is>
          <t>500330</t>
        </is>
      </c>
    </row>
    <row r="146">
      <c r="A146" s="30" t="inlineStr">
        <is>
          <t>VENUSPIPES</t>
        </is>
      </c>
      <c r="B146" s="30" t="inlineStr">
        <is>
          <t>Venus Pipes &amp; Tubes Ltd</t>
        </is>
      </c>
      <c r="C146" s="30" t="inlineStr">
        <is>
          <t>metals &amp; mining</t>
        </is>
      </c>
      <c r="D146" s="30" t="inlineStr">
        <is>
          <t>steel - medium / small</t>
        </is>
      </c>
      <c r="E146" s="30" t="inlineStr">
        <is>
          <t>smallcap</t>
        </is>
      </c>
      <c r="F146" s="30" t="n">
        <v>4481.31</v>
      </c>
      <c r="G146" s="30" t="n">
        <v>2132.6</v>
      </c>
      <c r="H146" s="30" t="n">
        <v>-1.41</v>
      </c>
      <c r="I146" s="30" t="n">
        <v>261075</v>
      </c>
      <c r="J146" s="30" t="inlineStr">
        <is>
          <t>543528</t>
        </is>
      </c>
    </row>
    <row r="147">
      <c r="A147" s="30" t="inlineStr">
        <is>
          <t>EIMCOELECO</t>
        </is>
      </c>
      <c r="B147" s="30" t="inlineStr">
        <is>
          <t>Eimco Elecon (india) Limited</t>
        </is>
      </c>
      <c r="C147" s="30" t="inlineStr">
        <is>
          <t>industrials</t>
        </is>
      </c>
      <c r="D147" s="30" t="inlineStr">
        <is>
          <t>engineering</t>
        </is>
      </c>
      <c r="E147" s="30" t="inlineStr">
        <is>
          <t>smallcap</t>
        </is>
      </c>
      <c r="F147" s="30" t="n">
        <v>1327.65</v>
      </c>
      <c r="G147" s="30" t="n">
        <v>2268.9</v>
      </c>
      <c r="H147" s="30" t="n">
        <v>-1.42</v>
      </c>
      <c r="I147" s="30" t="n">
        <v>16841</v>
      </c>
      <c r="J147" s="30" t="inlineStr">
        <is>
          <t>523708</t>
        </is>
      </c>
    </row>
    <row r="148">
      <c r="A148" s="30" t="inlineStr">
        <is>
          <t>STLTECH</t>
        </is>
      </c>
      <c r="B148" s="30" t="inlineStr">
        <is>
          <t>Sterlite Technologies Limited</t>
        </is>
      </c>
      <c r="C148" s="30" t="inlineStr">
        <is>
          <t>industrials</t>
        </is>
      </c>
      <c r="D148" s="30" t="inlineStr">
        <is>
          <t>cables - telephone</t>
        </is>
      </c>
      <c r="E148" s="30" t="inlineStr">
        <is>
          <t>largecap</t>
        </is>
      </c>
      <c r="F148" s="30" t="n">
        <v>43023.38</v>
      </c>
      <c r="G148" s="30" t="n">
        <v>825.35</v>
      </c>
      <c r="H148" s="30" t="n">
        <v>-1.42</v>
      </c>
      <c r="I148" s="30" t="n">
        <v>1026777</v>
      </c>
      <c r="J148" s="30" t="inlineStr">
        <is>
          <t>532374</t>
        </is>
      </c>
    </row>
    <row r="149">
      <c r="A149" s="30" t="inlineStr">
        <is>
          <t>CEIGALL</t>
        </is>
      </c>
      <c r="B149" s="30" t="inlineStr">
        <is>
          <t>Ceigall India Ltd</t>
        </is>
      </c>
      <c r="C149" s="30" t="inlineStr">
        <is>
          <t>realty</t>
        </is>
      </c>
      <c r="D149" s="30" t="inlineStr">
        <is>
          <t>construction</t>
        </is>
      </c>
      <c r="E149" s="30" t="inlineStr">
        <is>
          <t>midcap</t>
        </is>
      </c>
      <c r="F149" s="30" t="n">
        <v>6691.21</v>
      </c>
      <c r="G149" s="30" t="n">
        <v>378.55</v>
      </c>
      <c r="H149" s="30" t="n">
        <v>-1.44</v>
      </c>
      <c r="I149" s="30" t="n">
        <v>153927</v>
      </c>
      <c r="J149" s="30" t="inlineStr">
        <is>
          <t>544223</t>
        </is>
      </c>
    </row>
    <row r="150">
      <c r="A150" s="30" t="inlineStr">
        <is>
          <t>CYIENTDLM</t>
        </is>
      </c>
      <c r="B150" s="30" t="inlineStr">
        <is>
          <t>Cyient DLM Ltd</t>
        </is>
      </c>
      <c r="C150" s="30" t="inlineStr">
        <is>
          <t>aerospace &amp; defence</t>
        </is>
      </c>
      <c r="D150" s="30" t="inlineStr">
        <is>
          <t>electronics - components</t>
        </is>
      </c>
      <c r="E150" s="30" t="inlineStr">
        <is>
          <t>midcap</t>
        </is>
      </c>
      <c r="F150" s="30" t="n">
        <v>7393.77</v>
      </c>
      <c r="G150" s="30" t="n">
        <v>917.95</v>
      </c>
      <c r="H150" s="30" t="n">
        <v>-1.44</v>
      </c>
      <c r="I150" s="30" t="n">
        <v>274823</v>
      </c>
      <c r="J150" s="30" t="inlineStr">
        <is>
          <t>543933</t>
        </is>
      </c>
    </row>
    <row r="151">
      <c r="A151" s="30" t="inlineStr">
        <is>
          <t>GANDHITUBE</t>
        </is>
      </c>
      <c r="B151" s="30" t="inlineStr">
        <is>
          <t>Gandhi Special Tubes Limited</t>
        </is>
      </c>
      <c r="C151" s="30" t="inlineStr">
        <is>
          <t>metals &amp; mining</t>
        </is>
      </c>
      <c r="D151" s="30" t="inlineStr">
        <is>
          <t>steel - medium / small</t>
        </is>
      </c>
      <c r="E151" s="30" t="inlineStr">
        <is>
          <t>smallcap</t>
        </is>
      </c>
      <c r="F151" s="30" t="n">
        <v>1090.59</v>
      </c>
      <c r="G151" s="30" t="n">
        <v>952.5</v>
      </c>
      <c r="H151" s="30" t="n">
        <v>-1.45</v>
      </c>
      <c r="I151" s="30" t="n">
        <v>8185</v>
      </c>
      <c r="J151" s="30" t="inlineStr">
        <is>
          <t>513108</t>
        </is>
      </c>
    </row>
    <row r="152">
      <c r="A152" s="30" t="inlineStr">
        <is>
          <t>GNFC</t>
        </is>
      </c>
      <c r="B152" s="30" t="inlineStr">
        <is>
          <t>Gujarat Narmada Valley Fertilizers And Chemicals Limited</t>
        </is>
      </c>
      <c r="C152" s="30" t="inlineStr">
        <is>
          <t>chemicals</t>
        </is>
      </c>
      <c r="D152" s="30" t="inlineStr">
        <is>
          <t>chemicals</t>
        </is>
      </c>
      <c r="E152" s="30" t="inlineStr">
        <is>
          <t>midcap</t>
        </is>
      </c>
      <c r="F152" s="30" t="n">
        <v>9261.67</v>
      </c>
      <c r="G152" s="30" t="n">
        <v>620.65</v>
      </c>
      <c r="H152" s="30" t="n">
        <v>-1.53</v>
      </c>
      <c r="I152" s="30" t="n">
        <v>495792</v>
      </c>
      <c r="J152" s="30" t="inlineStr">
        <is>
          <t>500670</t>
        </is>
      </c>
    </row>
    <row r="153">
      <c r="A153" s="30" t="inlineStr">
        <is>
          <t>STEELCAS</t>
        </is>
      </c>
      <c r="B153" s="30" t="inlineStr">
        <is>
          <t>Steelcast Ltd</t>
        </is>
      </c>
      <c r="C153" s="30" t="inlineStr">
        <is>
          <t>castings, forgings &amp; fasteners</t>
        </is>
      </c>
      <c r="D153" s="30" t="inlineStr">
        <is>
          <t>castings &amp; forgings</t>
        </is>
      </c>
      <c r="E153" s="30" t="inlineStr">
        <is>
          <t>smallcap</t>
        </is>
      </c>
      <c r="F153" s="30" t="n">
        <v>3810.18</v>
      </c>
      <c r="G153" s="30" t="n">
        <v>370.75</v>
      </c>
      <c r="H153" s="30" t="n">
        <v>-1.53</v>
      </c>
      <c r="I153" s="30" t="n">
        <v>197288</v>
      </c>
      <c r="J153" s="30" t="inlineStr">
        <is>
          <t>513517</t>
        </is>
      </c>
    </row>
    <row r="154">
      <c r="A154" s="30" t="inlineStr">
        <is>
          <t>PLASTIBLEN</t>
        </is>
      </c>
      <c r="B154" s="30" t="inlineStr">
        <is>
          <t>Plastiblends India Limited</t>
        </is>
      </c>
      <c r="C154" s="30" t="inlineStr">
        <is>
          <t>chemicals</t>
        </is>
      </c>
      <c r="D154" s="30" t="inlineStr">
        <is>
          <t>chemicals</t>
        </is>
      </c>
      <c r="E154" s="30" t="inlineStr">
        <is>
          <t>smallcap</t>
        </is>
      </c>
      <c r="F154" s="30" t="n">
        <v>527.55</v>
      </c>
      <c r="G154" s="30" t="n">
        <v>199.86</v>
      </c>
      <c r="H154" s="30" t="n">
        <v>-1.54</v>
      </c>
      <c r="I154" s="30" t="n">
        <v>99546</v>
      </c>
      <c r="J154" s="30" t="inlineStr">
        <is>
          <t>523648</t>
        </is>
      </c>
    </row>
    <row r="155">
      <c r="A155" s="30" t="inlineStr">
        <is>
          <t>ARROWGREEN</t>
        </is>
      </c>
      <c r="B155" s="30" t="inlineStr">
        <is>
          <t>Arrow Greentech Limited</t>
        </is>
      </c>
      <c r="C155" s="30" t="inlineStr">
        <is>
          <t>plastic products</t>
        </is>
      </c>
      <c r="D155" s="30" t="inlineStr">
        <is>
          <t>plastics products</t>
        </is>
      </c>
      <c r="E155" s="30" t="inlineStr">
        <is>
          <t>smallcap</t>
        </is>
      </c>
      <c r="F155" s="30" t="n">
        <v>1366.67</v>
      </c>
      <c r="G155" s="30" t="n">
        <v>891.85</v>
      </c>
      <c r="H155" s="30" t="n">
        <v>-1.54</v>
      </c>
      <c r="I155" s="30" t="n">
        <v>23332</v>
      </c>
      <c r="J155" s="30" t="inlineStr">
        <is>
          <t>516064</t>
        </is>
      </c>
    </row>
    <row r="156">
      <c r="A156" s="30" t="inlineStr">
        <is>
          <t>AETHER</t>
        </is>
      </c>
      <c r="B156" s="30" t="inlineStr">
        <is>
          <t>Aether Industries Ltd</t>
        </is>
      </c>
      <c r="C156" s="30" t="inlineStr">
        <is>
          <t>chemicals</t>
        </is>
      </c>
      <c r="D156" s="30" t="inlineStr">
        <is>
          <t>chemicals</t>
        </is>
      </c>
      <c r="E156" s="30" t="inlineStr">
        <is>
          <t>largecap</t>
        </is>
      </c>
      <c r="F156" s="30" t="n">
        <v>23450.31</v>
      </c>
      <c r="G156" s="30" t="n">
        <v>1739.2</v>
      </c>
      <c r="H156" s="30" t="n">
        <v>-1.57</v>
      </c>
      <c r="I156" s="30" t="n">
        <v>318334</v>
      </c>
      <c r="J156" s="30" t="inlineStr">
        <is>
          <t>543534</t>
        </is>
      </c>
    </row>
    <row r="157">
      <c r="A157" s="30" t="inlineStr">
        <is>
          <t>MANKIND</t>
        </is>
      </c>
      <c r="B157" s="30" t="inlineStr">
        <is>
          <t>Mankind Pharma Ltd</t>
        </is>
      </c>
      <c r="C157" s="30" t="inlineStr">
        <is>
          <t>healthcare</t>
        </is>
      </c>
      <c r="D157" s="30" t="inlineStr">
        <is>
          <t>pharmaceuticals - indian - bulk drugs &amp; formln</t>
        </is>
      </c>
      <c r="E157" s="30" t="inlineStr">
        <is>
          <t>largecap</t>
        </is>
      </c>
      <c r="F157" s="30" t="n">
        <v>102212.37</v>
      </c>
      <c r="G157" s="30" t="n">
        <v>2435.6</v>
      </c>
      <c r="H157" s="30" t="n">
        <v>-1.59</v>
      </c>
      <c r="I157" s="30" t="n">
        <v>388832</v>
      </c>
      <c r="J157" s="30" t="inlineStr">
        <is>
          <t>543904</t>
        </is>
      </c>
    </row>
    <row r="158">
      <c r="A158" s="30" t="inlineStr">
        <is>
          <t>SVLL</t>
        </is>
      </c>
      <c r="B158" s="30" t="inlineStr">
        <is>
          <t>Shree Vasu Logistics Ltd</t>
        </is>
      </c>
      <c r="C158" s="30" t="inlineStr">
        <is>
          <t>transportation</t>
        </is>
      </c>
      <c r="D158" s="30" t="inlineStr">
        <is>
          <t>miscellaneous</t>
        </is>
      </c>
      <c r="E158" s="30" t="inlineStr">
        <is>
          <t>smallcap</t>
        </is>
      </c>
      <c r="F158" s="30" t="n">
        <v>959.38</v>
      </c>
      <c r="G158" s="30" t="n">
        <v>821.35</v>
      </c>
      <c r="H158" s="30" t="n">
        <v>-1.6</v>
      </c>
      <c r="I158" s="30" t="n">
        <v>1758</v>
      </c>
      <c r="J158" s="30" t="inlineStr">
        <is>
          <t>535084</t>
        </is>
      </c>
    </row>
    <row r="159">
      <c r="A159" s="30" t="inlineStr">
        <is>
          <t>SIGMAADV</t>
        </is>
      </c>
      <c r="B159" s="30" t="inlineStr">
        <is>
          <t>Sigma Advanced System Ltd</t>
        </is>
      </c>
      <c r="C159" s="30" t="inlineStr">
        <is>
          <t>aerospace &amp; defence</t>
        </is>
      </c>
      <c r="D159" s="30" t="inlineStr">
        <is>
          <t>electronics - components</t>
        </is>
      </c>
      <c r="E159" s="30" t="inlineStr">
        <is>
          <t>midcap</t>
        </is>
      </c>
      <c r="F159" s="30" t="n">
        <v>17926.34</v>
      </c>
      <c r="G159" s="30" t="n">
        <v>930.4</v>
      </c>
      <c r="H159" s="30" t="n">
        <v>-1.65</v>
      </c>
      <c r="I159" s="30" t="n">
        <v>304695</v>
      </c>
      <c r="J159" s="30" t="inlineStr">
        <is>
          <t>532408</t>
        </is>
      </c>
    </row>
    <row r="160">
      <c r="A160" s="30" t="inlineStr">
        <is>
          <t>GMMPFAUDLR</t>
        </is>
      </c>
      <c r="B160" s="30" t="inlineStr">
        <is>
          <t>GMM Pfaudler Ltd</t>
        </is>
      </c>
      <c r="C160" s="30" t="inlineStr">
        <is>
          <t>industrials</t>
        </is>
      </c>
      <c r="D160" s="30" t="inlineStr">
        <is>
          <t>engineering</t>
        </is>
      </c>
      <c r="E160" s="30" t="inlineStr">
        <is>
          <t>midcap</t>
        </is>
      </c>
      <c r="F160" s="30" t="n">
        <v>6766.96</v>
      </c>
      <c r="G160" s="30" t="n">
        <v>1480.1</v>
      </c>
      <c r="H160" s="30" t="n">
        <v>-1.67</v>
      </c>
      <c r="I160" s="30" t="n">
        <v>191005</v>
      </c>
      <c r="J160" s="30" t="inlineStr">
        <is>
          <t>505255</t>
        </is>
      </c>
    </row>
    <row r="161">
      <c r="A161" s="30" t="inlineStr">
        <is>
          <t>DEEPINDS</t>
        </is>
      </c>
      <c r="B161" s="30" t="inlineStr">
        <is>
          <t>Deep Industries Ltd</t>
        </is>
      </c>
      <c r="C161" s="30" t="inlineStr">
        <is>
          <t>energy</t>
        </is>
      </c>
      <c r="D161" s="30" t="inlineStr">
        <is>
          <t>oil drilling / allied services</t>
        </is>
      </c>
      <c r="E161" s="30" t="inlineStr">
        <is>
          <t>smallcap</t>
        </is>
      </c>
      <c r="F161" s="30" t="n">
        <v>4999.04</v>
      </c>
      <c r="G161" s="30" t="n">
        <v>768</v>
      </c>
      <c r="H161" s="30" t="n">
        <v>-1.68</v>
      </c>
      <c r="I161" s="30" t="n">
        <v>157606</v>
      </c>
      <c r="J161" s="30" t="inlineStr">
        <is>
          <t>543288</t>
        </is>
      </c>
    </row>
    <row r="162">
      <c r="A162" s="30" t="inlineStr">
        <is>
          <t>SHAREINDIA</t>
        </is>
      </c>
      <c r="B162" s="30" t="inlineStr">
        <is>
          <t>Share India Securities Ltd</t>
        </is>
      </c>
      <c r="C162" s="30" t="inlineStr">
        <is>
          <t>financials</t>
        </is>
      </c>
      <c r="D162" s="30" t="inlineStr">
        <is>
          <t>finance &amp; investments</t>
        </is>
      </c>
      <c r="E162" s="30" t="inlineStr">
        <is>
          <t>smallcap</t>
        </is>
      </c>
      <c r="F162" s="30" t="n">
        <v>4587.02</v>
      </c>
      <c r="G162" s="30" t="n">
        <v>206.1</v>
      </c>
      <c r="H162" s="30" t="n">
        <v>-1.68</v>
      </c>
      <c r="I162" s="30" t="n">
        <v>894901</v>
      </c>
      <c r="J162" s="30" t="inlineStr">
        <is>
          <t>540725</t>
        </is>
      </c>
    </row>
    <row r="163">
      <c r="A163" s="30" t="inlineStr">
        <is>
          <t>SPLPETRO</t>
        </is>
      </c>
      <c r="B163" s="30" t="inlineStr">
        <is>
          <t>Supreme Petrochem Ltd</t>
        </is>
      </c>
      <c r="C163" s="30" t="inlineStr">
        <is>
          <t>energy</t>
        </is>
      </c>
      <c r="D163" s="30" t="inlineStr">
        <is>
          <t>petrochemicals</t>
        </is>
      </c>
      <c r="E163" s="30" t="inlineStr">
        <is>
          <t>midcap</t>
        </is>
      </c>
      <c r="F163" s="30" t="n">
        <v>16547.64</v>
      </c>
      <c r="G163" s="30" t="n">
        <v>864.85</v>
      </c>
      <c r="H163" s="30" t="n">
        <v>-1.72</v>
      </c>
      <c r="I163" s="30" t="n">
        <v>90838</v>
      </c>
      <c r="J163" s="30" t="inlineStr">
        <is>
          <t>500405</t>
        </is>
      </c>
    </row>
    <row r="164">
      <c r="A164" s="30" t="inlineStr">
        <is>
          <t>MMP</t>
        </is>
      </c>
      <c r="B164" s="30" t="inlineStr">
        <is>
          <t>MMP Industries Ltd</t>
        </is>
      </c>
      <c r="C164" s="30" t="inlineStr">
        <is>
          <t>metals &amp; mining</t>
        </is>
      </c>
      <c r="D164" s="30" t="inlineStr">
        <is>
          <t>aluminium and aluminium products</t>
        </is>
      </c>
      <c r="E164" s="30" t="inlineStr">
        <is>
          <t>smallcap</t>
        </is>
      </c>
      <c r="F164" s="30" t="n">
        <v>1169.16</v>
      </c>
      <c r="G164" s="30" t="n">
        <v>452.25</v>
      </c>
      <c r="H164" s="30" t="n">
        <v>-1.74</v>
      </c>
      <c r="I164" s="30" t="n">
        <v>66556</v>
      </c>
      <c r="J164" s="30" t="inlineStr">
        <is>
          <t>535071</t>
        </is>
      </c>
    </row>
    <row r="165">
      <c r="A165" s="30" t="inlineStr">
        <is>
          <t>ENTERO</t>
        </is>
      </c>
      <c r="B165" s="30" t="inlineStr">
        <is>
          <t>Entero Healthcare Solutions Ltd</t>
        </is>
      </c>
      <c r="C165" s="30" t="inlineStr">
        <is>
          <t>healthcare</t>
        </is>
      </c>
      <c r="D165" s="30" t="inlineStr">
        <is>
          <t>trading</t>
        </is>
      </c>
      <c r="E165" s="30" t="inlineStr">
        <is>
          <t>midcap</t>
        </is>
      </c>
      <c r="F165" s="30" t="n">
        <v>7929.03</v>
      </c>
      <c r="G165" s="30" t="n">
        <v>1790.1</v>
      </c>
      <c r="H165" s="30" t="n">
        <v>-1.74</v>
      </c>
      <c r="I165" s="30" t="n">
        <v>183547</v>
      </c>
      <c r="J165" s="30" t="inlineStr">
        <is>
          <t>544122</t>
        </is>
      </c>
    </row>
    <row r="166">
      <c r="A166" s="30" t="inlineStr">
        <is>
          <t>JYOTICNC</t>
        </is>
      </c>
      <c r="B166" s="30" t="inlineStr">
        <is>
          <t>Jyoti CNC Automation Ltd</t>
        </is>
      </c>
      <c r="C166" s="30" t="inlineStr">
        <is>
          <t>industrials</t>
        </is>
      </c>
      <c r="D166" s="30" t="inlineStr">
        <is>
          <t>engineering</t>
        </is>
      </c>
      <c r="E166" s="30" t="inlineStr">
        <is>
          <t>largecap</t>
        </is>
      </c>
      <c r="F166" s="30" t="n">
        <v>24222.83</v>
      </c>
      <c r="G166" s="30" t="n">
        <v>1046.1</v>
      </c>
      <c r="H166" s="30" t="n">
        <v>-1.78</v>
      </c>
      <c r="I166" s="30" t="n">
        <v>1202568</v>
      </c>
      <c r="J166" s="30" t="inlineStr">
        <is>
          <t>544081</t>
        </is>
      </c>
    </row>
    <row r="167">
      <c r="A167" s="30" t="inlineStr">
        <is>
          <t>SHREEPUSHK</t>
        </is>
      </c>
      <c r="B167" s="30" t="inlineStr">
        <is>
          <t>Shree Pushkar Chemicals &amp; Fertilisers Limited</t>
        </is>
      </c>
      <c r="C167" s="30" t="inlineStr">
        <is>
          <t>chemicals</t>
        </is>
      </c>
      <c r="D167" s="30" t="inlineStr">
        <is>
          <t>dyes and pigments</t>
        </is>
      </c>
      <c r="E167" s="30" t="inlineStr">
        <is>
          <t>smallcap</t>
        </is>
      </c>
      <c r="F167" s="30" t="n">
        <v>1636.45</v>
      </c>
      <c r="G167" s="30" t="n">
        <v>496.85</v>
      </c>
      <c r="H167" s="30" t="n">
        <v>-1.82</v>
      </c>
      <c r="I167" s="30" t="n">
        <v>33403</v>
      </c>
      <c r="J167" s="30" t="inlineStr">
        <is>
          <t>539334</t>
        </is>
      </c>
    </row>
    <row r="168">
      <c r="A168" s="30" t="inlineStr">
        <is>
          <t>TATVA</t>
        </is>
      </c>
      <c r="B168" s="30" t="inlineStr">
        <is>
          <t>Tatva Chintan Pharma Chem Ltd</t>
        </is>
      </c>
      <c r="C168" s="30" t="inlineStr">
        <is>
          <t>chemicals</t>
        </is>
      </c>
      <c r="D168" s="30" t="inlineStr">
        <is>
          <t>chemicals</t>
        </is>
      </c>
      <c r="E168" s="30" t="inlineStr">
        <is>
          <t>smallcap</t>
        </is>
      </c>
      <c r="F168" s="30" t="n">
        <v>4194.66</v>
      </c>
      <c r="G168" s="30" t="n">
        <v>1760.2</v>
      </c>
      <c r="H168" s="30" t="n">
        <v>-1.84</v>
      </c>
      <c r="I168" s="30" t="n">
        <v>210374</v>
      </c>
      <c r="J168" s="30" t="inlineStr">
        <is>
          <t>543321</t>
        </is>
      </c>
    </row>
    <row r="169">
      <c r="A169" s="30" t="inlineStr">
        <is>
          <t>GREAVESCOT</t>
        </is>
      </c>
      <c r="B169" s="30" t="inlineStr">
        <is>
          <t>Greaves Cotton Limited</t>
        </is>
      </c>
      <c r="C169" s="30" t="inlineStr">
        <is>
          <t>industrials</t>
        </is>
      </c>
      <c r="D169" s="30" t="inlineStr">
        <is>
          <t>engines</t>
        </is>
      </c>
      <c r="E169" s="30" t="inlineStr">
        <is>
          <t>midcap</t>
        </is>
      </c>
      <c r="F169" s="30" t="n">
        <v>5469.23</v>
      </c>
      <c r="G169" s="30" t="n">
        <v>230.4</v>
      </c>
      <c r="H169" s="30" t="n">
        <v>-1.87</v>
      </c>
      <c r="I169" s="30" t="n">
        <v>2537265</v>
      </c>
      <c r="J169" s="30" t="inlineStr">
        <is>
          <t>501455</t>
        </is>
      </c>
    </row>
    <row r="170">
      <c r="A170" s="30" t="inlineStr">
        <is>
          <t>YATHARTH</t>
        </is>
      </c>
      <c r="B170" s="30" t="inlineStr">
        <is>
          <t>Yatharth Hospital &amp; Trauma Care Services Ltd</t>
        </is>
      </c>
      <c r="C170" s="30" t="inlineStr">
        <is>
          <t>healthcare</t>
        </is>
      </c>
      <c r="D170" s="30" t="inlineStr">
        <is>
          <t>healthcare</t>
        </is>
      </c>
      <c r="E170" s="30" t="inlineStr">
        <is>
          <t>midcap</t>
        </is>
      </c>
      <c r="F170" s="30" t="n">
        <v>10805.18</v>
      </c>
      <c r="G170" s="30" t="n">
        <v>1100.4</v>
      </c>
      <c r="H170" s="30" t="n">
        <v>-1.87</v>
      </c>
      <c r="I170" s="30" t="n">
        <v>325159</v>
      </c>
      <c r="J170" s="30" t="inlineStr">
        <is>
          <t>543950</t>
        </is>
      </c>
    </row>
    <row r="171">
      <c r="A171" s="30" t="inlineStr">
        <is>
          <t>ANDHRAPAP</t>
        </is>
      </c>
      <c r="B171" s="30" t="inlineStr">
        <is>
          <t>Andhra Paper Ltd</t>
        </is>
      </c>
      <c r="C171" s="30" t="inlineStr">
        <is>
          <t>building materials</t>
        </is>
      </c>
      <c r="D171" s="30" t="inlineStr">
        <is>
          <t>paper</t>
        </is>
      </c>
      <c r="E171" s="30" t="inlineStr">
        <is>
          <t>smallcap</t>
        </is>
      </c>
      <c r="F171" s="30" t="n">
        <v>1472.49</v>
      </c>
      <c r="G171" s="30" t="n">
        <v>72.62</v>
      </c>
      <c r="H171" s="30" t="n">
        <v>-1.93</v>
      </c>
      <c r="I171" s="30" t="n">
        <v>261464</v>
      </c>
      <c r="J171" s="30" t="inlineStr">
        <is>
          <t>502330</t>
        </is>
      </c>
    </row>
    <row r="172">
      <c r="A172" s="30" t="inlineStr">
        <is>
          <t>IGPL</t>
        </is>
      </c>
      <c r="B172" s="30" t="inlineStr">
        <is>
          <t>Ig Petrochemicals Limited</t>
        </is>
      </c>
      <c r="C172" s="30" t="inlineStr">
        <is>
          <t>chemicals</t>
        </is>
      </c>
      <c r="D172" s="30" t="inlineStr">
        <is>
          <t>chemicals</t>
        </is>
      </c>
      <c r="E172" s="30" t="inlineStr">
        <is>
          <t>smallcap</t>
        </is>
      </c>
      <c r="F172" s="30" t="n">
        <v>1826.6</v>
      </c>
      <c r="G172" s="30" t="n">
        <v>581.55</v>
      </c>
      <c r="H172" s="30" t="n">
        <v>-1.96</v>
      </c>
      <c r="I172" s="30" t="n">
        <v>48549</v>
      </c>
      <c r="J172" s="30" t="inlineStr">
        <is>
          <t>500199</t>
        </is>
      </c>
    </row>
    <row r="173">
      <c r="A173" s="30" t="inlineStr">
        <is>
          <t>WELINV</t>
        </is>
      </c>
      <c r="B173" s="30" t="inlineStr">
        <is>
          <t>Welspun Investments And Commercials Limited</t>
        </is>
      </c>
      <c r="C173" s="30" t="inlineStr">
        <is>
          <t>financials</t>
        </is>
      </c>
      <c r="D173" s="30" t="inlineStr">
        <is>
          <t>finance &amp; investments</t>
        </is>
      </c>
      <c r="E173" s="30" t="inlineStr">
        <is>
          <t>smallcap</t>
        </is>
      </c>
      <c r="F173" s="30" t="n">
        <v>913.58</v>
      </c>
      <c r="G173" s="30" t="n">
        <v>2451</v>
      </c>
      <c r="H173" s="30" t="n">
        <v>-1.96</v>
      </c>
      <c r="I173" s="30" t="n">
        <v>99</v>
      </c>
      <c r="J173" s="30" t="inlineStr">
        <is>
          <t>533252</t>
        </is>
      </c>
    </row>
    <row r="174">
      <c r="A174" s="30" t="inlineStr">
        <is>
          <t>TIRUPATIFL</t>
        </is>
      </c>
      <c r="B174" s="30" t="inlineStr">
        <is>
          <t>Tirupati Forge Ltd</t>
        </is>
      </c>
      <c r="C174" s="30" t="inlineStr">
        <is>
          <t>castings, forgings &amp; fasteners</t>
        </is>
      </c>
      <c r="D174" s="30" t="inlineStr">
        <is>
          <t>castings &amp; forgings</t>
        </is>
      </c>
      <c r="E174" s="30" t="inlineStr">
        <is>
          <t>smallcap</t>
        </is>
      </c>
      <c r="F174" s="30" t="n">
        <v>1017.95</v>
      </c>
      <c r="G174" s="30" t="n">
        <v>76.72</v>
      </c>
      <c r="H174" s="30" t="n">
        <v>-1.99</v>
      </c>
      <c r="I174" s="30" t="n">
        <v>79804</v>
      </c>
      <c r="J174" s="30" t="inlineStr">
        <is>
          <t>535021</t>
        </is>
      </c>
    </row>
    <row r="175">
      <c r="A175" s="30" t="inlineStr">
        <is>
          <t>NRL</t>
        </is>
      </c>
      <c r="B175" s="30" t="inlineStr">
        <is>
          <t>Nupur Recyclers Ltd</t>
        </is>
      </c>
      <c r="C175" s="30" t="inlineStr">
        <is>
          <t>services</t>
        </is>
      </c>
      <c r="D175" s="30" t="inlineStr">
        <is>
          <t>trading</t>
        </is>
      </c>
      <c r="E175" s="30" t="inlineStr">
        <is>
          <t>smallcap</t>
        </is>
      </c>
      <c r="F175" s="30" t="n">
        <v>1116.85</v>
      </c>
      <c r="G175" s="30" t="n">
        <v>158.47</v>
      </c>
      <c r="H175" s="30" t="n">
        <v>-2</v>
      </c>
      <c r="I175" s="30" t="n">
        <v>25179</v>
      </c>
      <c r="J175" s="30" t="inlineStr">
        <is>
          <t>535413</t>
        </is>
      </c>
    </row>
    <row r="176">
      <c r="A176" s="30" t="inlineStr">
        <is>
          <t>TEXRAIL</t>
        </is>
      </c>
      <c r="B176" s="30" t="inlineStr">
        <is>
          <t>Texmaco Rail &amp; Engineering Limited</t>
        </is>
      </c>
      <c r="C176" s="30" t="inlineStr">
        <is>
          <t>industrials</t>
        </is>
      </c>
      <c r="D176" s="30" t="inlineStr">
        <is>
          <t>engineering</t>
        </is>
      </c>
      <c r="E176" s="30" t="inlineStr">
        <is>
          <t>midcap</t>
        </is>
      </c>
      <c r="F176" s="30" t="n">
        <v>5113.07</v>
      </c>
      <c r="G176" s="30" t="n">
        <v>123.14</v>
      </c>
      <c r="H176" s="30" t="n">
        <v>-2.01</v>
      </c>
      <c r="I176" s="30" t="n">
        <v>2140844</v>
      </c>
      <c r="J176" s="30" t="inlineStr">
        <is>
          <t>533326</t>
        </is>
      </c>
    </row>
    <row r="177">
      <c r="A177" s="30" t="inlineStr">
        <is>
          <t>INDNIPPON</t>
        </is>
      </c>
      <c r="B177" s="30" t="inlineStr">
        <is>
          <t>India Nippon Electricals Limited</t>
        </is>
      </c>
      <c r="C177" s="30" t="inlineStr">
        <is>
          <t>auto</t>
        </is>
      </c>
      <c r="D177" s="30" t="inlineStr">
        <is>
          <t>auto ancillaries</t>
        </is>
      </c>
      <c r="E177" s="30" t="inlineStr">
        <is>
          <t>smallcap</t>
        </is>
      </c>
      <c r="F177" s="30" t="n">
        <v>2981.96</v>
      </c>
      <c r="G177" s="30" t="n">
        <v>1290.6</v>
      </c>
      <c r="H177" s="30" t="n">
        <v>-2.09</v>
      </c>
      <c r="I177" s="30" t="n">
        <v>41621</v>
      </c>
      <c r="J177" s="30" t="inlineStr">
        <is>
          <t>532240</t>
        </is>
      </c>
    </row>
    <row r="178">
      <c r="A178" s="30" t="inlineStr">
        <is>
          <t>SHRIPISTON</t>
        </is>
      </c>
      <c r="B178" s="30" t="inlineStr">
        <is>
          <t>Shriram Pistons &amp; Rings Limited</t>
        </is>
      </c>
      <c r="C178" s="30" t="inlineStr">
        <is>
          <t>auto</t>
        </is>
      </c>
      <c r="D178" s="30" t="inlineStr">
        <is>
          <t>auto ancillaries</t>
        </is>
      </c>
      <c r="E178" s="30" t="inlineStr">
        <is>
          <t>largecap</t>
        </is>
      </c>
      <c r="F178" s="30" t="n">
        <v>22018.64</v>
      </c>
      <c r="G178" s="30" t="n">
        <v>4645.3</v>
      </c>
      <c r="H178" s="30" t="n">
        <v>-2.14</v>
      </c>
      <c r="I178" s="30" t="n">
        <v>132283</v>
      </c>
      <c r="J178" s="30" t="n"/>
    </row>
    <row r="179">
      <c r="A179" s="30" t="inlineStr">
        <is>
          <t>VINCOFE</t>
        </is>
      </c>
      <c r="B179" s="30" t="inlineStr">
        <is>
          <t>Vintage Coffee &amp; Beverages Ltd</t>
        </is>
      </c>
      <c r="C179" s="30" t="inlineStr">
        <is>
          <t>consumer discretionary</t>
        </is>
      </c>
      <c r="D179" s="30" t="inlineStr">
        <is>
          <t>trading</t>
        </is>
      </c>
      <c r="E179" s="30" t="inlineStr">
        <is>
          <t>smallcap</t>
        </is>
      </c>
      <c r="F179" s="30" t="n">
        <v>2682.85</v>
      </c>
      <c r="G179" s="30" t="n">
        <v>179.97</v>
      </c>
      <c r="H179" s="30" t="n">
        <v>-2.27</v>
      </c>
      <c r="I179" s="30" t="n">
        <v>872679</v>
      </c>
      <c r="J179" s="30" t="inlineStr">
        <is>
          <t>538920</t>
        </is>
      </c>
    </row>
    <row r="180">
      <c r="A180" s="30" t="inlineStr">
        <is>
          <t>KOPRAN</t>
        </is>
      </c>
      <c r="B180" s="30" t="inlineStr">
        <is>
          <t>Kopran Limited</t>
        </is>
      </c>
      <c r="C180" s="30" t="inlineStr">
        <is>
          <t>healthcare</t>
        </is>
      </c>
      <c r="D180" s="30" t="inlineStr">
        <is>
          <t>pharmaceuticals - indian - bulk drugs &amp; formln</t>
        </is>
      </c>
      <c r="E180" s="30" t="inlineStr">
        <is>
          <t>smallcap</t>
        </is>
      </c>
      <c r="F180" s="30" t="n">
        <v>1373.87</v>
      </c>
      <c r="G180" s="30" t="n">
        <v>277.97</v>
      </c>
      <c r="H180" s="30" t="n">
        <v>-2.31</v>
      </c>
      <c r="I180" s="30" t="n">
        <v>1132745</v>
      </c>
      <c r="J180" s="30" t="inlineStr">
        <is>
          <t>524280</t>
        </is>
      </c>
    </row>
    <row r="181">
      <c r="A181" s="30" t="inlineStr">
        <is>
          <t>AKUMS</t>
        </is>
      </c>
      <c r="B181" s="30" t="inlineStr">
        <is>
          <t>Akums Drugs &amp; Pharmaceuticals Ltd</t>
        </is>
      </c>
      <c r="C181" s="30" t="inlineStr">
        <is>
          <t>healthcare</t>
        </is>
      </c>
      <c r="D181" s="30" t="inlineStr">
        <is>
          <t>pharmaceuticals - indian - bulk drugs &amp; formln</t>
        </is>
      </c>
      <c r="E181" s="30" t="inlineStr">
        <is>
          <t>midcap</t>
        </is>
      </c>
      <c r="F181" s="30" t="n">
        <v>12899.22</v>
      </c>
      <c r="G181" s="30" t="n">
        <v>799.95</v>
      </c>
      <c r="H181" s="30" t="n">
        <v>-2.39</v>
      </c>
      <c r="I181" s="30" t="n">
        <v>157385</v>
      </c>
      <c r="J181" s="30" t="inlineStr">
        <is>
          <t>544222</t>
        </is>
      </c>
    </row>
    <row r="182">
      <c r="A182" s="30" t="inlineStr">
        <is>
          <t>CARBORUNIV</t>
        </is>
      </c>
      <c r="B182" s="30" t="inlineStr">
        <is>
          <t>Carborundum Universal Limited</t>
        </is>
      </c>
      <c r="C182" s="30" t="inlineStr">
        <is>
          <t>industrials</t>
        </is>
      </c>
      <c r="D182" s="30" t="inlineStr">
        <is>
          <t>abrasives and grinding wheels</t>
        </is>
      </c>
      <c r="E182" s="30" t="inlineStr">
        <is>
          <t>largecap</t>
        </is>
      </c>
      <c r="F182" s="30" t="n">
        <v>24354.59</v>
      </c>
      <c r="G182" s="30" t="n">
        <v>1247.8</v>
      </c>
      <c r="H182" s="30" t="n">
        <v>-2.4</v>
      </c>
      <c r="I182" s="30" t="n">
        <v>234625</v>
      </c>
      <c r="J182" s="30" t="inlineStr">
        <is>
          <t>513375</t>
        </is>
      </c>
    </row>
    <row r="183">
      <c r="A183" s="30" t="inlineStr">
        <is>
          <t>PGIL</t>
        </is>
      </c>
      <c r="B183" s="30" t="inlineStr">
        <is>
          <t>Pearl Global Industries Limited</t>
        </is>
      </c>
      <c r="C183" s="30" t="inlineStr">
        <is>
          <t>readymade garments/apparels</t>
        </is>
      </c>
      <c r="D183" s="30" t="inlineStr">
        <is>
          <t>textiles - products</t>
        </is>
      </c>
      <c r="E183" s="30" t="inlineStr">
        <is>
          <t>midcap</t>
        </is>
      </c>
      <c r="F183" s="30" t="n">
        <v>12278.37</v>
      </c>
      <c r="G183" s="30" t="n">
        <v>1296.1</v>
      </c>
      <c r="H183" s="30" t="n">
        <v>-2.48</v>
      </c>
      <c r="I183" s="30" t="n">
        <v>208612</v>
      </c>
      <c r="J183" s="30" t="inlineStr">
        <is>
          <t>532808</t>
        </is>
      </c>
    </row>
    <row r="184">
      <c r="A184" s="30" t="inlineStr">
        <is>
          <t>MAWANASUG</t>
        </is>
      </c>
      <c r="B184" s="30" t="inlineStr">
        <is>
          <t>Mawana Sugars Limited</t>
        </is>
      </c>
      <c r="C184" s="30" t="inlineStr">
        <is>
          <t>fmcg</t>
        </is>
      </c>
      <c r="D184" s="30" t="inlineStr">
        <is>
          <t>sugar</t>
        </is>
      </c>
      <c r="E184" s="30" t="inlineStr">
        <is>
          <t>smallcap</t>
        </is>
      </c>
      <c r="F184" s="30" t="n">
        <v>585.34</v>
      </c>
      <c r="G184" s="30" t="n">
        <v>145.9</v>
      </c>
      <c r="H184" s="30" t="n">
        <v>-2.5</v>
      </c>
      <c r="I184" s="30" t="n">
        <v>798917</v>
      </c>
      <c r="J184" s="30" t="inlineStr">
        <is>
          <t>523371</t>
        </is>
      </c>
    </row>
    <row r="185">
      <c r="A185" s="30" t="inlineStr">
        <is>
          <t>RGL</t>
        </is>
      </c>
      <c r="B185" s="30" t="inlineStr">
        <is>
          <t>Renaissance Global Ltd</t>
        </is>
      </c>
      <c r="C185" s="30" t="inlineStr">
        <is>
          <t>consumer discretionary</t>
        </is>
      </c>
      <c r="D185" s="30" t="inlineStr">
        <is>
          <t>diamond cutting / jewellery</t>
        </is>
      </c>
      <c r="E185" s="30" t="inlineStr">
        <is>
          <t>smallcap</t>
        </is>
      </c>
      <c r="F185" s="30" t="n">
        <v>1798.1</v>
      </c>
      <c r="G185" s="30" t="n">
        <v>163.23</v>
      </c>
      <c r="H185" s="30" t="n">
        <v>-2.53</v>
      </c>
      <c r="I185" s="30" t="n">
        <v>337478</v>
      </c>
      <c r="J185" s="30" t="inlineStr">
        <is>
          <t>532923</t>
        </is>
      </c>
    </row>
    <row r="186">
      <c r="A186" s="30" t="inlineStr">
        <is>
          <t>SOUTHBANK</t>
        </is>
      </c>
      <c r="B186" s="30" t="inlineStr">
        <is>
          <t>The South Indian Bank Limited</t>
        </is>
      </c>
      <c r="C186" s="30" t="inlineStr">
        <is>
          <t>bank</t>
        </is>
      </c>
      <c r="D186" s="30" t="inlineStr">
        <is>
          <t>banks - private sector</t>
        </is>
      </c>
      <c r="E186" s="30" t="inlineStr">
        <is>
          <t>midcap</t>
        </is>
      </c>
      <c r="F186" s="30" t="n">
        <v>13077.24</v>
      </c>
      <c r="G186" s="30" t="n">
        <v>48.64</v>
      </c>
      <c r="H186" s="30" t="n">
        <v>-2.62</v>
      </c>
      <c r="I186" s="30" t="n">
        <v>15576178</v>
      </c>
      <c r="J186" s="30" t="inlineStr">
        <is>
          <t>532218</t>
        </is>
      </c>
    </row>
    <row r="187">
      <c r="A187" s="30" t="inlineStr">
        <is>
          <t>LLOYDSENGG</t>
        </is>
      </c>
      <c r="B187" s="30" t="inlineStr">
        <is>
          <t>Lloyds Engineering Works Ltd</t>
        </is>
      </c>
      <c r="C187" s="30" t="inlineStr">
        <is>
          <t>industrials</t>
        </is>
      </c>
      <c r="D187" s="30" t="inlineStr">
        <is>
          <t>engineering</t>
        </is>
      </c>
      <c r="E187" s="30" t="inlineStr">
        <is>
          <t>midcap</t>
        </is>
      </c>
      <c r="F187" s="30" t="n">
        <v>15287.04</v>
      </c>
      <c r="G187" s="30" t="n">
        <v>95.97</v>
      </c>
      <c r="H187" s="30" t="n">
        <v>-2.63</v>
      </c>
      <c r="I187" s="30" t="n">
        <v>19001411</v>
      </c>
      <c r="J187" s="30" t="inlineStr">
        <is>
          <t>539992</t>
        </is>
      </c>
    </row>
    <row r="188">
      <c r="A188" s="30" t="inlineStr">
        <is>
          <t>GRAPHITE</t>
        </is>
      </c>
      <c r="B188" s="30" t="inlineStr">
        <is>
          <t>Graphite India Limited</t>
        </is>
      </c>
      <c r="C188" s="30" t="inlineStr">
        <is>
          <t>industrials</t>
        </is>
      </c>
      <c r="D188" s="30" t="inlineStr">
        <is>
          <t>electrodes - graphites</t>
        </is>
      </c>
      <c r="E188" s="30" t="inlineStr">
        <is>
          <t>midcap</t>
        </is>
      </c>
      <c r="F188" s="30" t="n">
        <v>16034.48</v>
      </c>
      <c r="G188" s="30" t="n">
        <v>799</v>
      </c>
      <c r="H188" s="30" t="n">
        <v>-2.64</v>
      </c>
      <c r="I188" s="30" t="n">
        <v>1013536</v>
      </c>
      <c r="J188" s="30" t="inlineStr">
        <is>
          <t>509488</t>
        </is>
      </c>
    </row>
    <row r="189">
      <c r="A189" s="30" t="inlineStr">
        <is>
          <t>PREMIERPOL</t>
        </is>
      </c>
      <c r="B189" s="30" t="inlineStr">
        <is>
          <t>Premier Polyfilm Limited</t>
        </is>
      </c>
      <c r="C189" s="30" t="inlineStr">
        <is>
          <t>plastic products</t>
        </is>
      </c>
      <c r="D189" s="30" t="inlineStr">
        <is>
          <t>plastics products</t>
        </is>
      </c>
      <c r="E189" s="30" t="inlineStr">
        <is>
          <t>smallcap</t>
        </is>
      </c>
      <c r="F189" s="30" t="n">
        <v>999.24</v>
      </c>
      <c r="G189" s="30" t="n">
        <v>92.81</v>
      </c>
      <c r="H189" s="30" t="n">
        <v>-2.71</v>
      </c>
      <c r="I189" s="30" t="n">
        <v>300547</v>
      </c>
      <c r="J189" s="30" t="inlineStr">
        <is>
          <t>514354</t>
        </is>
      </c>
    </row>
    <row r="190">
      <c r="A190" s="30" t="inlineStr">
        <is>
          <t>SMSPHARMA</t>
        </is>
      </c>
      <c r="B190" s="30" t="inlineStr">
        <is>
          <t>Sms Pharmaceuticals Limited</t>
        </is>
      </c>
      <c r="C190" s="30" t="inlineStr">
        <is>
          <t>healthcare</t>
        </is>
      </c>
      <c r="D190" s="30" t="inlineStr">
        <is>
          <t>pharmaceuticals - indian - bulk drugs</t>
        </is>
      </c>
      <c r="E190" s="30" t="inlineStr">
        <is>
          <t>smallcap</t>
        </is>
      </c>
      <c r="F190" s="30" t="n">
        <v>4448.47</v>
      </c>
      <c r="G190" s="30" t="n">
        <v>462.15</v>
      </c>
      <c r="H190" s="30" t="n">
        <v>-2.71</v>
      </c>
      <c r="I190" s="30" t="n">
        <v>387779</v>
      </c>
      <c r="J190" s="30" t="inlineStr">
        <is>
          <t>532815</t>
        </is>
      </c>
    </row>
    <row r="191">
      <c r="A191" s="30" t="inlineStr">
        <is>
          <t>AARTIPHARM</t>
        </is>
      </c>
      <c r="B191" s="30" t="inlineStr">
        <is>
          <t>Aarti Pharmalabs Ltd</t>
        </is>
      </c>
      <c r="C191" s="30" t="inlineStr">
        <is>
          <t>healthcare</t>
        </is>
      </c>
      <c r="D191" s="30" t="inlineStr">
        <is>
          <t>pharmaceuticals - indian - bulk drugs &amp; formln</t>
        </is>
      </c>
      <c r="E191" s="30" t="inlineStr">
        <is>
          <t>midcap</t>
        </is>
      </c>
      <c r="F191" s="30" t="n">
        <v>8519.82</v>
      </c>
      <c r="G191" s="30" t="n">
        <v>914</v>
      </c>
      <c r="H191" s="30" t="n">
        <v>-2.72</v>
      </c>
      <c r="I191" s="30" t="n">
        <v>528118</v>
      </c>
      <c r="J191" s="30" t="inlineStr">
        <is>
          <t>543748</t>
        </is>
      </c>
    </row>
    <row r="192">
      <c r="A192" s="30" t="inlineStr">
        <is>
          <t>UGARSUGAR</t>
        </is>
      </c>
      <c r="B192" s="30" t="inlineStr">
        <is>
          <t>The Ugar Sugar Works Limited</t>
        </is>
      </c>
      <c r="C192" s="30" t="inlineStr">
        <is>
          <t>fmcg</t>
        </is>
      </c>
      <c r="D192" s="30" t="inlineStr">
        <is>
          <t>sugar</t>
        </is>
      </c>
      <c r="E192" s="30" t="inlineStr">
        <is>
          <t>smallcap</t>
        </is>
      </c>
      <c r="F192" s="30" t="n">
        <v>720.34</v>
      </c>
      <c r="G192" s="30" t="n">
        <v>62.29</v>
      </c>
      <c r="H192" s="30" t="n">
        <v>-2.72</v>
      </c>
      <c r="I192" s="30" t="n">
        <v>3580364</v>
      </c>
      <c r="J192" s="30" t="inlineStr">
        <is>
          <t>530363</t>
        </is>
      </c>
    </row>
    <row r="193">
      <c r="A193" s="30" t="inlineStr">
        <is>
          <t>KROSS</t>
        </is>
      </c>
      <c r="B193" s="30" t="inlineStr">
        <is>
          <t>Kross Ltd</t>
        </is>
      </c>
      <c r="C193" s="30" t="inlineStr">
        <is>
          <t>auto</t>
        </is>
      </c>
      <c r="D193" s="30" t="inlineStr">
        <is>
          <t>auto ancillaries</t>
        </is>
      </c>
      <c r="E193" s="30" t="inlineStr">
        <is>
          <t>smallcap</t>
        </is>
      </c>
      <c r="F193" s="30" t="n">
        <v>1728.01</v>
      </c>
      <c r="G193" s="30" t="n">
        <v>260.23</v>
      </c>
      <c r="H193" s="30" t="n">
        <v>-2.85</v>
      </c>
      <c r="I193" s="30" t="n">
        <v>518981</v>
      </c>
      <c r="J193" s="30" t="inlineStr">
        <is>
          <t>544253</t>
        </is>
      </c>
    </row>
    <row r="194">
      <c r="A194" s="30" t="inlineStr">
        <is>
          <t>TCPLPACK</t>
        </is>
      </c>
      <c r="B194" s="30" t="inlineStr">
        <is>
          <t>TCPL Packaging Ltd</t>
        </is>
      </c>
      <c r="C194" s="30" t="inlineStr">
        <is>
          <t>industrials</t>
        </is>
      </c>
      <c r="D194" s="30" t="inlineStr">
        <is>
          <t>packaging</t>
        </is>
      </c>
      <c r="E194" s="30" t="inlineStr">
        <is>
          <t>smallcap</t>
        </is>
      </c>
      <c r="F194" s="30" t="n">
        <v>3737.19</v>
      </c>
      <c r="G194" s="30" t="n">
        <v>3987.8</v>
      </c>
      <c r="H194" s="30" t="n">
        <v>-2.9</v>
      </c>
      <c r="I194" s="30" t="n">
        <v>6403</v>
      </c>
      <c r="J194" s="30" t="inlineStr">
        <is>
          <t>523301</t>
        </is>
      </c>
    </row>
    <row r="195">
      <c r="A195" s="30" t="inlineStr">
        <is>
          <t>ORIENTBELL</t>
        </is>
      </c>
      <c r="B195" s="30" t="inlineStr">
        <is>
          <t>Orient Bell Limited</t>
        </is>
      </c>
      <c r="C195" s="30" t="inlineStr">
        <is>
          <t>building materials</t>
        </is>
      </c>
      <c r="D195" s="30" t="inlineStr">
        <is>
          <t>ceramics - tiles / sanitaryware</t>
        </is>
      </c>
      <c r="E195" s="30" t="inlineStr">
        <is>
          <t>smallcap</t>
        </is>
      </c>
      <c r="F195" s="30" t="n">
        <v>599.53</v>
      </c>
      <c r="G195" s="30" t="n">
        <v>395.7</v>
      </c>
      <c r="H195" s="30" t="n">
        <v>-2.91</v>
      </c>
      <c r="I195" s="30" t="n">
        <v>20723</v>
      </c>
      <c r="J195" s="30" t="inlineStr">
        <is>
          <t>530365</t>
        </is>
      </c>
    </row>
    <row r="196">
      <c r="A196" s="30" t="inlineStr">
        <is>
          <t>QUADFUTURE</t>
        </is>
      </c>
      <c r="B196" s="30" t="inlineStr">
        <is>
          <t>Quadrant Future Tek Ltd</t>
        </is>
      </c>
      <c r="C196" s="30" t="inlineStr">
        <is>
          <t>industrials</t>
        </is>
      </c>
      <c r="D196" s="30" t="inlineStr">
        <is>
          <t>cables - power</t>
        </is>
      </c>
      <c r="E196" s="30" t="inlineStr">
        <is>
          <t>smallcap</t>
        </is>
      </c>
      <c r="F196" s="30" t="n">
        <v>2190</v>
      </c>
      <c r="G196" s="30" t="n">
        <v>531.5</v>
      </c>
      <c r="H196" s="30" t="n">
        <v>-2.92</v>
      </c>
      <c r="I196" s="30" t="n">
        <v>1323802</v>
      </c>
      <c r="J196" s="30" t="inlineStr">
        <is>
          <t>544336</t>
        </is>
      </c>
    </row>
    <row r="197">
      <c r="A197" s="30" t="inlineStr">
        <is>
          <t>UNIMECH</t>
        </is>
      </c>
      <c r="B197" s="30" t="inlineStr">
        <is>
          <t>Unimech Aerospace and Manufacturing Ltd</t>
        </is>
      </c>
      <c r="C197" s="30" t="inlineStr">
        <is>
          <t>aerospace &amp; defence</t>
        </is>
      </c>
      <c r="D197" s="30" t="inlineStr">
        <is>
          <t>engineering</t>
        </is>
      </c>
      <c r="E197" s="30" t="inlineStr">
        <is>
          <t>midcap</t>
        </is>
      </c>
      <c r="F197" s="30" t="n">
        <v>8468.18</v>
      </c>
      <c r="G197" s="30" t="n">
        <v>1616.2</v>
      </c>
      <c r="H197" s="30" t="n">
        <v>-2.94</v>
      </c>
      <c r="I197" s="30" t="n">
        <v>154746</v>
      </c>
      <c r="J197" s="30" t="inlineStr">
        <is>
          <t>544322</t>
        </is>
      </c>
    </row>
    <row r="198">
      <c r="A198" s="30" t="inlineStr">
        <is>
          <t>AJAXENGG</t>
        </is>
      </c>
      <c r="B198" s="30" t="inlineStr">
        <is>
          <t>Ajax Engineering Ltd</t>
        </is>
      </c>
      <c r="C198" s="30" t="inlineStr">
        <is>
          <t>industrials</t>
        </is>
      </c>
      <c r="D198" s="30" t="inlineStr">
        <is>
          <t>engineering</t>
        </is>
      </c>
      <c r="E198" s="30" t="inlineStr">
        <is>
          <t>midcap</t>
        </is>
      </c>
      <c r="F198" s="30" t="n">
        <v>6953.07</v>
      </c>
      <c r="G198" s="30" t="n">
        <v>589.9</v>
      </c>
      <c r="H198" s="30" t="n">
        <v>-2.94</v>
      </c>
      <c r="I198" s="30" t="n">
        <v>174202</v>
      </c>
      <c r="J198" s="30" t="inlineStr">
        <is>
          <t>544356</t>
        </is>
      </c>
    </row>
    <row r="199">
      <c r="A199" s="30" t="inlineStr">
        <is>
          <t>DICIND</t>
        </is>
      </c>
      <c r="B199" s="30" t="inlineStr">
        <is>
          <t>Dic India Limited</t>
        </is>
      </c>
      <c r="C199" s="30" t="inlineStr">
        <is>
          <t>chemicals</t>
        </is>
      </c>
      <c r="D199" s="30" t="inlineStr">
        <is>
          <t>chemicals</t>
        </is>
      </c>
      <c r="E199" s="30" t="inlineStr">
        <is>
          <t>smallcap</t>
        </is>
      </c>
      <c r="F199" s="30" t="n">
        <v>602.6</v>
      </c>
      <c r="G199" s="30" t="n">
        <v>637.15</v>
      </c>
      <c r="H199" s="30" t="n">
        <v>-2.95</v>
      </c>
      <c r="I199" s="30" t="n">
        <v>2080</v>
      </c>
      <c r="J199" s="30" t="inlineStr">
        <is>
          <t>500089</t>
        </is>
      </c>
    </row>
    <row r="200">
      <c r="A200" s="30" t="inlineStr">
        <is>
          <t>GHCLTEXTIL</t>
        </is>
      </c>
      <c r="B200" s="30" t="inlineStr">
        <is>
          <t>GHCL Textiles Ltd</t>
        </is>
      </c>
      <c r="C200" s="30" t="inlineStr">
        <is>
          <t>textiles</t>
        </is>
      </c>
      <c r="D200" s="30" t="inlineStr">
        <is>
          <t>textiles - spinning - synthetic / blended</t>
        </is>
      </c>
      <c r="E200" s="30" t="inlineStr">
        <is>
          <t>smallcap</t>
        </is>
      </c>
      <c r="F200" s="30" t="n">
        <v>1329.79</v>
      </c>
      <c r="G200" s="30" t="n">
        <v>134.83</v>
      </c>
      <c r="H200" s="30" t="n">
        <v>-3.08</v>
      </c>
      <c r="I200" s="30" t="n">
        <v>613654</v>
      </c>
      <c r="J200" s="30" t="inlineStr">
        <is>
          <t>543918</t>
        </is>
      </c>
    </row>
    <row r="201">
      <c r="A201" s="30" t="inlineStr">
        <is>
          <t>VALIANTORG</t>
        </is>
      </c>
      <c r="B201" s="30" t="inlineStr">
        <is>
          <t>Valiant Organics Ltd</t>
        </is>
      </c>
      <c r="C201" s="30" t="inlineStr">
        <is>
          <t>chemicals</t>
        </is>
      </c>
      <c r="D201" s="30" t="inlineStr">
        <is>
          <t>chemicals</t>
        </is>
      </c>
      <c r="E201" s="30" t="inlineStr">
        <is>
          <t>smallcap</t>
        </is>
      </c>
      <c r="F201" s="30" t="n">
        <v>1150.68</v>
      </c>
      <c r="G201" s="30" t="n">
        <v>397.75</v>
      </c>
      <c r="H201" s="30" t="n">
        <v>-3.09</v>
      </c>
      <c r="I201" s="30" t="n">
        <v>33242</v>
      </c>
      <c r="J201" s="30" t="inlineStr">
        <is>
          <t>540145</t>
        </is>
      </c>
    </row>
    <row r="202">
      <c r="A202" s="30" t="inlineStr">
        <is>
          <t>IBULLSLTD</t>
        </is>
      </c>
      <c r="B202" s="30" t="inlineStr">
        <is>
          <t>Indiabulls Limited</t>
        </is>
      </c>
      <c r="C202" s="30" t="inlineStr">
        <is>
          <t>miscellaneous</t>
        </is>
      </c>
      <c r="D202" s="30" t="inlineStr">
        <is>
          <t>diversified - medium / small</t>
        </is>
      </c>
      <c r="E202" s="30" t="inlineStr">
        <is>
          <t>midcap</t>
        </is>
      </c>
      <c r="F202" s="30" t="n">
        <v>6949.03</v>
      </c>
      <c r="G202" s="30" t="n">
        <v>28.9</v>
      </c>
      <c r="H202" s="30" t="n">
        <v>-3.12</v>
      </c>
      <c r="I202" s="30" t="n">
        <v>15268932</v>
      </c>
      <c r="J202" s="30" t="inlineStr">
        <is>
          <t>533520</t>
        </is>
      </c>
    </row>
    <row r="203">
      <c r="A203" s="30" t="inlineStr">
        <is>
          <t>RPGLIFE</t>
        </is>
      </c>
      <c r="B203" s="30" t="inlineStr">
        <is>
          <t>Rpg Life Sciences Limited</t>
        </is>
      </c>
      <c r="C203" s="30" t="inlineStr">
        <is>
          <t>healthcare</t>
        </is>
      </c>
      <c r="D203" s="30" t="inlineStr">
        <is>
          <t>pharmaceuticals - indian - bulk drugs &amp; formln</t>
        </is>
      </c>
      <c r="E203" s="30" t="inlineStr">
        <is>
          <t>midcap</t>
        </is>
      </c>
      <c r="F203" s="30" t="n">
        <v>5045.39</v>
      </c>
      <c r="G203" s="30" t="n">
        <v>2955.1</v>
      </c>
      <c r="H203" s="30" t="n">
        <v>-3.13</v>
      </c>
      <c r="I203" s="30" t="n">
        <v>46167</v>
      </c>
      <c r="J203" s="30" t="inlineStr">
        <is>
          <t>532983</t>
        </is>
      </c>
    </row>
    <row r="204">
      <c r="A204" s="30" t="inlineStr">
        <is>
          <t>SAMBHV</t>
        </is>
      </c>
      <c r="B204" s="30" t="inlineStr">
        <is>
          <t>Sambhv Steel Tubes Ltd</t>
        </is>
      </c>
      <c r="C204" s="30" t="inlineStr">
        <is>
          <t>metals &amp; mining</t>
        </is>
      </c>
      <c r="D204" s="30" t="inlineStr">
        <is>
          <t>steel - medium / small</t>
        </is>
      </c>
      <c r="E204" s="30" t="inlineStr">
        <is>
          <t>smallcap</t>
        </is>
      </c>
      <c r="F204" s="30" t="n">
        <v>4688.81</v>
      </c>
      <c r="G204" s="30" t="n">
        <v>154</v>
      </c>
      <c r="H204" s="30" t="n">
        <v>-3.22</v>
      </c>
      <c r="I204" s="30" t="n">
        <v>3011715</v>
      </c>
      <c r="J204" s="30" t="inlineStr">
        <is>
          <t>544430</t>
        </is>
      </c>
    </row>
    <row r="205">
      <c r="A205" s="30" t="inlineStr">
        <is>
          <t>KILITCH</t>
        </is>
      </c>
      <c r="B205" s="30" t="inlineStr">
        <is>
          <t>Kilitch Drugs (india) Limited</t>
        </is>
      </c>
      <c r="C205" s="30" t="inlineStr">
        <is>
          <t>healthcare</t>
        </is>
      </c>
      <c r="D205" s="30" t="inlineStr">
        <is>
          <t>pharmaceuticals - indian - formulations</t>
        </is>
      </c>
      <c r="E205" s="30" t="inlineStr">
        <is>
          <t>smallcap</t>
        </is>
      </c>
      <c r="F205" s="30" t="n">
        <v>784.08</v>
      </c>
      <c r="G205" s="30" t="n">
        <v>217.05</v>
      </c>
      <c r="H205" s="30" t="n">
        <v>-3.22</v>
      </c>
      <c r="I205" s="30" t="n">
        <v>30944</v>
      </c>
      <c r="J205" s="30" t="inlineStr">
        <is>
          <t>524500</t>
        </is>
      </c>
    </row>
    <row r="206">
      <c r="A206" s="30" t="inlineStr">
        <is>
          <t>UNITEDPOLY</t>
        </is>
      </c>
      <c r="B206" s="30" t="inlineStr">
        <is>
          <t>United Polyfab Gujarat Ltd</t>
        </is>
      </c>
      <c r="C206" s="30" t="inlineStr">
        <is>
          <t>textiles</t>
        </is>
      </c>
      <c r="D206" s="30" t="inlineStr">
        <is>
          <t>textiles - products</t>
        </is>
      </c>
      <c r="E206" s="30" t="inlineStr">
        <is>
          <t>smallcap</t>
        </is>
      </c>
      <c r="F206" s="30" t="n">
        <v>1074.36</v>
      </c>
      <c r="G206" s="30" t="n">
        <v>45.28</v>
      </c>
      <c r="H206" s="30" t="n">
        <v>-3.27</v>
      </c>
      <c r="I206" s="30" t="n">
        <v>54846</v>
      </c>
      <c r="J206" s="30" t="inlineStr">
        <is>
          <t>533024</t>
        </is>
      </c>
    </row>
    <row r="207">
      <c r="A207" s="30" t="inlineStr">
        <is>
          <t>WELCORP</t>
        </is>
      </c>
      <c r="B207" s="30" t="inlineStr">
        <is>
          <t>Welspun Corp Limited</t>
        </is>
      </c>
      <c r="C207" s="30" t="inlineStr">
        <is>
          <t>industrials</t>
        </is>
      </c>
      <c r="D207" s="30" t="inlineStr">
        <is>
          <t>steel - large</t>
        </is>
      </c>
      <c r="E207" s="30" t="inlineStr">
        <is>
          <t>largecap</t>
        </is>
      </c>
      <c r="F207" s="30" t="n">
        <v>74716.06</v>
      </c>
      <c r="G207" s="30" t="n">
        <v>2739.7</v>
      </c>
      <c r="H207" s="30" t="n">
        <v>-3.27</v>
      </c>
      <c r="I207" s="30" t="n">
        <v>1348785</v>
      </c>
      <c r="J207" s="30" t="inlineStr">
        <is>
          <t>532144</t>
        </is>
      </c>
    </row>
    <row r="208">
      <c r="A208" s="30" t="inlineStr">
        <is>
          <t>WOCKPHARMA</t>
        </is>
      </c>
      <c r="B208" s="30" t="inlineStr">
        <is>
          <t>Wockhardt Limited</t>
        </is>
      </c>
      <c r="C208" s="30" t="inlineStr">
        <is>
          <t>healthcare</t>
        </is>
      </c>
      <c r="D208" s="30" t="inlineStr">
        <is>
          <t>pharmaceuticals - indian - bulk drugs &amp; formln</t>
        </is>
      </c>
      <c r="E208" s="30" t="inlineStr">
        <is>
          <t>largecap</t>
        </is>
      </c>
      <c r="F208" s="30" t="n">
        <v>36814.23</v>
      </c>
      <c r="G208" s="30" t="n">
        <v>2187.6</v>
      </c>
      <c r="H208" s="30" t="n">
        <v>-3.44</v>
      </c>
      <c r="I208" s="30" t="n">
        <v>649952</v>
      </c>
      <c r="J208" s="30" t="inlineStr">
        <is>
          <t>532300</t>
        </is>
      </c>
    </row>
    <row r="209">
      <c r="A209" s="30" t="inlineStr">
        <is>
          <t>BHAGERIA</t>
        </is>
      </c>
      <c r="B209" s="30" t="inlineStr">
        <is>
          <t>Bhageria Industries Limited</t>
        </is>
      </c>
      <c r="C209" s="30" t="inlineStr">
        <is>
          <t>chemicals</t>
        </is>
      </c>
      <c r="D209" s="30" t="inlineStr">
        <is>
          <t>dyes and pigments</t>
        </is>
      </c>
      <c r="E209" s="30" t="inlineStr">
        <is>
          <t>smallcap</t>
        </is>
      </c>
      <c r="F209" s="30" t="n">
        <v>1722.2</v>
      </c>
      <c r="G209" s="30" t="n">
        <v>380.85</v>
      </c>
      <c r="H209" s="30" t="n">
        <v>-3.48</v>
      </c>
      <c r="I209" s="30" t="n">
        <v>237200</v>
      </c>
      <c r="J209" s="30" t="inlineStr">
        <is>
          <t>530803</t>
        </is>
      </c>
    </row>
    <row r="210">
      <c r="A210" s="30" t="inlineStr">
        <is>
          <t>FINCABLES</t>
        </is>
      </c>
      <c r="B210" s="30" t="inlineStr">
        <is>
          <t>Finolex Cables Limited</t>
        </is>
      </c>
      <c r="C210" s="30" t="inlineStr">
        <is>
          <t>industrials</t>
        </is>
      </c>
      <c r="D210" s="30" t="inlineStr">
        <is>
          <t>cables - power</t>
        </is>
      </c>
      <c r="E210" s="30" t="inlineStr">
        <is>
          <t>largecap</t>
        </is>
      </c>
      <c r="F210" s="30" t="n">
        <v>22342.91</v>
      </c>
      <c r="G210" s="30" t="n">
        <v>1408.1</v>
      </c>
      <c r="H210" s="30" t="n">
        <v>-3.61</v>
      </c>
      <c r="I210" s="30" t="n">
        <v>431897</v>
      </c>
      <c r="J210" s="30" t="inlineStr">
        <is>
          <t>500144</t>
        </is>
      </c>
    </row>
    <row r="211">
      <c r="A211" s="30" t="inlineStr">
        <is>
          <t>EMIL</t>
        </is>
      </c>
      <c r="B211" s="30" t="inlineStr">
        <is>
          <t>Electronics Mart India Ltd</t>
        </is>
      </c>
      <c r="C211" s="30" t="inlineStr">
        <is>
          <t>consumer discretionary</t>
        </is>
      </c>
      <c r="D211" s="30" t="inlineStr">
        <is>
          <t>trading</t>
        </is>
      </c>
      <c r="E211" s="30" t="inlineStr">
        <is>
          <t>midcap</t>
        </is>
      </c>
      <c r="F211" s="30" t="n">
        <v>7703.44</v>
      </c>
      <c r="G211" s="30" t="n">
        <v>192.89</v>
      </c>
      <c r="H211" s="30" t="n">
        <v>-3.66</v>
      </c>
      <c r="I211" s="30" t="n">
        <v>4333655</v>
      </c>
      <c r="J211" s="30" t="inlineStr">
        <is>
          <t>543626</t>
        </is>
      </c>
    </row>
    <row r="212">
      <c r="A212" s="30" t="inlineStr">
        <is>
          <t>GNA</t>
        </is>
      </c>
      <c r="B212" s="30" t="inlineStr">
        <is>
          <t>Gna Axles Limited</t>
        </is>
      </c>
      <c r="C212" s="30" t="inlineStr">
        <is>
          <t>auto</t>
        </is>
      </c>
      <c r="D212" s="30" t="inlineStr">
        <is>
          <t>auto ancillaries</t>
        </is>
      </c>
      <c r="E212" s="30" t="inlineStr">
        <is>
          <t>smallcap</t>
        </is>
      </c>
      <c r="F212" s="30" t="n">
        <v>2651.62</v>
      </c>
      <c r="G212" s="30" t="n">
        <v>594.7</v>
      </c>
      <c r="H212" s="30" t="n">
        <v>-3.72</v>
      </c>
      <c r="I212" s="30" t="n">
        <v>539198</v>
      </c>
      <c r="J212" s="30" t="inlineStr">
        <is>
          <t>540124</t>
        </is>
      </c>
    </row>
    <row r="213">
      <c r="A213" s="30" t="inlineStr">
        <is>
          <t>MVGJL</t>
        </is>
      </c>
      <c r="B213" s="30" t="inlineStr">
        <is>
          <t>Manoj Vaibhav Gems N Jewellers Ltd</t>
        </is>
      </c>
      <c r="C213" s="30" t="inlineStr">
        <is>
          <t>consumer discretionary</t>
        </is>
      </c>
      <c r="D213" s="30" t="inlineStr">
        <is>
          <t>diamond cutting / jewellery</t>
        </is>
      </c>
      <c r="E213" s="30" t="inlineStr">
        <is>
          <t>smallcap</t>
        </is>
      </c>
      <c r="F213" s="30" t="n">
        <v>1096.04</v>
      </c>
      <c r="G213" s="30" t="n">
        <v>215.94</v>
      </c>
      <c r="H213" s="30" t="n">
        <v>-3.76</v>
      </c>
      <c r="I213" s="30" t="n">
        <v>280855</v>
      </c>
      <c r="J213" s="30" t="inlineStr">
        <is>
          <t>543995</t>
        </is>
      </c>
    </row>
    <row r="214">
      <c r="A214" s="30" t="inlineStr">
        <is>
          <t>TBZ</t>
        </is>
      </c>
      <c r="B214" s="30" t="inlineStr">
        <is>
          <t>Tribhovandas Bhimji Zaveri Limited</t>
        </is>
      </c>
      <c r="C214" s="30" t="inlineStr">
        <is>
          <t>consumer discretionary</t>
        </is>
      </c>
      <c r="D214" s="30" t="inlineStr">
        <is>
          <t>diamond cutting / jewellery</t>
        </is>
      </c>
      <c r="E214" s="30" t="inlineStr">
        <is>
          <t>smallcap</t>
        </is>
      </c>
      <c r="F214" s="30" t="n">
        <v>4374.86</v>
      </c>
      <c r="G214" s="30" t="n">
        <v>630.75</v>
      </c>
      <c r="H214" s="30" t="n">
        <v>-3.79</v>
      </c>
      <c r="I214" s="30" t="n">
        <v>675540</v>
      </c>
      <c r="J214" s="30" t="inlineStr">
        <is>
          <t>534369</t>
        </is>
      </c>
    </row>
    <row r="215">
      <c r="A215" s="30" t="inlineStr">
        <is>
          <t>MAXESTATES</t>
        </is>
      </c>
      <c r="B215" s="30" t="inlineStr">
        <is>
          <t>Max Estates Ltd</t>
        </is>
      </c>
      <c r="C215" s="30" t="inlineStr">
        <is>
          <t>realty</t>
        </is>
      </c>
      <c r="D215" s="30" t="inlineStr">
        <is>
          <t>construction</t>
        </is>
      </c>
      <c r="E215" s="30" t="inlineStr">
        <is>
          <t>midcap</t>
        </is>
      </c>
      <c r="F215" s="30" t="n">
        <v>9722.370000000001</v>
      </c>
      <c r="G215" s="30" t="n">
        <v>571.85</v>
      </c>
      <c r="H215" s="30" t="n">
        <v>-3.83</v>
      </c>
      <c r="I215" s="30" t="n">
        <v>91772</v>
      </c>
      <c r="J215" s="30" t="inlineStr">
        <is>
          <t>544008</t>
        </is>
      </c>
    </row>
    <row r="216">
      <c r="A216" s="30" t="inlineStr">
        <is>
          <t>TEGA</t>
        </is>
      </c>
      <c r="B216" s="30" t="inlineStr">
        <is>
          <t>Tega Industries Ltd</t>
        </is>
      </c>
      <c r="C216" s="30" t="inlineStr">
        <is>
          <t>industrials</t>
        </is>
      </c>
      <c r="D216" s="30" t="inlineStr">
        <is>
          <t>engineering</t>
        </is>
      </c>
      <c r="E216" s="30" t="inlineStr">
        <is>
          <t>midcap</t>
        </is>
      </c>
      <c r="F216" s="30" t="n">
        <v>15713.71</v>
      </c>
      <c r="G216" s="30" t="n">
        <v>2011.5</v>
      </c>
      <c r="H216" s="30" t="n">
        <v>-3.83</v>
      </c>
      <c r="I216" s="30" t="n">
        <v>267932</v>
      </c>
      <c r="J216" s="30" t="inlineStr">
        <is>
          <t>543413</t>
        </is>
      </c>
    </row>
    <row r="217">
      <c r="A217" s="30" t="inlineStr">
        <is>
          <t>SBCL</t>
        </is>
      </c>
      <c r="B217" s="30" t="inlineStr">
        <is>
          <t>Shivalik Bimetal Controls Ltd</t>
        </is>
      </c>
      <c r="C217" s="30" t="inlineStr">
        <is>
          <t>metals &amp; mining</t>
        </is>
      </c>
      <c r="D217" s="30" t="inlineStr">
        <is>
          <t>mining / minerals / metals</t>
        </is>
      </c>
      <c r="E217" s="30" t="inlineStr">
        <is>
          <t>midcap</t>
        </is>
      </c>
      <c r="F217" s="30" t="n">
        <v>6650.4</v>
      </c>
      <c r="G217" s="30" t="n">
        <v>1110.2</v>
      </c>
      <c r="H217" s="30" t="n">
        <v>-3.84</v>
      </c>
      <c r="I217" s="30" t="n">
        <v>177554</v>
      </c>
      <c r="J217" s="30" t="inlineStr">
        <is>
          <t>513097</t>
        </is>
      </c>
    </row>
    <row r="218">
      <c r="A218" s="30" t="inlineStr">
        <is>
          <t>INDIAGLYCO</t>
        </is>
      </c>
      <c r="B218" s="30" t="inlineStr">
        <is>
          <t>India Glycols Limited</t>
        </is>
      </c>
      <c r="C218" s="30" t="inlineStr">
        <is>
          <t>fmcg</t>
        </is>
      </c>
      <c r="D218" s="30" t="inlineStr">
        <is>
          <t>breweries &amp; distilleries</t>
        </is>
      </c>
      <c r="E218" s="30" t="inlineStr">
        <is>
          <t>smallcap</t>
        </is>
      </c>
      <c r="F218" s="30" t="n">
        <v>2077.16</v>
      </c>
      <c r="G218" s="30" t="n">
        <v>297.5</v>
      </c>
      <c r="H218" s="30" t="n">
        <v>-4</v>
      </c>
      <c r="I218" s="30" t="n">
        <v>1152620</v>
      </c>
      <c r="J218" s="30" t="inlineStr">
        <is>
          <t>500201</t>
        </is>
      </c>
    </row>
    <row r="219">
      <c r="A219" s="30" t="inlineStr">
        <is>
          <t>SRHHYPOLTD</t>
        </is>
      </c>
      <c r="B219" s="30" t="inlineStr">
        <is>
          <t>Sree Rayalaseema Hi-strength Hypo Limited</t>
        </is>
      </c>
      <c r="C219" s="30" t="inlineStr">
        <is>
          <t>chemicals</t>
        </is>
      </c>
      <c r="D219" s="30" t="inlineStr">
        <is>
          <t>chemicals</t>
        </is>
      </c>
      <c r="E219" s="30" t="inlineStr">
        <is>
          <t>smallcap</t>
        </is>
      </c>
      <c r="F219" s="30" t="n">
        <v>1020.96</v>
      </c>
      <c r="G219" s="30" t="n">
        <v>570</v>
      </c>
      <c r="H219" s="30" t="n">
        <v>-4.17</v>
      </c>
      <c r="I219" s="30" t="n">
        <v>21927</v>
      </c>
      <c r="J219" s="30" t="inlineStr">
        <is>
          <t>532842</t>
        </is>
      </c>
    </row>
    <row r="220">
      <c r="A220" s="30" t="inlineStr">
        <is>
          <t>PCJEWELLER</t>
        </is>
      </c>
      <c r="B220" s="30" t="inlineStr">
        <is>
          <t>Pc Jeweller Limited</t>
        </is>
      </c>
      <c r="C220" s="30" t="inlineStr">
        <is>
          <t>consumer discretionary</t>
        </is>
      </c>
      <c r="D220" s="30" t="inlineStr">
        <is>
          <t>diamond cutting / jewellery</t>
        </is>
      </c>
      <c r="E220" s="30" t="inlineStr">
        <is>
          <t>midcap</t>
        </is>
      </c>
      <c r="F220" s="30" t="n">
        <v>13701.56</v>
      </c>
      <c r="G220" s="30" t="n">
        <v>13.52</v>
      </c>
      <c r="H220" s="30" t="n">
        <v>-4.18</v>
      </c>
      <c r="I220" s="30" t="n">
        <v>404984641</v>
      </c>
      <c r="J220" s="30" t="inlineStr">
        <is>
          <t>534809</t>
        </is>
      </c>
    </row>
    <row r="221">
      <c r="A221" s="30" t="inlineStr">
        <is>
          <t>LLOYDSENT</t>
        </is>
      </c>
      <c r="B221" s="30" t="inlineStr">
        <is>
          <t>Lloyds Enterprises Ltd</t>
        </is>
      </c>
      <c r="C221" s="30" t="inlineStr">
        <is>
          <t>services</t>
        </is>
      </c>
      <c r="D221" s="30" t="inlineStr">
        <is>
          <t>trading</t>
        </is>
      </c>
      <c r="E221" s="30" t="inlineStr">
        <is>
          <t>midcap</t>
        </is>
      </c>
      <c r="F221" s="30" t="n">
        <v>12162.04</v>
      </c>
      <c r="G221" s="30" t="n">
        <v>76.33</v>
      </c>
      <c r="H221" s="30" t="n">
        <v>-4.19</v>
      </c>
      <c r="I221" s="30" t="n">
        <v>2598056</v>
      </c>
      <c r="J221" s="30" t="inlineStr">
        <is>
          <t>512463</t>
        </is>
      </c>
    </row>
    <row r="222">
      <c r="A222" s="30" t="inlineStr">
        <is>
          <t>NRAIL</t>
        </is>
      </c>
      <c r="B222" s="30" t="inlineStr">
        <is>
          <t>N R Agarwal Industries Ltd</t>
        </is>
      </c>
      <c r="C222" s="30" t="inlineStr">
        <is>
          <t>building materials</t>
        </is>
      </c>
      <c r="D222" s="30" t="inlineStr">
        <is>
          <t>paper</t>
        </is>
      </c>
      <c r="E222" s="30" t="inlineStr">
        <is>
          <t>smallcap</t>
        </is>
      </c>
      <c r="F222" s="30" t="n">
        <v>1152.62</v>
      </c>
      <c r="G222" s="30" t="n">
        <v>647.6</v>
      </c>
      <c r="H222" s="30" t="n">
        <v>-4.38</v>
      </c>
      <c r="I222" s="30" t="n">
        <v>61627</v>
      </c>
      <c r="J222" s="30" t="inlineStr">
        <is>
          <t>516082</t>
        </is>
      </c>
    </row>
    <row r="223">
      <c r="A223" s="30" t="inlineStr">
        <is>
          <t>SANSERA</t>
        </is>
      </c>
      <c r="B223" s="30" t="inlineStr">
        <is>
          <t>Sansera Engineering Ltd</t>
        </is>
      </c>
      <c r="C223" s="30" t="inlineStr">
        <is>
          <t>auto</t>
        </is>
      </c>
      <c r="D223" s="30" t="inlineStr">
        <is>
          <t>auto ancillaries</t>
        </is>
      </c>
      <c r="E223" s="30" t="inlineStr">
        <is>
          <t>largecap</t>
        </is>
      </c>
      <c r="F223" s="30" t="n">
        <v>29095.04</v>
      </c>
      <c r="G223" s="30" t="n">
        <v>4457.2</v>
      </c>
      <c r="H223" s="30" t="n">
        <v>-4.4</v>
      </c>
      <c r="I223" s="30" t="n">
        <v>272710</v>
      </c>
      <c r="J223" s="30" t="inlineStr">
        <is>
          <t>543358</t>
        </is>
      </c>
    </row>
    <row r="224">
      <c r="A224" s="30" t="inlineStr">
        <is>
          <t>PASUPTAC</t>
        </is>
      </c>
      <c r="B224" s="30" t="inlineStr">
        <is>
          <t>Pasupati Acrylon Ltd</t>
        </is>
      </c>
      <c r="C224" s="30" t="inlineStr">
        <is>
          <t>textiles</t>
        </is>
      </c>
      <c r="D224" s="30" t="inlineStr">
        <is>
          <t>textiles - manmade</t>
        </is>
      </c>
      <c r="E224" s="30" t="inlineStr">
        <is>
          <t>smallcap</t>
        </is>
      </c>
      <c r="F224" s="30" t="n">
        <v>676.25</v>
      </c>
      <c r="G224" s="30" t="n">
        <v>72.45</v>
      </c>
      <c r="H224" s="30" t="n">
        <v>-4.51</v>
      </c>
      <c r="I224" s="30" t="n">
        <v>225194</v>
      </c>
      <c r="J224" s="30" t="inlineStr">
        <is>
          <t>500456</t>
        </is>
      </c>
    </row>
    <row r="225">
      <c r="A225" s="30" t="inlineStr">
        <is>
          <t>SMLMAH</t>
        </is>
      </c>
      <c r="B225" s="30" t="inlineStr">
        <is>
          <t>SML Mahindra Ltd</t>
        </is>
      </c>
      <c r="C225" s="30" t="inlineStr">
        <is>
          <t>auto</t>
        </is>
      </c>
      <c r="D225" s="30" t="inlineStr">
        <is>
          <t>automobiles - lcvs / hcvs</t>
        </is>
      </c>
      <c r="E225" s="30" t="inlineStr">
        <is>
          <t>midcap</t>
        </is>
      </c>
      <c r="F225" s="30" t="n">
        <v>9877.620000000001</v>
      </c>
      <c r="G225" s="30" t="n">
        <v>6515.5</v>
      </c>
      <c r="H225" s="30" t="n">
        <v>-4.54</v>
      </c>
      <c r="I225" s="30" t="n">
        <v>67169</v>
      </c>
      <c r="J225" s="30" t="inlineStr">
        <is>
          <t>505192</t>
        </is>
      </c>
    </row>
    <row r="226">
      <c r="A226" s="30" t="inlineStr">
        <is>
          <t>LOTUSDEV</t>
        </is>
      </c>
      <c r="B226" s="30" t="inlineStr">
        <is>
          <t>Sri Lotus Developers &amp; Realty Ltd</t>
        </is>
      </c>
      <c r="C226" s="30" t="inlineStr">
        <is>
          <t>realty</t>
        </is>
      </c>
      <c r="D226" s="30" t="inlineStr">
        <is>
          <t>construction</t>
        </is>
      </c>
      <c r="E226" s="30" t="inlineStr">
        <is>
          <t>midcap</t>
        </is>
      </c>
      <c r="F226" s="30" t="n">
        <v>10653.69</v>
      </c>
      <c r="G226" s="30" t="n">
        <v>208.05</v>
      </c>
      <c r="H226" s="30" t="n">
        <v>-4.56</v>
      </c>
      <c r="I226" s="30" t="n">
        <v>2071422</v>
      </c>
      <c r="J226" s="30" t="inlineStr">
        <is>
          <t>544469</t>
        </is>
      </c>
    </row>
    <row r="227">
      <c r="A227" s="30" t="inlineStr">
        <is>
          <t>STLNETWORK</t>
        </is>
      </c>
      <c r="B227" s="30" t="inlineStr">
        <is>
          <t>STL Networks Ltd</t>
        </is>
      </c>
      <c r="C227" s="30" t="inlineStr">
        <is>
          <t>telecom-service</t>
        </is>
      </c>
      <c r="D227" s="30" t="inlineStr">
        <is>
          <t>telecommunications - service provider</t>
        </is>
      </c>
      <c r="E227" s="30" t="inlineStr">
        <is>
          <t>smallcap</t>
        </is>
      </c>
      <c r="F227" s="30" t="n">
        <v>2665.39</v>
      </c>
      <c r="G227" s="30" t="n">
        <v>52.06</v>
      </c>
      <c r="H227" s="30" t="n">
        <v>-4.67</v>
      </c>
      <c r="I227" s="30" t="n">
        <v>18589690</v>
      </c>
      <c r="J227" s="30" t="inlineStr">
        <is>
          <t>544395</t>
        </is>
      </c>
    </row>
    <row r="228">
      <c r="A228" s="30" t="inlineStr">
        <is>
          <t>VALIANTLAB</t>
        </is>
      </c>
      <c r="B228" s="30" t="inlineStr">
        <is>
          <t>Valiant Laboratories Ltd</t>
        </is>
      </c>
      <c r="C228" s="30" t="inlineStr">
        <is>
          <t>healthcare</t>
        </is>
      </c>
      <c r="D228" s="30" t="inlineStr">
        <is>
          <t>pharmaceuticals - indian - bulk drugs &amp; formln</t>
        </is>
      </c>
      <c r="E228" s="30" t="inlineStr">
        <is>
          <t>smallcap</t>
        </is>
      </c>
      <c r="F228" s="30" t="n">
        <v>678.2</v>
      </c>
      <c r="G228" s="30" t="n">
        <v>118.97</v>
      </c>
      <c r="H228" s="30" t="n">
        <v>-4.72</v>
      </c>
      <c r="I228" s="30" t="n">
        <v>89589</v>
      </c>
      <c r="J228" s="30" t="n"/>
    </row>
    <row r="229">
      <c r="A229" s="30" t="inlineStr">
        <is>
          <t>CENTUM</t>
        </is>
      </c>
      <c r="B229" s="30" t="inlineStr">
        <is>
          <t>Centum Electronics Limited</t>
        </is>
      </c>
      <c r="C229" s="30" t="inlineStr">
        <is>
          <t>aerospace &amp; defence</t>
        </is>
      </c>
      <c r="D229" s="30" t="inlineStr">
        <is>
          <t>electronics - components</t>
        </is>
      </c>
      <c r="E229" s="30" t="inlineStr">
        <is>
          <t>midcap</t>
        </is>
      </c>
      <c r="F229" s="30" t="n">
        <v>7087.72</v>
      </c>
      <c r="G229" s="30" t="n">
        <v>4571.2</v>
      </c>
      <c r="H229" s="30" t="n">
        <v>-4.81</v>
      </c>
      <c r="I229" s="30" t="n">
        <v>62217</v>
      </c>
      <c r="J229" s="30" t="inlineStr">
        <is>
          <t>517544</t>
        </is>
      </c>
    </row>
    <row r="230">
      <c r="A230" s="30" t="inlineStr">
        <is>
          <t>SUBEXLTD</t>
        </is>
      </c>
      <c r="B230" s="30" t="inlineStr">
        <is>
          <t>Subex Ltd</t>
        </is>
      </c>
      <c r="C230" s="30" t="inlineStr">
        <is>
          <t>i.t</t>
        </is>
      </c>
      <c r="D230" s="30" t="inlineStr">
        <is>
          <t>computers - software - medium / small</t>
        </is>
      </c>
      <c r="E230" s="30" t="inlineStr">
        <is>
          <t>smallcap</t>
        </is>
      </c>
      <c r="F230" s="30" t="n">
        <v>1203.25</v>
      </c>
      <c r="G230" s="30" t="n">
        <v>20.33</v>
      </c>
      <c r="H230" s="30" t="n">
        <v>-5.04</v>
      </c>
      <c r="I230" s="30" t="n">
        <v>10752314</v>
      </c>
      <c r="J230" s="30" t="inlineStr">
        <is>
          <t>532348</t>
        </is>
      </c>
    </row>
    <row r="231">
      <c r="A231" s="30" t="inlineStr">
        <is>
          <t>FCL</t>
        </is>
      </c>
      <c r="B231" s="30" t="inlineStr">
        <is>
          <t>Fineotex Chemical Limited</t>
        </is>
      </c>
      <c r="C231" s="30" t="inlineStr">
        <is>
          <t>chemicals</t>
        </is>
      </c>
      <c r="D231" s="30" t="inlineStr">
        <is>
          <t>chemicals</t>
        </is>
      </c>
      <c r="E231" s="30" t="inlineStr">
        <is>
          <t>midcap</t>
        </is>
      </c>
      <c r="F231" s="30" t="n">
        <v>7042.9</v>
      </c>
      <c r="G231" s="30" t="n">
        <v>57.4</v>
      </c>
      <c r="H231" s="30" t="n">
        <v>-5.09</v>
      </c>
      <c r="I231" s="30" t="n">
        <v>28793221</v>
      </c>
      <c r="J231" s="30" t="inlineStr">
        <is>
          <t>533333</t>
        </is>
      </c>
    </row>
    <row r="232">
      <c r="A232" s="30" t="inlineStr">
        <is>
          <t>IRISDOREME</t>
        </is>
      </c>
      <c r="B232" s="30" t="inlineStr">
        <is>
          <t>Iris Clothings Ltd</t>
        </is>
      </c>
      <c r="C232" s="30" t="inlineStr">
        <is>
          <t>readymade garments/apparels</t>
        </is>
      </c>
      <c r="D232" s="30" t="inlineStr">
        <is>
          <t>textiles - products</t>
        </is>
      </c>
      <c r="E232" s="30" t="inlineStr">
        <is>
          <t>smallcap</t>
        </is>
      </c>
      <c r="F232" s="30" t="n">
        <v>1259.04</v>
      </c>
      <c r="G232" s="30" t="n">
        <v>62.78</v>
      </c>
      <c r="H232" s="30" t="n">
        <v>-5.09</v>
      </c>
      <c r="I232" s="30" t="n">
        <v>364784</v>
      </c>
      <c r="J232" s="30" t="inlineStr">
        <is>
          <t>535123</t>
        </is>
      </c>
    </row>
    <row r="233">
      <c r="A233" s="30" t="inlineStr">
        <is>
          <t>SHANTIGOLD</t>
        </is>
      </c>
      <c r="B233" s="30" t="inlineStr">
        <is>
          <t>Shanti Gold International Ltd</t>
        </is>
      </c>
      <c r="C233" s="30" t="inlineStr">
        <is>
          <t>consumer discretionary</t>
        </is>
      </c>
      <c r="D233" s="30" t="inlineStr">
        <is>
          <t>diamond cutting / jewellery</t>
        </is>
      </c>
      <c r="E233" s="30" t="inlineStr">
        <is>
          <t>smallcap</t>
        </is>
      </c>
      <c r="F233" s="30" t="n">
        <v>2499.25</v>
      </c>
      <c r="G233" s="30" t="n">
        <v>308.77</v>
      </c>
      <c r="H233" s="30" t="n">
        <v>-5.19</v>
      </c>
      <c r="I233" s="30" t="n">
        <v>7374839</v>
      </c>
      <c r="J233" s="30" t="inlineStr">
        <is>
          <t>544459</t>
        </is>
      </c>
    </row>
    <row r="234">
      <c r="A234" s="30" t="inlineStr">
        <is>
          <t>RAYMONDREL</t>
        </is>
      </c>
      <c r="B234" s="30" t="inlineStr">
        <is>
          <t>Raymond Realty Ltd</t>
        </is>
      </c>
      <c r="C234" s="30" t="inlineStr">
        <is>
          <t>realty</t>
        </is>
      </c>
      <c r="D234" s="30" t="inlineStr">
        <is>
          <t>construction</t>
        </is>
      </c>
      <c r="E234" s="30" t="inlineStr">
        <is>
          <t>smallcap</t>
        </is>
      </c>
      <c r="F234" s="30" t="n">
        <v>4735.39</v>
      </c>
      <c r="G234" s="30" t="n">
        <v>672.95</v>
      </c>
      <c r="H234" s="30" t="n">
        <v>-5.39</v>
      </c>
      <c r="I234" s="30" t="n">
        <v>1674907</v>
      </c>
      <c r="J234" s="30" t="inlineStr">
        <is>
          <t>544420</t>
        </is>
      </c>
    </row>
    <row r="235">
      <c r="A235" s="30" t="inlineStr">
        <is>
          <t>DELTACORP</t>
        </is>
      </c>
      <c r="B235" s="30" t="inlineStr">
        <is>
          <t>Delta Corp Limited</t>
        </is>
      </c>
      <c r="C235" s="30" t="inlineStr">
        <is>
          <t>miscellaneous</t>
        </is>
      </c>
      <c r="D235" s="30" t="inlineStr">
        <is>
          <t>recreation / amusement parks</t>
        </is>
      </c>
      <c r="E235" s="30" t="inlineStr">
        <is>
          <t>smallcap</t>
        </is>
      </c>
      <c r="F235" s="30" t="n">
        <v>2057.55</v>
      </c>
      <c r="G235" s="30" t="n">
        <v>72.2</v>
      </c>
      <c r="H235" s="30" t="n">
        <v>-6.04</v>
      </c>
      <c r="I235" s="30" t="n">
        <v>13847267</v>
      </c>
      <c r="J235" s="30" t="inlineStr">
        <is>
          <t>532848</t>
        </is>
      </c>
    </row>
    <row r="236">
      <c r="A236" s="30" t="inlineStr">
        <is>
          <t>MANINDS</t>
        </is>
      </c>
      <c r="B236" s="30" t="inlineStr">
        <is>
          <t>Man Industries (india) Limited</t>
        </is>
      </c>
      <c r="C236" s="30" t="inlineStr">
        <is>
          <t>metals &amp; mining</t>
        </is>
      </c>
      <c r="D236" s="30" t="inlineStr">
        <is>
          <t>steel - medium / small</t>
        </is>
      </c>
      <c r="E236" s="30" t="inlineStr">
        <is>
          <t>midcap</t>
        </is>
      </c>
      <c r="F236" s="30" t="n">
        <v>7653.6</v>
      </c>
      <c r="G236" s="30" t="n">
        <v>953.35</v>
      </c>
      <c r="H236" s="30" t="n">
        <v>-6.57</v>
      </c>
      <c r="I236" s="30" t="n">
        <v>1294722</v>
      </c>
      <c r="J236" s="30" t="inlineStr">
        <is>
          <t>513269</t>
        </is>
      </c>
    </row>
    <row r="237">
      <c r="A237" s="30" t="inlineStr">
        <is>
          <t>ANTELOPUS</t>
        </is>
      </c>
      <c r="B237" s="30" t="inlineStr">
        <is>
          <t>Antelopus Selan Energy Ltd</t>
        </is>
      </c>
      <c r="C237" s="30" t="inlineStr">
        <is>
          <t>energy</t>
        </is>
      </c>
      <c r="D237" s="30" t="inlineStr">
        <is>
          <t>oil drilling / allied services</t>
        </is>
      </c>
      <c r="E237" s="30" t="inlineStr">
        <is>
          <t>smallcap</t>
        </is>
      </c>
      <c r="F237" s="30" t="n">
        <v>4436.43</v>
      </c>
      <c r="G237" s="30" t="n">
        <v>1159.45</v>
      </c>
      <c r="H237" s="30" t="n">
        <v>-8.1</v>
      </c>
      <c r="I237" s="30" t="n">
        <v>1450659</v>
      </c>
      <c r="J237" s="30" t="inlineStr">
        <is>
          <t>530075</t>
        </is>
      </c>
    </row>
  </sheetData>
  <autoFilter ref="A1:J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ARTEMISMED</t>
        </is>
      </c>
      <c r="E2" s="30" t="inlineStr">
        <is>
          <t>Artemis Medicare Services Ltd</t>
        </is>
      </c>
      <c r="F2" s="30" t="inlineStr">
        <is>
          <t>Hospitals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18</v>
      </c>
      <c r="K2" s="30" t="n">
        <v>26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SMCGLOBAL</t>
        </is>
      </c>
      <c r="E3" s="30" t="inlineStr">
        <is>
          <t>SMC Global Securities Ltd</t>
        </is>
      </c>
      <c r="F3" s="30" t="inlineStr">
        <is>
          <t>Finance Capital Markets Brokers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19</v>
      </c>
      <c r="K3" s="30" t="n">
        <v>16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KINGFA</t>
        </is>
      </c>
      <c r="E4" s="30" t="inlineStr">
        <is>
          <t>Kingfa Science &amp; Technology (india) Limited</t>
        </is>
      </c>
      <c r="F4" s="30" t="inlineStr">
        <is>
          <t>Plastics Plastic and Plastic Products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26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FILATEX</t>
        </is>
      </c>
      <c r="E5" s="30" t="inlineStr">
        <is>
          <t>Filatex India Limited</t>
        </is>
      </c>
      <c r="F5" s="30" t="inlineStr">
        <is>
          <t>Textiles Manmade PFY and PSF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18</v>
      </c>
      <c r="K5" s="30" t="n">
        <v>18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KABRAEXTRU</t>
        </is>
      </c>
      <c r="E6" s="30" t="inlineStr">
        <is>
          <t>Kabra Extrusion Technik Limited</t>
        </is>
      </c>
      <c r="F6" s="30" t="inlineStr">
        <is>
          <t>Capital Goods Engineering Heavy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19</v>
      </c>
      <c r="K6" s="30" t="n">
        <v>30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WELSPUNLIV</t>
        </is>
      </c>
      <c r="E7" s="30" t="inlineStr">
        <is>
          <t>Welspun Living Ltd</t>
        </is>
      </c>
      <c r="F7" s="30" t="inlineStr">
        <is>
          <t>Textiles Home Textile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20</v>
      </c>
      <c r="K7" s="30" t="n">
        <v>30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SYRMA</t>
        </is>
      </c>
      <c r="E8" s="30" t="inlineStr">
        <is>
          <t>Syrma SGS Technology Ltd</t>
        </is>
      </c>
      <c r="F8" s="30" t="inlineStr">
        <is>
          <t>EMS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22</v>
      </c>
      <c r="K8" s="30" t="n">
        <v>21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MACPOWER</t>
        </is>
      </c>
      <c r="E9" s="30" t="inlineStr">
        <is>
          <t>Macpower CNC Machines Ltd</t>
        </is>
      </c>
      <c r="F9" s="30" t="inlineStr">
        <is>
          <t>CNC Machines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23</v>
      </c>
      <c r="K9" s="30" t="n">
        <v>26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AHCL</t>
        </is>
      </c>
      <c r="E10" s="30" t="inlineStr">
        <is>
          <t>Anlon Healthcare Ltd</t>
        </is>
      </c>
      <c r="F10" s="30" t="inlineStr">
        <is>
          <t>Pharma API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19</v>
      </c>
      <c r="K10" s="30" t="n">
        <v>15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NRBBEARING</t>
        </is>
      </c>
      <c r="E11" s="30" t="inlineStr">
        <is>
          <t>Nrb Bearing Limited</t>
        </is>
      </c>
      <c r="F11" s="30" t="inlineStr">
        <is>
          <t>Bearings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20</v>
      </c>
      <c r="K11" s="30" t="n">
        <v>22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SPECTRUM</t>
        </is>
      </c>
      <c r="E12" s="30" t="inlineStr">
        <is>
          <t>Spectrum Electrical Industries Ltd</t>
        </is>
      </c>
      <c r="F12" s="30" t="inlineStr">
        <is>
          <t>Capital Goods Electric General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18</v>
      </c>
      <c r="K12" s="30" t="n">
        <v>17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GCSL</t>
        </is>
      </c>
      <c r="E13" s="30" t="inlineStr">
        <is>
          <t>Gretex Corporate Services Ltd</t>
        </is>
      </c>
      <c r="F13" s="30" t="inlineStr">
        <is>
          <t>Finance and Investments Others</t>
        </is>
      </c>
      <c r="G13" s="30" t="n">
        <v>3</v>
      </c>
      <c r="H13" s="30" t="inlineStr">
        <is>
          <t>52W Breakout</t>
        </is>
      </c>
      <c r="I13" s="30" t="inlineStr">
        <is>
          <t>Yes</t>
        </is>
      </c>
      <c r="J13" s="30" t="n">
        <v>23</v>
      </c>
      <c r="K13" s="30" t="n">
        <v>13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MUKANDLTD</t>
        </is>
      </c>
      <c r="E14" s="30" t="inlineStr">
        <is>
          <t>Mukand Limited</t>
        </is>
      </c>
      <c r="F14" s="30" t="inlineStr">
        <is>
          <t>Steel</t>
        </is>
      </c>
      <c r="G14" s="30" t="n">
        <v>3</v>
      </c>
      <c r="H14" s="30" t="inlineStr">
        <is>
          <t>52W Breakout</t>
        </is>
      </c>
      <c r="I14" s="30" t="inlineStr">
        <is>
          <t>Yes</t>
        </is>
      </c>
      <c r="J14" s="30" t="n">
        <v>20</v>
      </c>
      <c r="K14" s="30" t="n">
        <v>7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SHAREINDIA</t>
        </is>
      </c>
      <c r="E15" s="30" t="inlineStr">
        <is>
          <t>Share India Securities Ltd</t>
        </is>
      </c>
      <c r="F15" s="30" t="inlineStr">
        <is>
          <t>Finance Capital Markets Brokers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19</v>
      </c>
      <c r="K15" s="30" t="n">
        <v>15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RPTECH</t>
        </is>
      </c>
      <c r="E16" s="30" t="inlineStr">
        <is>
          <t>Rashi Peripherals Ltd</t>
        </is>
      </c>
      <c r="F16" s="30" t="inlineStr">
        <is>
          <t>Trading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19</v>
      </c>
      <c r="K16" s="30" t="n">
        <v>10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SHANTIGOLD</t>
        </is>
      </c>
      <c r="E17" s="30" t="inlineStr">
        <is>
          <t>Shanti Gold International Ltd</t>
        </is>
      </c>
      <c r="F17" s="30" t="inlineStr">
        <is>
          <t>Diamond Gems and Jewellery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20</v>
      </c>
      <c r="K17" s="30" t="n">
        <v>20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GNA</t>
        </is>
      </c>
      <c r="E18" s="30" t="inlineStr">
        <is>
          <t>Gna Axles Limited</t>
        </is>
      </c>
      <c r="F18" s="30" t="inlineStr">
        <is>
          <t>Auto Axles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22</v>
      </c>
      <c r="K18" s="30" t="n">
        <v>16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BLUSPRING</t>
        </is>
      </c>
      <c r="E19" s="30" t="inlineStr">
        <is>
          <t>Bluspring Enterprises Ltd</t>
        </is>
      </c>
      <c r="F19" s="30" t="inlineStr">
        <is>
          <t>unknown</t>
        </is>
      </c>
      <c r="G19" s="30" t="n">
        <v>2</v>
      </c>
      <c r="H19" s="30" t="inlineStr">
        <is>
          <t>52W Breakout</t>
        </is>
      </c>
      <c r="I19" s="30" t="inlineStr">
        <is>
          <t>Yes</t>
        </is>
      </c>
      <c r="J19" s="30" t="n">
        <v>0</v>
      </c>
      <c r="K19" s="30" t="n">
        <v>19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VINCOFE</t>
        </is>
      </c>
      <c r="E20" s="30" t="inlineStr">
        <is>
          <t>Vintage Coffee &amp; Beverages Ltd</t>
        </is>
      </c>
      <c r="F20" s="30" t="inlineStr">
        <is>
          <t>FMCG Coffee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19</v>
      </c>
      <c r="K20" s="30" t="n">
        <v>25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QUADFUTURE</t>
        </is>
      </c>
      <c r="E21" s="30" t="inlineStr">
        <is>
          <t>Quadrant Future Tek Ltd</t>
        </is>
      </c>
      <c r="F21" s="30" t="inlineStr">
        <is>
          <t>Railways Kavach and Springs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18</v>
      </c>
      <c r="K21" s="30" t="n">
        <v>27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NRL</t>
        </is>
      </c>
      <c r="E22" s="30" t="inlineStr">
        <is>
          <t>Nupur Recyclers Ltd</t>
        </is>
      </c>
      <c r="F22" s="30" t="inlineStr">
        <is>
          <t>Trading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26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TBZ</t>
        </is>
      </c>
      <c r="E23" s="30" t="inlineStr">
        <is>
          <t>Tribhovandas Bhimji Zaveri Limited</t>
        </is>
      </c>
      <c r="F23" s="30" t="inlineStr">
        <is>
          <t>Diamond Gems and Jewellery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21</v>
      </c>
      <c r="K23" s="30" t="n">
        <v>27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TFCILTD</t>
        </is>
      </c>
      <c r="E24" s="30" t="inlineStr">
        <is>
          <t>Tourism Finance Corporation Of India Limited</t>
        </is>
      </c>
      <c r="F24" s="30" t="inlineStr">
        <is>
          <t>Finance PSU Lending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18</v>
      </c>
      <c r="K24" s="30" t="n">
        <v>30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BLISSGVS</t>
        </is>
      </c>
      <c r="E25" s="30" t="inlineStr">
        <is>
          <t>Bliss Gvs Pharma Limited</t>
        </is>
      </c>
      <c r="F25" s="30" t="inlineStr">
        <is>
          <t>Pharma Formulations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19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SYNCOMF</t>
        </is>
      </c>
      <c r="E26" s="30" t="inlineStr">
        <is>
          <t>Syncom Formulations (India) Ltd</t>
        </is>
      </c>
      <c r="F26" s="30" t="inlineStr">
        <is>
          <t>Pharma Others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19</v>
      </c>
      <c r="K26" s="30" t="n">
        <v>28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IBULLSLTD</t>
        </is>
      </c>
      <c r="E27" s="30" t="inlineStr">
        <is>
          <t>Indiabulls Limited</t>
        </is>
      </c>
      <c r="F27" s="30" t="inlineStr">
        <is>
          <t>Diversified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20</v>
      </c>
      <c r="K27" s="30" t="n">
        <v>9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MOTISONS</t>
        </is>
      </c>
      <c r="E28" s="30" t="inlineStr">
        <is>
          <t>Motisons Jewellers Ltd</t>
        </is>
      </c>
      <c r="F28" s="30" t="inlineStr">
        <is>
          <t>Diamond Gems and Jewellery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21</v>
      </c>
      <c r="K28" s="30" t="n">
        <v>14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MBECL</t>
        </is>
      </c>
      <c r="E29" s="30" t="inlineStr">
        <is>
          <t>Mcnally Bharat Engineering Company Limited</t>
        </is>
      </c>
      <c r="F29" s="30" t="inlineStr">
        <is>
          <t>Engineering Turnkey Services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20</v>
      </c>
      <c r="K29" s="30" t="n">
        <v>11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ARROWGREEN</t>
        </is>
      </c>
      <c r="E30" s="30" t="inlineStr">
        <is>
          <t>Arrow Greentech Limited</t>
        </is>
      </c>
      <c r="F30" s="30" t="inlineStr">
        <is>
          <t>Plastics Plastic and Plastic Products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23</v>
      </c>
      <c r="K30" s="30" t="n">
        <v>19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PCJEWELLER</t>
        </is>
      </c>
      <c r="E31" s="30" t="inlineStr">
        <is>
          <t>Pc Jeweller Limited</t>
        </is>
      </c>
      <c r="F31" s="30" t="inlineStr">
        <is>
          <t>Diamond Gems and Jewellery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23</v>
      </c>
      <c r="K31" s="30" t="n">
        <v>16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MVGJL</t>
        </is>
      </c>
      <c r="E32" s="30" t="inlineStr">
        <is>
          <t>Manoj Vaibhav Gems N Jewellers Ltd</t>
        </is>
      </c>
      <c r="F32" s="30" t="inlineStr">
        <is>
          <t>Diamond Gems and Jewellery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20</v>
      </c>
      <c r="K32" s="30" t="n">
        <v>18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IGPL</t>
        </is>
      </c>
      <c r="E33" s="30" t="inlineStr">
        <is>
          <t>Ig Petrochemicals Limited</t>
        </is>
      </c>
      <c r="F33" s="30" t="inlineStr">
        <is>
          <t>Chemicals Organic Maleic Anhydride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20</v>
      </c>
      <c r="K33" s="30" t="n">
        <v>25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GHCLTEXTIL</t>
        </is>
      </c>
      <c r="E34" s="30" t="inlineStr">
        <is>
          <t>GHCL Textiles Ltd</t>
        </is>
      </c>
      <c r="F34" s="30" t="inlineStr">
        <is>
          <t>Textiles General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18</v>
      </c>
      <c r="K34" s="30" t="n">
        <v>25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KRONOX</t>
        </is>
      </c>
      <c r="E35" s="30" t="inlineStr">
        <is>
          <t>Kronox Lab Sciences Ltd</t>
        </is>
      </c>
      <c r="F35" s="30" t="inlineStr">
        <is>
          <t>unknown</t>
        </is>
      </c>
      <c r="G35" s="30" t="n">
        <v>2</v>
      </c>
      <c r="H35" s="30" t="inlineStr">
        <is>
          <t>52W Breakout</t>
        </is>
      </c>
      <c r="I35" s="30" t="inlineStr">
        <is>
          <t>Yes</t>
        </is>
      </c>
      <c r="J35" s="30" t="n">
        <v>0</v>
      </c>
      <c r="K35" s="30" t="n">
        <v>13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MOREPENLAB</t>
        </is>
      </c>
      <c r="E36" s="30" t="inlineStr">
        <is>
          <t>Morepen Laboratories Limited</t>
        </is>
      </c>
      <c r="F36" s="30" t="inlineStr">
        <is>
          <t>Pharma API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20</v>
      </c>
      <c r="K36" s="30" t="n">
        <v>30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ENTERO</t>
        </is>
      </c>
      <c r="E37" s="30" t="inlineStr">
        <is>
          <t>Entero Healthcare Solutions Ltd</t>
        </is>
      </c>
      <c r="F37" s="30" t="inlineStr">
        <is>
          <t>Pharma Distribution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22</v>
      </c>
      <c r="K37" s="30" t="n">
        <v>29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INDSWFTLAB</t>
        </is>
      </c>
      <c r="E38" s="30" t="inlineStr">
        <is>
          <t>Ind-swift Laboratories Limited</t>
        </is>
      </c>
      <c r="F38" s="30" t="inlineStr">
        <is>
          <t>Pharma Formulations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20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CASTROLIND</t>
        </is>
      </c>
      <c r="E39" s="30" t="inlineStr">
        <is>
          <t>Castrol India Limited</t>
        </is>
      </c>
      <c r="F39" s="30" t="inlineStr">
        <is>
          <t>Lubricants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22</v>
      </c>
      <c r="K39" s="30" t="n">
        <v>13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BHAGERIA</t>
        </is>
      </c>
      <c r="E40" s="30" t="inlineStr">
        <is>
          <t>Bhageria Industries Limited</t>
        </is>
      </c>
      <c r="F40" s="30" t="inlineStr">
        <is>
          <t>Dyes and Pigments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27</v>
      </c>
      <c r="K40" s="30" t="n">
        <v>27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AETHER</t>
        </is>
      </c>
      <c r="E41" s="30" t="inlineStr">
        <is>
          <t>Aether Industries Ltd</t>
        </is>
      </c>
      <c r="F41" s="30" t="inlineStr">
        <is>
          <t>Specialty Chemicals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19</v>
      </c>
      <c r="K41" s="30" t="n">
        <v>18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BODALCHEM</t>
        </is>
      </c>
      <c r="E42" s="30" t="inlineStr">
        <is>
          <t>Bodal Chemicals Limited</t>
        </is>
      </c>
      <c r="F42" s="30" t="inlineStr">
        <is>
          <t>Dyes and Pigments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28</v>
      </c>
      <c r="K42" s="30" t="n">
        <v>29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LOTUSDEV</t>
        </is>
      </c>
      <c r="E43" s="30" t="inlineStr">
        <is>
          <t>Sri Lotus Developers &amp; Realty Ltd</t>
        </is>
      </c>
      <c r="F43" s="30" t="inlineStr">
        <is>
          <t>Construction Factories and Offices and Commercial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20</v>
      </c>
      <c r="K43" s="30" t="n">
        <v>23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MARINE</t>
        </is>
      </c>
      <c r="E44" s="30" t="inlineStr">
        <is>
          <t>Marine Electricals (India) Ltd</t>
        </is>
      </c>
      <c r="F44" s="30" t="inlineStr">
        <is>
          <t>Shipping Proxy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23</v>
      </c>
      <c r="K44" s="30" t="n">
        <v>25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KANORICHEM</t>
        </is>
      </c>
      <c r="E45" s="30" t="inlineStr">
        <is>
          <t>Kanoria Chemicals &amp; Industries Limited</t>
        </is>
      </c>
      <c r="F45" s="30" t="inlineStr">
        <is>
          <t>unknown</t>
        </is>
      </c>
      <c r="G45" s="30" t="n">
        <v>2</v>
      </c>
      <c r="H45" s="30" t="inlineStr">
        <is>
          <t>52W Breakout</t>
        </is>
      </c>
      <c r="I45" s="30" t="inlineStr">
        <is>
          <t>Yes</t>
        </is>
      </c>
      <c r="J45" s="30" t="n">
        <v>0</v>
      </c>
      <c r="K45" s="30" t="n">
        <v>28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INNOVACAP</t>
        </is>
      </c>
      <c r="E46" s="30" t="inlineStr">
        <is>
          <t>Innova Captab Ltd</t>
        </is>
      </c>
      <c r="F46" s="30" t="inlineStr">
        <is>
          <t>Pharma CRAMS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21</v>
      </c>
      <c r="K46" s="30" t="n">
        <v>28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NRAIL</t>
        </is>
      </c>
      <c r="E47" s="30" t="inlineStr">
        <is>
          <t>N R Agarwal Industries Ltd</t>
        </is>
      </c>
      <c r="F47" s="30" t="inlineStr">
        <is>
          <t>Paper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23</v>
      </c>
      <c r="K47" s="30" t="n">
        <v>20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EMUDHRA</t>
        </is>
      </c>
      <c r="E48" s="30" t="inlineStr">
        <is>
          <t>eMudhra Ltd</t>
        </is>
      </c>
      <c r="F48" s="30" t="inlineStr">
        <is>
          <t>Services Others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22</v>
      </c>
      <c r="K48" s="30" t="n">
        <v>10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SOMANYCERA</t>
        </is>
      </c>
      <c r="E49" s="30" t="inlineStr">
        <is>
          <t>Somany Ceramics Limited</t>
        </is>
      </c>
      <c r="F49" s="30" t="inlineStr">
        <is>
          <t>Ceramics Tiles and Sanitaryware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18</v>
      </c>
      <c r="K49" s="30" t="n">
        <v>26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OPTIEMUS</t>
        </is>
      </c>
      <c r="E50" s="30" t="inlineStr">
        <is>
          <t>Optiemus Infracom Ltd</t>
        </is>
      </c>
      <c r="F50" s="30" t="inlineStr">
        <is>
          <t>EMS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20</v>
      </c>
      <c r="K50" s="30" t="n">
        <v>10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EBGNG</t>
        </is>
      </c>
      <c r="E51" s="30" t="inlineStr">
        <is>
          <t>GNG Electronics Ltd</t>
        </is>
      </c>
      <c r="F51" s="30" t="inlineStr">
        <is>
          <t>New age Platform E Retail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19</v>
      </c>
      <c r="K51" s="30" t="n">
        <v>24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ENGINERSIN</t>
        </is>
      </c>
      <c r="E52" s="30" t="inlineStr">
        <is>
          <t>Engineers India Limited</t>
        </is>
      </c>
      <c r="F52" s="30" t="inlineStr">
        <is>
          <t>Infra Engineering General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22</v>
      </c>
      <c r="K52" s="30" t="n">
        <v>25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FCL</t>
        </is>
      </c>
      <c r="E53" s="30" t="inlineStr">
        <is>
          <t>Fineotex Chemical Limited</t>
        </is>
      </c>
      <c r="F53" s="30" t="inlineStr">
        <is>
          <t>Specialty Chemicals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22</v>
      </c>
      <c r="K53" s="30" t="n">
        <v>30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FINCABLES</t>
        </is>
      </c>
      <c r="E54" s="30" t="inlineStr">
        <is>
          <t>Finolex Cables Limited</t>
        </is>
      </c>
      <c r="F54" s="30" t="inlineStr">
        <is>
          <t>Cables Telecom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18</v>
      </c>
      <c r="K54" s="30" t="n">
        <v>27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SHILPAMED</t>
        </is>
      </c>
      <c r="E55" s="30" t="inlineStr">
        <is>
          <t>Shilpa Medicare Limited</t>
        </is>
      </c>
      <c r="F55" s="30" t="inlineStr">
        <is>
          <t>Pharma API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21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AARTIPHARM</t>
        </is>
      </c>
      <c r="E56" s="30" t="inlineStr">
        <is>
          <t>Aarti Pharmalabs Ltd</t>
        </is>
      </c>
      <c r="F56" s="30" t="inlineStr">
        <is>
          <t>Pharma API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25</v>
      </c>
      <c r="K56" s="30" t="n">
        <v>22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ACMESOLAR</t>
        </is>
      </c>
      <c r="E57" s="30" t="inlineStr">
        <is>
          <t>ACME Solar Holdings Ltd</t>
        </is>
      </c>
      <c r="F57" s="30" t="inlineStr">
        <is>
          <t>Power Generation and Distribution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23</v>
      </c>
      <c r="K57" s="30" t="n">
        <v>27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SANSERA</t>
        </is>
      </c>
      <c r="E58" s="30" t="inlineStr">
        <is>
          <t>Sansera Engineering Ltd</t>
        </is>
      </c>
      <c r="F58" s="30" t="inlineStr">
        <is>
          <t>Diversified Auto Components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18</v>
      </c>
      <c r="K58" s="30" t="n">
        <v>26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RUBYMILLS</t>
        </is>
      </c>
      <c r="E59" s="30" t="inlineStr">
        <is>
          <t>The Ruby Mills Limited</t>
        </is>
      </c>
      <c r="F59" s="30" t="inlineStr">
        <is>
          <t>unknown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0</v>
      </c>
      <c r="K59" s="30" t="n">
        <v>25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LAURUSLABS</t>
        </is>
      </c>
      <c r="E60" s="30" t="inlineStr">
        <is>
          <t>Laurus Labs Limited</t>
        </is>
      </c>
      <c r="F60" s="30" t="inlineStr">
        <is>
          <t>Pharma API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20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ZYDUSLIFE</t>
        </is>
      </c>
      <c r="E61" s="30" t="inlineStr">
        <is>
          <t>Zydus Lifesciences Ltd</t>
        </is>
      </c>
      <c r="F61" s="30" t="inlineStr">
        <is>
          <t>unknown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0</v>
      </c>
      <c r="K61" s="30" t="n">
        <v>12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JASH</t>
        </is>
      </c>
      <c r="E62" s="30" t="inlineStr">
        <is>
          <t>Jash Engineering Ltd</t>
        </is>
      </c>
      <c r="F62" s="30" t="inlineStr">
        <is>
          <t>Water Treatment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19</v>
      </c>
      <c r="K62" s="30" t="n">
        <v>14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RGL</t>
        </is>
      </c>
      <c r="E63" s="30" t="inlineStr">
        <is>
          <t>Renaissance Global Ltd</t>
        </is>
      </c>
      <c r="F63" s="30" t="inlineStr">
        <is>
          <t>Lab Grown Diamonds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19</v>
      </c>
      <c r="K63" s="30" t="n">
        <v>30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ONEPOINT</t>
        </is>
      </c>
      <c r="E64" s="30" t="inlineStr">
        <is>
          <t>One Point One Solutions Ltd</t>
        </is>
      </c>
      <c r="F64" s="30" t="inlineStr">
        <is>
          <t>IT Enabled Services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25</v>
      </c>
      <c r="K64" s="30" t="n">
        <v>12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ABDL</t>
        </is>
      </c>
      <c r="E65" s="30" t="inlineStr">
        <is>
          <t>Allied Blenders &amp; Distillers Ltd</t>
        </is>
      </c>
      <c r="F65" s="30" t="inlineStr">
        <is>
          <t>unknown</t>
        </is>
      </c>
      <c r="G65" s="30" t="n">
        <v>2</v>
      </c>
      <c r="H65" s="30" t="inlineStr">
        <is>
          <t>52W Breakout</t>
        </is>
      </c>
      <c r="I65" s="30" t="inlineStr">
        <is>
          <t>Yes</t>
        </is>
      </c>
      <c r="J65" s="30" t="n">
        <v>0</v>
      </c>
      <c r="K65" s="30" t="n">
        <v>13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SHREEJISPG</t>
        </is>
      </c>
      <c r="E66" s="30" t="inlineStr">
        <is>
          <t>Shreeji Shipping Global Ltd</t>
        </is>
      </c>
      <c r="F66" s="30" t="inlineStr">
        <is>
          <t>unknown</t>
        </is>
      </c>
      <c r="G66" s="30" t="n">
        <v>2</v>
      </c>
      <c r="H66" s="30" t="inlineStr">
        <is>
          <t>52W Breakout</t>
        </is>
      </c>
      <c r="I66" s="30" t="inlineStr">
        <is>
          <t>Yes</t>
        </is>
      </c>
      <c r="J66" s="30" t="n">
        <v>0</v>
      </c>
      <c r="K66" s="30" t="n">
        <v>18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MMP</t>
        </is>
      </c>
      <c r="E67" s="30" t="inlineStr">
        <is>
          <t>MMP Industries Ltd</t>
        </is>
      </c>
      <c r="F67" s="30" t="inlineStr">
        <is>
          <t>Aluminium Products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19</v>
      </c>
      <c r="K67" s="30" t="n">
        <v>30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MANINDS</t>
        </is>
      </c>
      <c r="E68" s="30" t="inlineStr">
        <is>
          <t>Man Industries (india) Limited</t>
        </is>
      </c>
      <c r="F68" s="30" t="inlineStr">
        <is>
          <t>Steel Tubes and Pipes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25</v>
      </c>
      <c r="K68" s="30" t="n">
        <v>30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STLTECH</t>
        </is>
      </c>
      <c r="E69" s="30" t="inlineStr">
        <is>
          <t>Sterlite Technologies Limited</t>
        </is>
      </c>
      <c r="F69" s="30" t="inlineStr">
        <is>
          <t>Cables Telecom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20</v>
      </c>
      <c r="K69" s="30" t="n">
        <v>30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SAMBHV</t>
        </is>
      </c>
      <c r="E70" s="30" t="inlineStr">
        <is>
          <t>Sambhv Steel Tubes Ltd</t>
        </is>
      </c>
      <c r="F70" s="30" t="inlineStr">
        <is>
          <t>Steel Tubes and Pipes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25</v>
      </c>
      <c r="K70" s="30" t="n">
        <v>24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BAFNAPH</t>
        </is>
      </c>
      <c r="E71" s="30" t="inlineStr">
        <is>
          <t>Bafna Pharmaceuticals Ltd</t>
        </is>
      </c>
      <c r="F71" s="30" t="inlineStr">
        <is>
          <t>unknown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0</v>
      </c>
      <c r="K71" s="30" t="n">
        <v>25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NEOGEN</t>
        </is>
      </c>
      <c r="E72" s="30" t="inlineStr">
        <is>
          <t>Neogen Chemicals Ltd</t>
        </is>
      </c>
      <c r="F72" s="30" t="inlineStr">
        <is>
          <t>Specialty Chemicals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19</v>
      </c>
      <c r="K72" s="30" t="n">
        <v>20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DEEPINDS</t>
        </is>
      </c>
      <c r="E73" s="30" t="inlineStr">
        <is>
          <t>Deep Industries Ltd</t>
        </is>
      </c>
      <c r="F73" s="30" t="inlineStr">
        <is>
          <t>Oil Drilling and Exploration</t>
        </is>
      </c>
      <c r="G73" s="30" t="n">
        <v>2</v>
      </c>
      <c r="H73" s="30" t="inlineStr">
        <is>
          <t>No</t>
        </is>
      </c>
      <c r="I73" s="30" t="inlineStr">
        <is>
          <t>Yes</t>
        </is>
      </c>
      <c r="J73" s="30" t="n">
        <v>18</v>
      </c>
      <c r="K73" s="30" t="n">
        <v>29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GNFC</t>
        </is>
      </c>
      <c r="E74" s="30" t="inlineStr">
        <is>
          <t>Gujarat Narmada Valley Fertilizers And Chemicals Limited</t>
        </is>
      </c>
      <c r="F74" s="30" t="inlineStr">
        <is>
          <t>Fertilisers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25</v>
      </c>
      <c r="K74" s="30" t="n">
        <v>24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SUNFLAG</t>
        </is>
      </c>
      <c r="E75" s="30" t="inlineStr">
        <is>
          <t>Sunflag Iron And Steel Company Limited</t>
        </is>
      </c>
      <c r="F75" s="30" t="inlineStr">
        <is>
          <t>unknown</t>
        </is>
      </c>
      <c r="G75" s="30" t="n">
        <v>2</v>
      </c>
      <c r="H75" s="30" t="inlineStr">
        <is>
          <t>52W Breakout</t>
        </is>
      </c>
      <c r="I75" s="30" t="inlineStr">
        <is>
          <t>Yes</t>
        </is>
      </c>
      <c r="J75" s="30" t="n">
        <v>0</v>
      </c>
      <c r="K75" s="30" t="n">
        <v>5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RAMRAT</t>
        </is>
      </c>
      <c r="E76" s="30" t="inlineStr">
        <is>
          <t>Ram Ratna Wires Ltd</t>
        </is>
      </c>
      <c r="F76" s="30" t="inlineStr">
        <is>
          <t>Copper Wires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18</v>
      </c>
      <c r="K76" s="30" t="n">
        <v>28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ANTELOPUS</t>
        </is>
      </c>
      <c r="E77" s="30" t="inlineStr">
        <is>
          <t>Antelopus Selan Energy Ltd</t>
        </is>
      </c>
      <c r="F77" s="30" t="inlineStr">
        <is>
          <t>Oil Drilling and Exploration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28</v>
      </c>
      <c r="K77" s="30" t="n">
        <v>20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RATNAVEER</t>
        </is>
      </c>
      <c r="E78" s="30" t="inlineStr">
        <is>
          <t>Ratnaveer Precision Engineering Ltd</t>
        </is>
      </c>
      <c r="F78" s="30" t="inlineStr">
        <is>
          <t>Stainless Steel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22</v>
      </c>
      <c r="K78" s="30" t="n">
        <v>30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ROSSTECH</t>
        </is>
      </c>
      <c r="E79" s="30" t="inlineStr">
        <is>
          <t>Rossell Techsys Ltd</t>
        </is>
      </c>
      <c r="F79" s="30" t="inlineStr">
        <is>
          <t>Aerospace and Defence Equipment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21</v>
      </c>
      <c r="K79" s="30" t="n">
        <v>28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SBC</t>
        </is>
      </c>
      <c r="E80" s="30" t="inlineStr">
        <is>
          <t>SBC Exports Ltd</t>
        </is>
      </c>
      <c r="F80" s="30" t="inlineStr">
        <is>
          <t>Textiles Readymade Apparel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22</v>
      </c>
      <c r="K80" s="30" t="n">
        <v>23</v>
      </c>
    </row>
  </sheetData>
  <autoFilter ref="A1:K80"/>
  <conditionalFormatting sqref="G2:G8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IF(B2=0,"",RANK(B2,$B$2:$B$226,0))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ARTEMISMED</t>
        </is>
      </c>
      <c r="D2" s="30" t="inlineStr">
        <is>
          <t>Artemis Medicare Services Ltd</t>
        </is>
      </c>
      <c r="E2" s="30" t="inlineStr">
        <is>
          <t>healthcare</t>
        </is>
      </c>
      <c r="F2" s="30" t="inlineStr">
        <is>
          <t>healthcare</t>
        </is>
      </c>
      <c r="G2" s="30" t="inlineStr">
        <is>
          <t>midcap</t>
        </is>
      </c>
      <c r="H2" s="31" t="n">
        <v>5662.61</v>
      </c>
      <c r="I2" s="31" t="n">
        <v>365.9</v>
      </c>
      <c r="J2" s="31" t="n">
        <v>2.29</v>
      </c>
      <c r="K2" s="31" t="n">
        <v>2092323</v>
      </c>
      <c r="L2" s="30" t="n">
        <v>54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76.58</v>
      </c>
      <c r="P2" s="31" t="n">
        <v>44.94</v>
      </c>
      <c r="Q2" s="31" t="n">
        <v>293.11</v>
      </c>
      <c r="R2" s="30" t="inlineStr">
        <is>
          <t>Near 52W High Breakout</t>
        </is>
      </c>
      <c r="S2" s="30" t="inlineStr">
        <is>
          <t>Nifty Pharma</t>
        </is>
      </c>
      <c r="T2" s="31" t="n">
        <v>25.55</v>
      </c>
      <c r="U2" s="31" t="n">
        <v>54.43</v>
      </c>
      <c r="V2" s="31" t="n">
        <v>23</v>
      </c>
      <c r="W2" s="31" t="n">
        <v>18.49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Yes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IF(B3=0,"",RANK(B3,$B$2:$B$226,0))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SBCL</t>
        </is>
      </c>
      <c r="D3" s="30" t="inlineStr">
        <is>
          <t>Shivalik Bimetal Controls Ltd</t>
        </is>
      </c>
      <c r="E3" s="30" t="inlineStr">
        <is>
          <t>metals &amp; mining</t>
        </is>
      </c>
      <c r="F3" s="30" t="inlineStr">
        <is>
          <t>mining / minerals / metals</t>
        </is>
      </c>
      <c r="G3" s="30" t="inlineStr">
        <is>
          <t>midcap</t>
        </is>
      </c>
      <c r="H3" s="31" t="n">
        <v>6650.4</v>
      </c>
      <c r="I3" s="31" t="n">
        <v>1110.2</v>
      </c>
      <c r="J3" s="31" t="n">
        <v>-3.84</v>
      </c>
      <c r="K3" s="31" t="n">
        <v>177554</v>
      </c>
      <c r="L3" s="30" t="inlineStr"/>
      <c r="M3" s="30" t="inlineStr"/>
      <c r="N3" s="31">
        <f>IF(M3="Underperforming",-5,IF(L3&gt;=95,15,IF(L3&gt;=90,10,IF(L3&gt;=80,5,0))))</f>
        <v/>
      </c>
      <c r="O3" s="31" t="n">
        <v>77.95999999999999</v>
      </c>
      <c r="P3" s="31" t="n">
        <v>53.07</v>
      </c>
      <c r="Q3" s="31" t="inlineStr"/>
      <c r="R3" s="30" t="inlineStr">
        <is>
          <t>Earnings / Momentum Support</t>
        </is>
      </c>
      <c r="S3" s="30" t="inlineStr">
        <is>
          <t>Nifty Metal</t>
        </is>
      </c>
      <c r="T3" s="31" t="inlineStr"/>
      <c r="U3" s="31" t="inlineStr"/>
      <c r="V3" s="31" t="inlineStr"/>
      <c r="W3" s="31" t="inlineStr"/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Monopoly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Shallow Cyclical (2 to 3 Years Growth)</t>
        </is>
      </c>
      <c r="AG3" s="30">
        <f>IF(AF3="Structural (10 Years Consistency)",10,IF(AF3="Shallow Cyclical (2 to 3 years growth)",5,0))</f>
        <v/>
      </c>
      <c r="AH3" s="30" t="inlineStr">
        <is>
          <t>Yes due to Product Mix change or Operating Leverage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Fully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Yes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Between 1.5 to 2</t>
        </is>
      </c>
      <c r="BU3" s="30">
        <f>IF(BT3="Above 2",0,IF(BT3="Between 1.5 to 2",5,IF(BT3="Less than 1.5",10,0)))</f>
        <v/>
      </c>
      <c r="BV3" s="30" t="inlineStr">
        <is>
          <t>Less than 50%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IF(B4=0,"",RANK(B4,$B$2:$B$226,0))</f>
        <v/>
      </c>
      <c r="B4" s="31">
        <f>SUM(N4,Y4,AA4,AC4,AE4,AG4,AI4,AK4,AM4,AO4,AQ4,AS4,AU4,AW4,AY4,BA4,BC4,BE4,BG4,BI4,BK4,BM4,BO4,BQ4,BS4,BU4,BW4,BY4,CA4,CC4,CE4)</f>
        <v/>
      </c>
      <c r="C4" s="32" t="inlineStr">
        <is>
          <t>SHIVALIK</t>
        </is>
      </c>
      <c r="D4" s="32" t="inlineStr">
        <is>
          <t>Shivalik Rasayan Ltd</t>
        </is>
      </c>
      <c r="E4" s="30" t="inlineStr">
        <is>
          <t>chemicals</t>
        </is>
      </c>
      <c r="F4" s="30" t="inlineStr">
        <is>
          <t>pesticides / agrochemicals - indian</t>
        </is>
      </c>
      <c r="G4" s="30" t="inlineStr">
        <is>
          <t>smallcap</t>
        </is>
      </c>
      <c r="H4" s="31" t="n">
        <v>654.84</v>
      </c>
      <c r="I4" s="31" t="n">
        <v>407.95</v>
      </c>
      <c r="J4" s="31" t="n">
        <v>-0.12</v>
      </c>
      <c r="K4" s="31" t="n">
        <v>81065</v>
      </c>
      <c r="L4" s="30" t="n">
        <v>67</v>
      </c>
      <c r="M4" s="30" t="inlineStr">
        <is>
          <t>Underperforming</t>
        </is>
      </c>
      <c r="N4" s="31">
        <f>IF(M4="Underperforming",-5,IF(L4&gt;=95,15,IF(L4&gt;=90,10,IF(L4&gt;=80,5,0))))</f>
        <v/>
      </c>
      <c r="O4" s="31" t="n">
        <v>73.36</v>
      </c>
      <c r="P4" s="31" t="n">
        <v>31.54</v>
      </c>
      <c r="Q4" s="31" t="inlineStr"/>
      <c r="R4" s="30" t="inlineStr">
        <is>
          <t>Earnings / Momentum Support</t>
        </is>
      </c>
      <c r="S4" s="30" t="inlineStr">
        <is>
          <t>Nifty 50</t>
        </is>
      </c>
      <c r="T4" s="31" t="n">
        <v>-6.14</v>
      </c>
      <c r="U4" s="31" t="n">
        <v>-6.36</v>
      </c>
      <c r="V4" s="31" t="n">
        <v>-0.24</v>
      </c>
      <c r="W4" s="31" t="n">
        <v>24.71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Monopoly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Shallow Cyclical (2 to 3 Years Growth)</t>
        </is>
      </c>
      <c r="AG4" s="30">
        <f>IF(AF4="Structural (10 Years Consistency)",10,IF(AF4="Shallow Cyclical (2 to 3 years growth)",5,0))</f>
        <v/>
      </c>
      <c r="AH4" s="30" t="inlineStr">
        <is>
          <t>Yes due to Product Mix change or Operating Leverage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Fully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Yes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Between 1.5 to 2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IF(B5=0,"",RANK(B5,$B$2:$B$226,0))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APOLLO</t>
        </is>
      </c>
      <c r="D5" s="30" t="inlineStr">
        <is>
          <t>Apollo Micro Systems Ltd</t>
        </is>
      </c>
      <c r="E5" s="30" t="inlineStr">
        <is>
          <t>aerospace &amp; defence</t>
        </is>
      </c>
      <c r="F5" s="30" t="inlineStr">
        <is>
          <t>electronics - components</t>
        </is>
      </c>
      <c r="G5" s="30" t="inlineStr">
        <is>
          <t>midcap</t>
        </is>
      </c>
      <c r="H5" s="31" t="n">
        <v>14700.48</v>
      </c>
      <c r="I5" s="31" t="n">
        <v>408.3</v>
      </c>
      <c r="J5" s="31" t="n">
        <v>3.21</v>
      </c>
      <c r="K5" s="31" t="n">
        <v>11506533</v>
      </c>
      <c r="L5" s="30" t="n">
        <v>36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55.94</v>
      </c>
      <c r="P5" s="31" t="n">
        <v>31.62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-6.14</v>
      </c>
      <c r="U5" s="31" t="n">
        <v>21.93</v>
      </c>
      <c r="V5" s="31" t="n">
        <v>29.91</v>
      </c>
      <c r="W5" s="31" t="n">
        <v>12.41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Cyclical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Fully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Yes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Between 1.5 to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IF(B6=0,"",RANK(B6,$B$2:$B$226,0))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RPTECH</t>
        </is>
      </c>
      <c r="D6" s="30" t="inlineStr">
        <is>
          <t>Rashi Peripherals Ltd</t>
        </is>
      </c>
      <c r="E6" s="30" t="inlineStr">
        <is>
          <t>i.t</t>
        </is>
      </c>
      <c r="F6" s="30" t="inlineStr">
        <is>
          <t>trading</t>
        </is>
      </c>
      <c r="G6" s="30" t="inlineStr">
        <is>
          <t>midcap</t>
        </is>
      </c>
      <c r="H6" s="31" t="n">
        <v>5884.84</v>
      </c>
      <c r="I6" s="31" t="n">
        <v>883.95</v>
      </c>
      <c r="J6" s="31" t="n">
        <v>-1.01</v>
      </c>
      <c r="K6" s="31" t="n">
        <v>253607</v>
      </c>
      <c r="L6" s="30" t="n">
        <v>82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70.88</v>
      </c>
      <c r="P6" s="31" t="n">
        <v>68.97</v>
      </c>
      <c r="Q6" s="31" t="inlineStr"/>
      <c r="R6" s="30" t="inlineStr">
        <is>
          <t>Earnings / Momentum Support</t>
        </is>
      </c>
      <c r="S6" s="30" t="inlineStr">
        <is>
          <t>Nifty IT</t>
        </is>
      </c>
      <c r="T6" s="31" t="n">
        <v>-16.44</v>
      </c>
      <c r="U6" s="31" t="n">
        <v>183.74</v>
      </c>
      <c r="V6" s="31" t="n">
        <v>239.57</v>
      </c>
      <c r="W6" s="31" t="n">
        <v>32.97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No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3</t>
        </is>
      </c>
      <c r="BC6" s="30">
        <f>IF(BB6="Stage 2",20,IF(BB6="Stage 1",0,IF(BB6="Stage 3",5,IF(BB6="Stage 4",-5,0))))</f>
        <v/>
      </c>
      <c r="BD6" s="30" t="inlineStr">
        <is>
          <t>Negative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IF(B7=0,"",RANK(B7,$B$2:$B$226,0))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OCCLLTD</t>
        </is>
      </c>
      <c r="D7" s="30" t="inlineStr">
        <is>
          <t>OCCL Ltd</t>
        </is>
      </c>
      <c r="E7" s="30" t="inlineStr">
        <is>
          <t>chemicals</t>
        </is>
      </c>
      <c r="F7" s="30" t="inlineStr">
        <is>
          <t>chemicals</t>
        </is>
      </c>
      <c r="G7" s="30" t="inlineStr">
        <is>
          <t>smallcap</t>
        </is>
      </c>
      <c r="H7" s="31" t="n">
        <v>837.52</v>
      </c>
      <c r="I7" s="31" t="n">
        <v>174.52</v>
      </c>
      <c r="J7" s="31" t="n">
        <v>4.09</v>
      </c>
      <c r="K7" s="31" t="n">
        <v>296533</v>
      </c>
      <c r="L7" s="30" t="n">
        <v>46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69.66</v>
      </c>
      <c r="P7" s="31" t="n">
        <v>47.25</v>
      </c>
      <c r="Q7" s="31" t="inlineStr"/>
      <c r="R7" s="30" t="inlineStr">
        <is>
          <t>Earnings / Momentum Support</t>
        </is>
      </c>
      <c r="S7" s="30" t="inlineStr">
        <is>
          <t>Nifty 50</t>
        </is>
      </c>
      <c r="T7" s="31" t="n">
        <v>-6.14</v>
      </c>
      <c r="U7" s="31" t="n">
        <v>32.78</v>
      </c>
      <c r="V7" s="31" t="n">
        <v>41.46</v>
      </c>
      <c r="W7" s="31" t="n">
        <v>15.99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No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Negative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IF(B8=0,"",RANK(B8,$B$2:$B$226,0))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BLUSPRING</t>
        </is>
      </c>
      <c r="D8" s="30" t="inlineStr">
        <is>
          <t>Bluspring Enterprises Ltd</t>
        </is>
      </c>
      <c r="E8" s="30" t="inlineStr">
        <is>
          <t>miscellaneous</t>
        </is>
      </c>
      <c r="F8" s="30" t="inlineStr">
        <is>
          <t>diversified - large</t>
        </is>
      </c>
      <c r="G8" s="30" t="inlineStr">
        <is>
          <t>smallcap</t>
        </is>
      </c>
      <c r="H8" s="31" t="n">
        <v>2168.69</v>
      </c>
      <c r="I8" s="31" t="n">
        <v>149.44</v>
      </c>
      <c r="J8" s="31" t="n">
        <v>2.98</v>
      </c>
      <c r="K8" s="31" t="n">
        <v>690632</v>
      </c>
      <c r="L8" s="30" t="n">
        <v>75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69.73</v>
      </c>
      <c r="P8" s="31" t="n">
        <v>61.02</v>
      </c>
      <c r="Q8" s="31" t="inlineStr"/>
      <c r="R8" s="30" t="inlineStr">
        <is>
          <t>Earnings / Momentum Support</t>
        </is>
      </c>
      <c r="S8" s="30" t="inlineStr">
        <is>
          <t>Nifty 50</t>
        </is>
      </c>
      <c r="T8" s="31" t="n">
        <v>-6.14</v>
      </c>
      <c r="U8" s="31" t="n">
        <v>83.58</v>
      </c>
      <c r="V8" s="31" t="n">
        <v>95.59</v>
      </c>
      <c r="W8" s="31" t="n">
        <v>28.13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No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3</t>
        </is>
      </c>
      <c r="BC8" s="30">
        <f>IF(BB8="Stage 2",20,IF(BB8="Stage 1",0,IF(BB8="Stage 3",5,IF(BB8="Stage 4",-5,0))))</f>
        <v/>
      </c>
      <c r="BD8" s="30" t="inlineStr">
        <is>
          <t>Negative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IF(B9=0,"",RANK(B9,$B$2:$B$226,0))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KINGFA</t>
        </is>
      </c>
      <c r="D9" s="30" t="inlineStr">
        <is>
          <t>Kingfa Science &amp; Technology (india) Limited</t>
        </is>
      </c>
      <c r="E9" s="30" t="inlineStr">
        <is>
          <t>plastic products</t>
        </is>
      </c>
      <c r="F9" s="30" t="inlineStr">
        <is>
          <t>plastics products</t>
        </is>
      </c>
      <c r="G9" s="30" t="inlineStr">
        <is>
          <t>midcap</t>
        </is>
      </c>
      <c r="H9" s="31" t="n">
        <v>8452.67</v>
      </c>
      <c r="I9" s="31" t="n">
        <v>6384</v>
      </c>
      <c r="J9" s="31" t="n">
        <v>2.35</v>
      </c>
      <c r="K9" s="31" t="n">
        <v>10603</v>
      </c>
      <c r="L9" s="30" t="n">
        <v>38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68.01000000000001</v>
      </c>
      <c r="P9" s="31" t="n">
        <v>41.63</v>
      </c>
      <c r="Q9" s="31" t="inlineStr"/>
      <c r="R9" s="30" t="inlineStr">
        <is>
          <t>Earnings / Momentum Support</t>
        </is>
      </c>
      <c r="S9" s="30" t="inlineStr">
        <is>
          <t>Nifty 50</t>
        </is>
      </c>
      <c r="T9" s="31" t="n">
        <v>-6.14</v>
      </c>
      <c r="U9" s="31" t="n">
        <v>44.01</v>
      </c>
      <c r="V9" s="31" t="n">
        <v>53.43</v>
      </c>
      <c r="W9" s="31" t="n">
        <v>13.11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IF(B10=0,"",RANK(B10,$B$2:$B$226,0))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JGCHEM</t>
        </is>
      </c>
      <c r="D10" s="30" t="inlineStr">
        <is>
          <t>J.G.Chemicals Ltd</t>
        </is>
      </c>
      <c r="E10" s="30" t="inlineStr">
        <is>
          <t>chemicals</t>
        </is>
      </c>
      <c r="F10" s="30" t="inlineStr">
        <is>
          <t>chemicals</t>
        </is>
      </c>
      <c r="G10" s="30" t="inlineStr">
        <is>
          <t>smallcap</t>
        </is>
      </c>
      <c r="H10" s="31" t="n">
        <v>2429.93</v>
      </c>
      <c r="I10" s="31" t="n">
        <v>620.8</v>
      </c>
      <c r="J10" s="31" t="n">
        <v>0.11</v>
      </c>
      <c r="K10" s="31" t="n">
        <v>337771</v>
      </c>
      <c r="L10" s="30" t="n">
        <v>60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70.2</v>
      </c>
      <c r="P10" s="31" t="n">
        <v>45.61</v>
      </c>
      <c r="Q10" s="31" t="inlineStr"/>
      <c r="R10" s="30" t="inlineStr">
        <is>
          <t>Earnings / Momentum Support</t>
        </is>
      </c>
      <c r="S10" s="30" t="inlineStr">
        <is>
          <t>Nifty 50</t>
        </is>
      </c>
      <c r="T10" s="31" t="n">
        <v>-6.14</v>
      </c>
      <c r="U10" s="31" t="n">
        <v>51.7</v>
      </c>
      <c r="V10" s="31" t="n">
        <v>61.63</v>
      </c>
      <c r="W10" s="31" t="n">
        <v>21.07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IF(B11=0,"",RANK(B11,$B$2:$B$226,0))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SPECIALITY</t>
        </is>
      </c>
      <c r="D11" s="30" t="inlineStr">
        <is>
          <t>Speciality Restaurants Limited</t>
        </is>
      </c>
      <c r="E11" s="30" t="inlineStr">
        <is>
          <t>services</t>
        </is>
      </c>
      <c r="F11" s="30" t="inlineStr">
        <is>
          <t>hotels</t>
        </is>
      </c>
      <c r="G11" s="30" t="inlineStr">
        <is>
          <t>smallcap</t>
        </is>
      </c>
      <c r="H11" s="31" t="n">
        <v>736.85</v>
      </c>
      <c r="I11" s="31" t="n">
        <v>150.89</v>
      </c>
      <c r="J11" s="31" t="n">
        <v>-1.22</v>
      </c>
      <c r="K11" s="31" t="n">
        <v>13417</v>
      </c>
      <c r="L11" s="30" t="n">
        <v>28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69.16</v>
      </c>
      <c r="P11" s="31" t="n">
        <v>44.13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-6.14</v>
      </c>
      <c r="U11" s="31" t="n">
        <v>21.33</v>
      </c>
      <c r="V11" s="31" t="n">
        <v>29.27</v>
      </c>
      <c r="W11" s="31" t="n">
        <v>10.42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IF(B12=0,"",RANK(B12,$B$2:$B$226,0))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PGIL</t>
        </is>
      </c>
      <c r="D12" s="30" t="inlineStr">
        <is>
          <t>Pearl Global Industries Limited</t>
        </is>
      </c>
      <c r="E12" s="30" t="inlineStr">
        <is>
          <t>readymade garments/apparels</t>
        </is>
      </c>
      <c r="F12" s="30" t="inlineStr">
        <is>
          <t>textiles - products</t>
        </is>
      </c>
      <c r="G12" s="30" t="inlineStr">
        <is>
          <t>midcap</t>
        </is>
      </c>
      <c r="H12" s="31" t="n">
        <v>12278.37</v>
      </c>
      <c r="I12" s="31" t="n">
        <v>1296.1</v>
      </c>
      <c r="J12" s="31" t="n">
        <v>-2.48</v>
      </c>
      <c r="K12" s="31" t="n">
        <v>208612</v>
      </c>
      <c r="L12" s="30" t="n">
        <v>64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72.05</v>
      </c>
      <c r="P12" s="31" t="n">
        <v>59.24</v>
      </c>
      <c r="Q12" s="31" t="inlineStr"/>
      <c r="R12" s="30" t="inlineStr">
        <is>
          <t>Earnings / Momentum Support</t>
        </is>
      </c>
      <c r="S12" s="30" t="inlineStr">
        <is>
          <t>Nifty 50</t>
        </is>
      </c>
      <c r="T12" s="31" t="n">
        <v>-6.14</v>
      </c>
      <c r="U12" s="31" t="n">
        <v>109.45</v>
      </c>
      <c r="V12" s="31" t="n">
        <v>123.16</v>
      </c>
      <c r="W12" s="31" t="n">
        <v>23.69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IF(B13=0,"",RANK(B13,$B$2:$B$226,0))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PREMIERPOL</t>
        </is>
      </c>
      <c r="D13" s="30" t="inlineStr">
        <is>
          <t>Premier Polyfilm Limited</t>
        </is>
      </c>
      <c r="E13" s="30" t="inlineStr">
        <is>
          <t>plastic products</t>
        </is>
      </c>
      <c r="F13" s="30" t="inlineStr">
        <is>
          <t>plastics products</t>
        </is>
      </c>
      <c r="G13" s="30" t="inlineStr">
        <is>
          <t>smallcap</t>
        </is>
      </c>
      <c r="H13" s="31" t="n">
        <v>999.24</v>
      </c>
      <c r="I13" s="31" t="n">
        <v>92.81</v>
      </c>
      <c r="J13" s="31" t="n">
        <v>-2.71</v>
      </c>
      <c r="K13" s="31" t="n">
        <v>300547</v>
      </c>
      <c r="L13" s="30" t="n">
        <v>77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66.92</v>
      </c>
      <c r="P13" s="31" t="n">
        <v>58.7</v>
      </c>
      <c r="Q13" s="31" t="inlineStr"/>
      <c r="R13" s="30" t="inlineStr">
        <is>
          <t>Earnings / Momentum Support</t>
        </is>
      </c>
      <c r="S13" s="30" t="inlineStr">
        <is>
          <t>Nifty 50</t>
        </is>
      </c>
      <c r="T13" s="31" t="n">
        <v>-6.14</v>
      </c>
      <c r="U13" s="31" t="n">
        <v>109.22</v>
      </c>
      <c r="V13" s="31" t="n">
        <v>122.91</v>
      </c>
      <c r="W13" s="31" t="n">
        <v>29.51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IF(B14=0,"",RANK(B14,$B$2:$B$226,0))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ORIENTBELL</t>
        </is>
      </c>
      <c r="D14" s="30" t="inlineStr">
        <is>
          <t>Orient Bell Limited</t>
        </is>
      </c>
      <c r="E14" s="30" t="inlineStr">
        <is>
          <t>building materials</t>
        </is>
      </c>
      <c r="F14" s="30" t="inlineStr">
        <is>
          <t>ceramics - tiles / sanitaryware</t>
        </is>
      </c>
      <c r="G14" s="30" t="inlineStr">
        <is>
          <t>smallcap</t>
        </is>
      </c>
      <c r="H14" s="31" t="n">
        <v>599.53</v>
      </c>
      <c r="I14" s="31" t="n">
        <v>395.7</v>
      </c>
      <c r="J14" s="31" t="n">
        <v>-2.91</v>
      </c>
      <c r="K14" s="31" t="n">
        <v>20723</v>
      </c>
      <c r="L14" s="30" t="inlineStr"/>
      <c r="M14" s="30" t="inlineStr"/>
      <c r="N14" s="31">
        <f>IF(M14="Underperforming",-5,IF(L14&gt;=95,15,IF(L14&gt;=90,10,IF(L14&gt;=80,5,0))))</f>
        <v/>
      </c>
      <c r="O14" s="31" t="n">
        <v>67.45999999999999</v>
      </c>
      <c r="P14" s="31" t="n">
        <v>45.18</v>
      </c>
      <c r="Q14" s="31" t="inlineStr"/>
      <c r="R14" s="30" t="inlineStr">
        <is>
          <t>Earnings / Momentum Support</t>
        </is>
      </c>
      <c r="S14" s="30" t="inlineStr">
        <is>
          <t>Nifty Infra</t>
        </is>
      </c>
      <c r="T14" s="31" t="inlineStr"/>
      <c r="U14" s="31" t="inlineStr"/>
      <c r="V14" s="31" t="inlineStr"/>
      <c r="W14" s="31" t="inlineStr"/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IF(B15=0,"",RANK(B15,$B$2:$B$226,0))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GNA</t>
        </is>
      </c>
      <c r="D15" s="30" t="inlineStr">
        <is>
          <t>Gna Axles Limited</t>
        </is>
      </c>
      <c r="E15" s="30" t="inlineStr">
        <is>
          <t>auto</t>
        </is>
      </c>
      <c r="F15" s="30" t="inlineStr">
        <is>
          <t>auto ancillaries</t>
        </is>
      </c>
      <c r="G15" s="30" t="inlineStr">
        <is>
          <t>smallcap</t>
        </is>
      </c>
      <c r="H15" s="31" t="n">
        <v>2651.62</v>
      </c>
      <c r="I15" s="31" t="n">
        <v>594.7</v>
      </c>
      <c r="J15" s="31" t="n">
        <v>-3.72</v>
      </c>
      <c r="K15" s="31" t="n">
        <v>539198</v>
      </c>
      <c r="L15" s="30" t="inlineStr"/>
      <c r="M15" s="30" t="inlineStr"/>
      <c r="N15" s="31">
        <f>IF(M15="Underperforming",-5,IF(L15&gt;=95,15,IF(L15&gt;=90,10,IF(L15&gt;=80,5,0))))</f>
        <v/>
      </c>
      <c r="O15" s="31" t="n">
        <v>72.70999999999999</v>
      </c>
      <c r="P15" s="31" t="n">
        <v>50.86</v>
      </c>
      <c r="Q15" s="31" t="inlineStr"/>
      <c r="R15" s="30" t="inlineStr">
        <is>
          <t>Earnings / Momentum Support</t>
        </is>
      </c>
      <c r="S15" s="30" t="inlineStr">
        <is>
          <t>Nifty Auto</t>
        </is>
      </c>
      <c r="T15" s="31" t="inlineStr"/>
      <c r="U15" s="31" t="inlineStr"/>
      <c r="V15" s="31" t="inlineStr"/>
      <c r="W15" s="31" t="inlineStr"/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IF(B16=0,"",RANK(B16,$B$2:$B$226,0))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PASUPTAC</t>
        </is>
      </c>
      <c r="D16" s="30" t="inlineStr">
        <is>
          <t>Pasupati Acrylon Ltd</t>
        </is>
      </c>
      <c r="E16" s="30" t="inlineStr">
        <is>
          <t>textiles</t>
        </is>
      </c>
      <c r="F16" s="30" t="inlineStr">
        <is>
          <t>textiles - manmade</t>
        </is>
      </c>
      <c r="G16" s="30" t="inlineStr">
        <is>
          <t>smallcap</t>
        </is>
      </c>
      <c r="H16" s="31" t="n">
        <v>676.25</v>
      </c>
      <c r="I16" s="31" t="n">
        <v>72.45</v>
      </c>
      <c r="J16" s="31" t="n">
        <v>-4.51</v>
      </c>
      <c r="K16" s="31" t="n">
        <v>225194</v>
      </c>
      <c r="L16" s="30" t="n">
        <v>51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69.03</v>
      </c>
      <c r="P16" s="31" t="n">
        <v>47.82</v>
      </c>
      <c r="Q16" s="31" t="inlineStr"/>
      <c r="R16" s="30" t="inlineStr">
        <is>
          <t>Earnings / Momentum Support</t>
        </is>
      </c>
      <c r="S16" s="30" t="inlineStr">
        <is>
          <t>Nifty 50</t>
        </is>
      </c>
      <c r="T16" s="31" t="n">
        <v>-6.14</v>
      </c>
      <c r="U16" s="31" t="n">
        <v>67.41</v>
      </c>
      <c r="V16" s="31" t="n">
        <v>78.36</v>
      </c>
      <c r="W16" s="31" t="n">
        <v>17.54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IF(B17=0,"",RANK(B17,$B$2:$B$226,0))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SHANTIGOLD</t>
        </is>
      </c>
      <c r="D17" s="30" t="inlineStr">
        <is>
          <t>Shanti Gold International Ltd</t>
        </is>
      </c>
      <c r="E17" s="30" t="inlineStr">
        <is>
          <t>consumer discretionary</t>
        </is>
      </c>
      <c r="F17" s="30" t="inlineStr">
        <is>
          <t>diamond cutting / jewellery</t>
        </is>
      </c>
      <c r="G17" s="30" t="inlineStr">
        <is>
          <t>smallcap</t>
        </is>
      </c>
      <c r="H17" s="31" t="n">
        <v>2499.25</v>
      </c>
      <c r="I17" s="31" t="n">
        <v>308.77</v>
      </c>
      <c r="J17" s="31" t="n">
        <v>-5.19</v>
      </c>
      <c r="K17" s="31" t="n">
        <v>7374839</v>
      </c>
      <c r="L17" s="30" t="n">
        <v>57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74.25</v>
      </c>
      <c r="P17" s="31" t="n">
        <v>41.32</v>
      </c>
      <c r="Q17" s="31" t="inlineStr"/>
      <c r="R17" s="30" t="inlineStr">
        <is>
          <t>Earnings / Momentum Support</t>
        </is>
      </c>
      <c r="S17" s="30" t="inlineStr">
        <is>
          <t>Nifty 50</t>
        </is>
      </c>
      <c r="T17" s="31" t="n">
        <v>-6.14</v>
      </c>
      <c r="U17" s="31" t="n">
        <v>49.17</v>
      </c>
      <c r="V17" s="31" t="n">
        <v>58.93</v>
      </c>
      <c r="W17" s="31" t="n">
        <v>20.46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IF(B18=0,"",RANK(B18,$B$2:$B$226,0))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FILATEX</t>
        </is>
      </c>
      <c r="D18" s="30" t="inlineStr">
        <is>
          <t>Filatex India Limited</t>
        </is>
      </c>
      <c r="E18" s="30" t="inlineStr">
        <is>
          <t>textiles</t>
        </is>
      </c>
      <c r="F18" s="30" t="inlineStr">
        <is>
          <t>textiles - manmade</t>
        </is>
      </c>
      <c r="G18" s="30" t="inlineStr">
        <is>
          <t>smallcap</t>
        </is>
      </c>
      <c r="H18" s="31" t="n">
        <v>4748.76</v>
      </c>
      <c r="I18" s="31" t="n">
        <v>110.75</v>
      </c>
      <c r="J18" s="31" t="n">
        <v>3.56</v>
      </c>
      <c r="K18" s="31" t="n">
        <v>5372095</v>
      </c>
      <c r="L18" s="30" t="n">
        <v>90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83.06999999999999</v>
      </c>
      <c r="P18" s="31" t="n">
        <v>50.53</v>
      </c>
      <c r="Q18" s="31" t="inlineStr"/>
      <c r="R18" s="30" t="inlineStr">
        <is>
          <t>Earnings / Momentum Support</t>
        </is>
      </c>
      <c r="S18" s="30" t="inlineStr">
        <is>
          <t>Nifty 50</t>
        </is>
      </c>
      <c r="T18" s="31" t="n">
        <v>-6.14</v>
      </c>
      <c r="U18" s="31" t="n">
        <v>107.76</v>
      </c>
      <c r="V18" s="31" t="n">
        <v>121.36</v>
      </c>
      <c r="W18" s="31" t="n">
        <v>43.53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No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Between 12 to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IF(B19=0,"",RANK(B19,$B$2:$B$226,0))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ROLEXRINGS</t>
        </is>
      </c>
      <c r="D19" s="30" t="inlineStr">
        <is>
          <t>Rolex Rings Ltd</t>
        </is>
      </c>
      <c r="E19" s="30" t="inlineStr">
        <is>
          <t>auto</t>
        </is>
      </c>
      <c r="F19" s="30" t="inlineStr">
        <is>
          <t>auto ancillaries</t>
        </is>
      </c>
      <c r="G19" s="30" t="inlineStr">
        <is>
          <t>midcap</t>
        </is>
      </c>
      <c r="H19" s="31" t="n">
        <v>5320.03</v>
      </c>
      <c r="I19" s="31" t="n">
        <v>193.45</v>
      </c>
      <c r="J19" s="31" t="n">
        <v>-0.97</v>
      </c>
      <c r="K19" s="31" t="n">
        <v>3173757</v>
      </c>
      <c r="L19" s="30" t="inlineStr"/>
      <c r="M19" s="30" t="inlineStr"/>
      <c r="N19" s="31">
        <f>IF(M19="Underperforming",-5,IF(L19&gt;=95,15,IF(L19&gt;=90,10,IF(L19&gt;=80,5,0))))</f>
        <v/>
      </c>
      <c r="O19" s="31" t="n">
        <v>68.75</v>
      </c>
      <c r="P19" s="31" t="n">
        <v>44.28</v>
      </c>
      <c r="Q19" s="31" t="inlineStr"/>
      <c r="R19" s="30" t="inlineStr">
        <is>
          <t>Earnings / Momentum Support</t>
        </is>
      </c>
      <c r="S19" s="30" t="inlineStr">
        <is>
          <t>Nifty Auto</t>
        </is>
      </c>
      <c r="T19" s="31" t="inlineStr"/>
      <c r="U19" s="31" t="inlineStr"/>
      <c r="V19" s="31" t="inlineStr"/>
      <c r="W19" s="31" t="inlineStr"/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No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Between 1.5 to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IF(B20=0,"",RANK(B20,$B$2:$B$226,0))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ACE</t>
        </is>
      </c>
      <c r="D20" s="30" t="inlineStr">
        <is>
          <t>Action Construction Equipment Limited</t>
        </is>
      </c>
      <c r="E20" s="30" t="inlineStr">
        <is>
          <t>industrials</t>
        </is>
      </c>
      <c r="F20" s="30" t="inlineStr">
        <is>
          <t>engineering</t>
        </is>
      </c>
      <c r="G20" s="30" t="inlineStr">
        <is>
          <t>midcap</t>
        </is>
      </c>
      <c r="H20" s="31" t="n">
        <v>14606.74</v>
      </c>
      <c r="I20" s="31" t="n">
        <v>1212.9</v>
      </c>
      <c r="J20" s="31" t="n">
        <v>-1.12</v>
      </c>
      <c r="K20" s="31" t="n">
        <v>230428</v>
      </c>
      <c r="L20" s="30" t="n">
        <v>23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72.42</v>
      </c>
      <c r="P20" s="31" t="n">
        <v>40.34</v>
      </c>
      <c r="Q20" s="31" t="inlineStr"/>
      <c r="R20" s="30" t="inlineStr">
        <is>
          <t>Earnings / Momentum Support</t>
        </is>
      </c>
      <c r="S20" s="30" t="inlineStr">
        <is>
          <t>Nifty 50</t>
        </is>
      </c>
      <c r="T20" s="31" t="n">
        <v>-6.14</v>
      </c>
      <c r="U20" s="31" t="n">
        <v>13.77</v>
      </c>
      <c r="V20" s="31" t="n">
        <v>21.22</v>
      </c>
      <c r="W20" s="31" t="n">
        <v>9.09</v>
      </c>
      <c r="X20" s="30" t="inlineStr">
        <is>
          <t>Cyclical in an Upturn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IF(B21=0,"",RANK(B21,$B$2:$B$226,0))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NRL</t>
        </is>
      </c>
      <c r="D21" s="30" t="inlineStr">
        <is>
          <t>Nupur Recyclers Ltd</t>
        </is>
      </c>
      <c r="E21" s="30" t="inlineStr">
        <is>
          <t>services</t>
        </is>
      </c>
      <c r="F21" s="30" t="inlineStr">
        <is>
          <t>trading</t>
        </is>
      </c>
      <c r="G21" s="30" t="inlineStr">
        <is>
          <t>smallcap</t>
        </is>
      </c>
      <c r="H21" s="31" t="n">
        <v>1116.85</v>
      </c>
      <c r="I21" s="31" t="n">
        <v>158.47</v>
      </c>
      <c r="J21" s="31" t="n">
        <v>-2</v>
      </c>
      <c r="K21" s="31" t="n">
        <v>25179</v>
      </c>
      <c r="L21" s="30" t="n">
        <v>93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92.91</v>
      </c>
      <c r="P21" s="31" t="n">
        <v>76.47</v>
      </c>
      <c r="Q21" s="31" t="inlineStr"/>
      <c r="R21" s="30" t="inlineStr">
        <is>
          <t>Earnings / Momentum Support</t>
        </is>
      </c>
      <c r="S21" s="30" t="inlineStr">
        <is>
          <t>Nifty 50</t>
        </is>
      </c>
      <c r="T21" s="31" t="n">
        <v>-6.14</v>
      </c>
      <c r="U21" s="31" t="n">
        <v>123.28</v>
      </c>
      <c r="V21" s="31" t="n">
        <v>137.89</v>
      </c>
      <c r="W21" s="31" t="n">
        <v>45.24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IF(B22=0,"",RANK(B22,$B$2:$B$226,0))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QUADFUTURE</t>
        </is>
      </c>
      <c r="D22" s="30" t="inlineStr">
        <is>
          <t>Quadrant Future Tek Ltd</t>
        </is>
      </c>
      <c r="E22" s="30" t="inlineStr">
        <is>
          <t>industrials</t>
        </is>
      </c>
      <c r="F22" s="30" t="inlineStr">
        <is>
          <t>cables - power</t>
        </is>
      </c>
      <c r="G22" s="30" t="inlineStr">
        <is>
          <t>smallcap</t>
        </is>
      </c>
      <c r="H22" s="31" t="n">
        <v>2190</v>
      </c>
      <c r="I22" s="31" t="n">
        <v>531.5</v>
      </c>
      <c r="J22" s="31" t="n">
        <v>-2.92</v>
      </c>
      <c r="K22" s="31" t="n">
        <v>1323802</v>
      </c>
      <c r="L22" s="30" t="inlineStr"/>
      <c r="M22" s="30" t="inlineStr"/>
      <c r="N22" s="31">
        <f>IF(M22="Underperforming",-5,IF(L22&gt;=95,15,IF(L22&gt;=90,10,IF(L22&gt;=80,5,0))))</f>
        <v/>
      </c>
      <c r="O22" s="31" t="n">
        <v>71.97</v>
      </c>
      <c r="P22" s="31" t="n">
        <v>40.67</v>
      </c>
      <c r="Q22" s="31" t="inlineStr"/>
      <c r="R22" s="30" t="inlineStr">
        <is>
          <t>Earnings / Momentum Support</t>
        </is>
      </c>
      <c r="S22" s="30" t="inlineStr">
        <is>
          <t>Nifty Energy</t>
        </is>
      </c>
      <c r="T22" s="31" t="inlineStr"/>
      <c r="U22" s="31" t="inlineStr"/>
      <c r="V22" s="31" t="inlineStr"/>
      <c r="W22" s="31" t="inlineStr"/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IF(B23=0,"",RANK(B23,$B$2:$B$226,0))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TBZ</t>
        </is>
      </c>
      <c r="D23" s="30" t="inlineStr">
        <is>
          <t>Tribhovandas Bhimji Zaveri Limited</t>
        </is>
      </c>
      <c r="E23" s="30" t="inlineStr">
        <is>
          <t>consumer discretionary</t>
        </is>
      </c>
      <c r="F23" s="30" t="inlineStr">
        <is>
          <t>diamond cutting / jewellery</t>
        </is>
      </c>
      <c r="G23" s="30" t="inlineStr">
        <is>
          <t>smallcap</t>
        </is>
      </c>
      <c r="H23" s="31" t="n">
        <v>4374.86</v>
      </c>
      <c r="I23" s="31" t="n">
        <v>630.75</v>
      </c>
      <c r="J23" s="31" t="n">
        <v>-3.79</v>
      </c>
      <c r="K23" s="31" t="n">
        <v>675540</v>
      </c>
      <c r="L23" s="30" t="n">
        <v>99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92.70999999999999</v>
      </c>
      <c r="P23" s="31" t="n">
        <v>63.54</v>
      </c>
      <c r="Q23" s="31" t="inlineStr"/>
      <c r="R23" s="30" t="inlineStr">
        <is>
          <t>Earnings / Momentum Support</t>
        </is>
      </c>
      <c r="S23" s="30" t="inlineStr">
        <is>
          <t>Nifty 50</t>
        </is>
      </c>
      <c r="T23" s="31" t="n">
        <v>-6.14</v>
      </c>
      <c r="U23" s="31" t="n">
        <v>264.84</v>
      </c>
      <c r="V23" s="31" t="n">
        <v>288.71</v>
      </c>
      <c r="W23" s="31" t="n">
        <v>106.07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IF(B24=0,"",RANK(B24,$B$2:$B$226,0))</f>
        <v/>
      </c>
      <c r="B24" s="31">
        <f>SUM(N24,Y24,AA24,AC24,AE24,AG24,AI24,AK24,AM24,AO24,AQ24,AS24,AU24,AW24,AY24,BA24,BC24,BE24,BG24,BI24,BK24,BM24,BO24,BQ24,BS24,BU24,BW24,BY24,CA24,CC24,CE24)</f>
        <v/>
      </c>
      <c r="C24" s="32" t="inlineStr">
        <is>
          <t>SYNCOMF</t>
        </is>
      </c>
      <c r="D24" s="32" t="inlineStr">
        <is>
          <t>Syncom Formulations (India) Ltd</t>
        </is>
      </c>
      <c r="E24" s="30" t="inlineStr">
        <is>
          <t>healthcare</t>
        </is>
      </c>
      <c r="F24" s="30" t="inlineStr">
        <is>
          <t>pharmaceuticals - indian - bulk drugs &amp; formln</t>
        </is>
      </c>
      <c r="G24" s="30" t="inlineStr">
        <is>
          <t>smallcap</t>
        </is>
      </c>
      <c r="H24" s="31" t="n">
        <v>1884.7</v>
      </c>
      <c r="I24" s="31" t="n">
        <v>22.2</v>
      </c>
      <c r="J24" s="31" t="n">
        <v>10.72</v>
      </c>
      <c r="K24" s="31" t="n">
        <v>82454897</v>
      </c>
      <c r="L24" s="30" t="n">
        <v>46</v>
      </c>
      <c r="M24" s="30" t="inlineStr">
        <is>
          <t>Underperforming</t>
        </is>
      </c>
      <c r="N24" s="31">
        <f>IF(M24="Underperforming",-5,IF(L24&gt;=95,15,IF(L24&gt;=90,10,IF(L24&gt;=80,5,0))))</f>
        <v/>
      </c>
      <c r="O24" s="31" t="n">
        <v>71.3</v>
      </c>
      <c r="P24" s="31" t="n">
        <v>32.97</v>
      </c>
      <c r="Q24" s="31" t="inlineStr"/>
      <c r="R24" s="30" t="inlineStr">
        <is>
          <t>Volume Spike / Accumulation</t>
        </is>
      </c>
      <c r="S24" s="30" t="inlineStr">
        <is>
          <t>Nifty Pharma</t>
        </is>
      </c>
      <c r="T24" s="31" t="n">
        <v>25.55</v>
      </c>
      <c r="U24" s="31" t="n">
        <v>21.45</v>
      </c>
      <c r="V24" s="31" t="n">
        <v>-3.27</v>
      </c>
      <c r="W24" s="31" t="n">
        <v>15.98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IF(B25=0,"",RANK(B25,$B$2:$B$226,0))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BLISSGVS</t>
        </is>
      </c>
      <c r="D25" s="30" t="inlineStr">
        <is>
          <t>Bliss Gvs Pharma Limited</t>
        </is>
      </c>
      <c r="E25" s="30" t="inlineStr">
        <is>
          <t>healthcare</t>
        </is>
      </c>
      <c r="F25" s="30" t="inlineStr">
        <is>
          <t>pharmaceuticals - indian - formulations</t>
        </is>
      </c>
      <c r="G25" s="30" t="inlineStr">
        <is>
          <t>midcap</t>
        </is>
      </c>
      <c r="H25" s="31" t="n">
        <v>7473.78</v>
      </c>
      <c r="I25" s="31" t="n">
        <v>737.65</v>
      </c>
      <c r="J25" s="31" t="n">
        <v>4.68</v>
      </c>
      <c r="K25" s="31" t="n">
        <v>2825169</v>
      </c>
      <c r="L25" s="30" t="n">
        <v>95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80.98999999999999</v>
      </c>
      <c r="P25" s="31" t="n">
        <v>71.92</v>
      </c>
      <c r="Q25" s="31" t="inlineStr"/>
      <c r="R25" s="30" t="inlineStr">
        <is>
          <t>Volume Spike / Accumulation</t>
        </is>
      </c>
      <c r="S25" s="30" t="inlineStr">
        <is>
          <t>Nifty Pharma</t>
        </is>
      </c>
      <c r="T25" s="31" t="n">
        <v>25.55</v>
      </c>
      <c r="U25" s="31" t="n">
        <v>388.71</v>
      </c>
      <c r="V25" s="31" t="n">
        <v>289.25</v>
      </c>
      <c r="W25" s="31" t="n">
        <v>51.78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Between 12 to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IF(B26=0,"",RANK(B26,$B$2:$B$226,0))</f>
        <v/>
      </c>
      <c r="B26" s="31">
        <f>SUM(N26,Y26,AA26,AC26,AE26,AG26,AI26,AK26,AM26,AO26,AQ26,AS26,AU26,AW26,AY26,BA26,BC26,BE26,BG26,BI26,BK26,BM26,BO26,BQ26,BS26,BU26,BW26,BY26,CA26,CC26,CE26)</f>
        <v/>
      </c>
      <c r="C26" s="32" t="inlineStr">
        <is>
          <t>JAGSNPHARM</t>
        </is>
      </c>
      <c r="D26" s="32" t="inlineStr">
        <is>
          <t>Jagsonpal Pharmaceuticals Limited</t>
        </is>
      </c>
      <c r="E26" s="30" t="inlineStr">
        <is>
          <t>healthcare</t>
        </is>
      </c>
      <c r="F26" s="30" t="inlineStr">
        <is>
          <t>pharmaceuticals - indian - bulk drugs &amp; formln</t>
        </is>
      </c>
      <c r="G26" s="30" t="inlineStr">
        <is>
          <t>smallcap</t>
        </is>
      </c>
      <c r="H26" s="31" t="n">
        <v>1595.13</v>
      </c>
      <c r="I26" s="31" t="n">
        <v>241.02</v>
      </c>
      <c r="J26" s="31" t="n">
        <v>-0.52</v>
      </c>
      <c r="K26" s="31" t="n">
        <v>452117</v>
      </c>
      <c r="L26" s="30" t="n">
        <v>13</v>
      </c>
      <c r="M26" s="30" t="inlineStr">
        <is>
          <t>Underperforming</t>
        </is>
      </c>
      <c r="N26" s="31">
        <f>IF(M26="Underperforming",-5,IF(L26&gt;=95,15,IF(L26&gt;=90,10,IF(L26&gt;=80,5,0))))</f>
        <v/>
      </c>
      <c r="O26" s="31" t="n">
        <v>63.79</v>
      </c>
      <c r="P26" s="31" t="n">
        <v>50.32</v>
      </c>
      <c r="Q26" s="31" t="inlineStr"/>
      <c r="R26" s="30" t="inlineStr">
        <is>
          <t>Earnings / Momentum Support</t>
        </is>
      </c>
      <c r="S26" s="30" t="inlineStr">
        <is>
          <t>Nifty Pharma</t>
        </is>
      </c>
      <c r="T26" s="31" t="n">
        <v>25.55</v>
      </c>
      <c r="U26" s="31" t="n">
        <v>14.61</v>
      </c>
      <c r="V26" s="31" t="n">
        <v>-8.720000000000001</v>
      </c>
      <c r="W26" s="31" t="n">
        <v>5.37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IF(B27=0,"",RANK(B27,$B$2:$B$226,0))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KRONOX</t>
        </is>
      </c>
      <c r="D27" s="30" t="inlineStr">
        <is>
          <t>Kronox Lab Sciences Ltd</t>
        </is>
      </c>
      <c r="E27" s="30" t="inlineStr">
        <is>
          <t>chemicals</t>
        </is>
      </c>
      <c r="F27" s="30" t="inlineStr">
        <is>
          <t>chemicals</t>
        </is>
      </c>
      <c r="G27" s="30" t="inlineStr">
        <is>
          <t>smallcap</t>
        </is>
      </c>
      <c r="H27" s="31" t="n">
        <v>766.49</v>
      </c>
      <c r="I27" s="31" t="n">
        <v>216.9</v>
      </c>
      <c r="J27" s="31" t="n">
        <v>5</v>
      </c>
      <c r="K27" s="31" t="n">
        <v>377726</v>
      </c>
      <c r="L27" s="30" t="n">
        <v>47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64.65000000000001</v>
      </c>
      <c r="P27" s="31" t="n">
        <v>49.15</v>
      </c>
      <c r="Q27" s="31" t="inlineStr"/>
      <c r="R27" s="30" t="inlineStr">
        <is>
          <t>Earnings / Momentum Support</t>
        </is>
      </c>
      <c r="S27" s="30" t="inlineStr">
        <is>
          <t>Nifty 50</t>
        </is>
      </c>
      <c r="T27" s="31" t="n">
        <v>-6.14</v>
      </c>
      <c r="U27" s="31" t="n">
        <v>27.81</v>
      </c>
      <c r="V27" s="31" t="n">
        <v>36.18</v>
      </c>
      <c r="W27" s="31" t="n">
        <v>16.02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Between 12 to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IF(B28=0,"",RANK(B28,$B$2:$B$226,0))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RBZJEWEL</t>
        </is>
      </c>
      <c r="D28" s="30" t="inlineStr">
        <is>
          <t>RBZ Jewellers Ltd</t>
        </is>
      </c>
      <c r="E28" s="30" t="inlineStr">
        <is>
          <t>consumer discretionary</t>
        </is>
      </c>
      <c r="F28" s="30" t="inlineStr">
        <is>
          <t>diamond cutting / jewellery</t>
        </is>
      </c>
      <c r="G28" s="30" t="inlineStr">
        <is>
          <t>smallcap</t>
        </is>
      </c>
      <c r="H28" s="31" t="n">
        <v>723.48</v>
      </c>
      <c r="I28" s="31" t="n">
        <v>189.91</v>
      </c>
      <c r="J28" s="31" t="n">
        <v>5</v>
      </c>
      <c r="K28" s="31" t="n">
        <v>80764</v>
      </c>
      <c r="L28" s="30" t="n">
        <v>48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60.97</v>
      </c>
      <c r="P28" s="31" t="n">
        <v>34.71</v>
      </c>
      <c r="Q28" s="31" t="inlineStr"/>
      <c r="R28" s="30" t="inlineStr">
        <is>
          <t>Earnings / Momentum Support</t>
        </is>
      </c>
      <c r="S28" s="30" t="inlineStr">
        <is>
          <t>Nifty 50</t>
        </is>
      </c>
      <c r="T28" s="31" t="n">
        <v>-6.14</v>
      </c>
      <c r="U28" s="31" t="n">
        <v>35.67</v>
      </c>
      <c r="V28" s="31" t="n">
        <v>44.54</v>
      </c>
      <c r="W28" s="31" t="n">
        <v>16.38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IF(B29=0,"",RANK(B29,$B$2:$B$226,0))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SETL</t>
        </is>
      </c>
      <c r="D29" s="30" t="inlineStr">
        <is>
          <t>Standard Enginnering Technology Ltd</t>
        </is>
      </c>
      <c r="E29" s="30" t="inlineStr">
        <is>
          <t>industrials</t>
        </is>
      </c>
      <c r="F29" s="30" t="inlineStr">
        <is>
          <t>engineering</t>
        </is>
      </c>
      <c r="G29" s="30" t="inlineStr">
        <is>
          <t>midcap</t>
        </is>
      </c>
      <c r="H29" s="31" t="n">
        <v>8030.54</v>
      </c>
      <c r="I29" s="31" t="n">
        <v>422.65</v>
      </c>
      <c r="J29" s="31" t="n">
        <v>4.99</v>
      </c>
      <c r="K29" s="31" t="n">
        <v>974559</v>
      </c>
      <c r="L29" s="30" t="n">
        <v>94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73.2</v>
      </c>
      <c r="P29" s="31" t="n">
        <v>76.63</v>
      </c>
      <c r="Q29" s="31" t="inlineStr"/>
      <c r="R29" s="30" t="inlineStr">
        <is>
          <t>Earnings / Momentum Support</t>
        </is>
      </c>
      <c r="S29" s="30" t="inlineStr">
        <is>
          <t>Nifty 50</t>
        </is>
      </c>
      <c r="T29" s="31" t="n">
        <v>-6.14</v>
      </c>
      <c r="U29" s="31" t="n">
        <v>128.07</v>
      </c>
      <c r="V29" s="31" t="n">
        <v>143</v>
      </c>
      <c r="W29" s="31" t="n">
        <v>45.8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IF(B30=0,"",RANK(B30,$B$2:$B$226,0))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SSWL</t>
        </is>
      </c>
      <c r="D30" s="30" t="inlineStr">
        <is>
          <t>Steel Strips Wheels Limited</t>
        </is>
      </c>
      <c r="E30" s="30" t="inlineStr">
        <is>
          <t>auto</t>
        </is>
      </c>
      <c r="F30" s="30" t="inlineStr">
        <is>
          <t>auto ancillaries</t>
        </is>
      </c>
      <c r="G30" s="30" t="inlineStr">
        <is>
          <t>midcap</t>
        </is>
      </c>
      <c r="H30" s="31" t="n">
        <v>5953.21</v>
      </c>
      <c r="I30" s="31" t="n">
        <v>388.65</v>
      </c>
      <c r="J30" s="31" t="n">
        <v>2.61</v>
      </c>
      <c r="K30" s="31" t="n">
        <v>1382064</v>
      </c>
      <c r="L30" s="30" t="inlineStr"/>
      <c r="M30" s="30" t="inlineStr"/>
      <c r="N30" s="31">
        <f>IF(M30="Underperforming",-5,IF(L30&gt;=95,15,IF(L30&gt;=90,10,IF(L30&gt;=80,5,0))))</f>
        <v/>
      </c>
      <c r="O30" s="31" t="n">
        <v>80.41</v>
      </c>
      <c r="P30" s="31" t="n">
        <v>47.67</v>
      </c>
      <c r="Q30" s="31" t="inlineStr"/>
      <c r="R30" s="30" t="inlineStr">
        <is>
          <t>Earnings / Momentum Support</t>
        </is>
      </c>
      <c r="S30" s="30" t="inlineStr">
        <is>
          <t>Nifty Auto</t>
        </is>
      </c>
      <c r="T30" s="31" t="inlineStr"/>
      <c r="U30" s="31" t="inlineStr"/>
      <c r="V30" s="31" t="inlineStr"/>
      <c r="W30" s="31" t="inlineStr"/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IF(B31=0,"",RANK(B31,$B$2:$B$226,0))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VIDHIING</t>
        </is>
      </c>
      <c r="D31" s="30" t="inlineStr">
        <is>
          <t>Vidhi Specialty Food Ingredients</t>
        </is>
      </c>
      <c r="E31" s="30" t="inlineStr">
        <is>
          <t>chemicals</t>
        </is>
      </c>
      <c r="F31" s="30" t="inlineStr">
        <is>
          <t>dyes and pigments</t>
        </is>
      </c>
      <c r="G31" s="30" t="inlineStr">
        <is>
          <t>smallcap</t>
        </is>
      </c>
      <c r="H31" s="31" t="n">
        <v>1726.85</v>
      </c>
      <c r="I31" s="31" t="n">
        <v>354</v>
      </c>
      <c r="J31" s="31" t="n">
        <v>2.39</v>
      </c>
      <c r="K31" s="31" t="n">
        <v>15153</v>
      </c>
      <c r="L31" s="30" t="n">
        <v>12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58.93</v>
      </c>
      <c r="P31" s="31" t="n">
        <v>24.22</v>
      </c>
      <c r="Q31" s="31" t="inlineStr"/>
      <c r="R31" s="30" t="inlineStr">
        <is>
          <t>Earnings / Momentum Support</t>
        </is>
      </c>
      <c r="S31" s="30" t="inlineStr">
        <is>
          <t>Nifty 50</t>
        </is>
      </c>
      <c r="T31" s="31" t="n">
        <v>-6.14</v>
      </c>
      <c r="U31" s="31" t="n">
        <v>-3.69</v>
      </c>
      <c r="V31" s="31" t="n">
        <v>2.62</v>
      </c>
      <c r="W31" s="31" t="n">
        <v>5.22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IF(B32=0,"",RANK(B32,$B$2:$B$226,0))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MBECL</t>
        </is>
      </c>
      <c r="D32" s="30" t="inlineStr">
        <is>
          <t>Mcnally Bharat Engineering Company Limited</t>
        </is>
      </c>
      <c r="E32" s="30" t="inlineStr">
        <is>
          <t>realty</t>
        </is>
      </c>
      <c r="F32" s="30" t="inlineStr">
        <is>
          <t>engineering - turnkey services</t>
        </is>
      </c>
      <c r="G32" s="30" t="inlineStr">
        <is>
          <t>smallcap</t>
        </is>
      </c>
      <c r="H32" s="31" t="n">
        <v>1521.33</v>
      </c>
      <c r="I32" s="31" t="n">
        <v>465.52</v>
      </c>
      <c r="J32" s="31" t="n">
        <v>2</v>
      </c>
      <c r="K32" s="31" t="n">
        <v>2040</v>
      </c>
      <c r="L32" s="30" t="inlineStr"/>
      <c r="M32" s="30" t="inlineStr"/>
      <c r="N32" s="31">
        <f>IF(M32="Underperforming",-5,IF(L32&gt;=95,15,IF(L32&gt;=90,10,IF(L32&gt;=80,5,0))))</f>
        <v/>
      </c>
      <c r="O32" s="31" t="n">
        <v>99.95999999999999</v>
      </c>
      <c r="P32" s="31" t="n">
        <v>72.98999999999999</v>
      </c>
      <c r="Q32" s="31" t="inlineStr"/>
      <c r="R32" s="30" t="inlineStr">
        <is>
          <t>Earnings / Momentum Support</t>
        </is>
      </c>
      <c r="S32" s="30" t="inlineStr">
        <is>
          <t>Nifty Realty</t>
        </is>
      </c>
      <c r="T32" s="31" t="inlineStr"/>
      <c r="U32" s="31" t="inlineStr"/>
      <c r="V32" s="31" t="inlineStr"/>
      <c r="W32" s="31" t="inlineStr"/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IF(B33=0,"",RANK(B33,$B$2:$B$226,0))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SANGAMIND</t>
        </is>
      </c>
      <c r="D33" s="30" t="inlineStr">
        <is>
          <t>Sangam (india) Limited</t>
        </is>
      </c>
      <c r="E33" s="30" t="inlineStr">
        <is>
          <t>textiles</t>
        </is>
      </c>
      <c r="F33" s="30" t="inlineStr">
        <is>
          <t>textiles - spinning - synthetic / blended</t>
        </is>
      </c>
      <c r="G33" s="30" t="inlineStr">
        <is>
          <t>smallcap</t>
        </is>
      </c>
      <c r="H33" s="31" t="n">
        <v>3114.78</v>
      </c>
      <c r="I33" s="31" t="n">
        <v>629.3</v>
      </c>
      <c r="J33" s="31" t="n">
        <v>1.52</v>
      </c>
      <c r="K33" s="31" t="n">
        <v>89480</v>
      </c>
      <c r="L33" s="30" t="n">
        <v>30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65.09999999999999</v>
      </c>
      <c r="P33" s="31" t="n">
        <v>45.19</v>
      </c>
      <c r="Q33" s="31" t="inlineStr"/>
      <c r="R33" s="30" t="inlineStr">
        <is>
          <t>Earnings / Momentum Support</t>
        </is>
      </c>
      <c r="S33" s="30" t="inlineStr">
        <is>
          <t>Nifty 50</t>
        </is>
      </c>
      <c r="T33" s="31" t="n">
        <v>-6.14</v>
      </c>
      <c r="U33" s="31" t="n">
        <v>43.02</v>
      </c>
      <c r="V33" s="31" t="n">
        <v>52.38</v>
      </c>
      <c r="W33" s="31" t="n">
        <v>10.88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Between 0.7 to 1.2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IF(B34=0,"",RANK(B34,$B$2:$B$226,0))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MOTISONS</t>
        </is>
      </c>
      <c r="D34" s="30" t="inlineStr">
        <is>
          <t>Motisons Jewellers Ltd</t>
        </is>
      </c>
      <c r="E34" s="30" t="inlineStr">
        <is>
          <t>consumer discretionary</t>
        </is>
      </c>
      <c r="F34" s="30" t="inlineStr">
        <is>
          <t>diamond cutting / jewellery</t>
        </is>
      </c>
      <c r="G34" s="30" t="inlineStr">
        <is>
          <t>smallcap</t>
        </is>
      </c>
      <c r="H34" s="31" t="n">
        <v>2030.45</v>
      </c>
      <c r="I34" s="31" t="n">
        <v>18.04</v>
      </c>
      <c r="J34" s="31" t="n">
        <v>1.06</v>
      </c>
      <c r="K34" s="31" t="n">
        <v>45802394</v>
      </c>
      <c r="L34" s="30" t="n">
        <v>19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63.54</v>
      </c>
      <c r="P34" s="31" t="n">
        <v>26.39</v>
      </c>
      <c r="Q34" s="31" t="inlineStr"/>
      <c r="R34" s="30" t="inlineStr">
        <is>
          <t>Earnings / Momentum Support</t>
        </is>
      </c>
      <c r="S34" s="30" t="inlineStr">
        <is>
          <t>Nifty 50</t>
        </is>
      </c>
      <c r="T34" s="31" t="n">
        <v>-6.14</v>
      </c>
      <c r="U34" s="31" t="n">
        <v>-1.92</v>
      </c>
      <c r="V34" s="31" t="n">
        <v>4.49</v>
      </c>
      <c r="W34" s="31" t="n">
        <v>7.28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IF(B35=0,"",RANK(B35,$B$2:$B$226,0))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CHEVIOT</t>
        </is>
      </c>
      <c r="D35" s="30" t="inlineStr">
        <is>
          <t>Cheviot Company Ltd</t>
        </is>
      </c>
      <c r="E35" s="30" t="inlineStr">
        <is>
          <t>textiles</t>
        </is>
      </c>
      <c r="F35" s="30" t="inlineStr">
        <is>
          <t>textiles - jute - yarn / products</t>
        </is>
      </c>
      <c r="G35" s="30" t="inlineStr">
        <is>
          <t>smallcap</t>
        </is>
      </c>
      <c r="H35" s="31" t="n">
        <v>690.98</v>
      </c>
      <c r="I35" s="31" t="n">
        <v>1187.9</v>
      </c>
      <c r="J35" s="31" t="n">
        <v>0.43</v>
      </c>
      <c r="K35" s="31" t="n">
        <v>1149</v>
      </c>
      <c r="L35" s="30" t="n">
        <v>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58.26</v>
      </c>
      <c r="P35" s="31" t="n">
        <v>25.37</v>
      </c>
      <c r="Q35" s="31" t="inlineStr"/>
      <c r="R35" s="30" t="inlineStr">
        <is>
          <t>Earnings / Momentum Support</t>
        </is>
      </c>
      <c r="S35" s="30" t="inlineStr">
        <is>
          <t>Nifty 50</t>
        </is>
      </c>
      <c r="T35" s="31" t="n">
        <v>-6.14</v>
      </c>
      <c r="U35" s="31" t="n">
        <v>6.99</v>
      </c>
      <c r="V35" s="31" t="n">
        <v>13.99</v>
      </c>
      <c r="W35" s="31" t="n">
        <v>3.5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IF(B36=0,"",RANK(B36,$B$2:$B$226,0))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RML</t>
        </is>
      </c>
      <c r="D36" s="30" t="inlineStr">
        <is>
          <t>Rane (madras) Limited</t>
        </is>
      </c>
      <c r="E36" s="30" t="inlineStr">
        <is>
          <t>auto</t>
        </is>
      </c>
      <c r="F36" s="30" t="inlineStr">
        <is>
          <t>auto ancillaries</t>
        </is>
      </c>
      <c r="G36" s="30" t="inlineStr">
        <is>
          <t>smallcap</t>
        </is>
      </c>
      <c r="H36" s="31" t="n">
        <v>3654.46</v>
      </c>
      <c r="I36" s="31" t="n">
        <v>1325.9</v>
      </c>
      <c r="J36" s="31" t="n">
        <v>0.27</v>
      </c>
      <c r="K36" s="31" t="n">
        <v>46931</v>
      </c>
      <c r="L36" s="30" t="inlineStr"/>
      <c r="M36" s="30" t="inlineStr"/>
      <c r="N36" s="31">
        <f>IF(M36="Underperforming",-5,IF(L36&gt;=95,15,IF(L36&gt;=90,10,IF(L36&gt;=80,5,0))))</f>
        <v/>
      </c>
      <c r="O36" s="31" t="n">
        <v>66.38</v>
      </c>
      <c r="P36" s="31" t="n">
        <v>57.3</v>
      </c>
      <c r="Q36" s="31" t="inlineStr"/>
      <c r="R36" s="30" t="inlineStr">
        <is>
          <t>Earnings / Momentum Support</t>
        </is>
      </c>
      <c r="S36" s="30" t="inlineStr">
        <is>
          <t>Nifty Auto</t>
        </is>
      </c>
      <c r="T36" s="31" t="inlineStr"/>
      <c r="U36" s="31" t="inlineStr"/>
      <c r="V36" s="31" t="inlineStr"/>
      <c r="W36" s="31" t="inlineStr"/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Between 0.7 to 1.2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IF(B37=0,"",RANK(B37,$B$2:$B$226,0))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ARIES</t>
        </is>
      </c>
      <c r="D37" s="30" t="inlineStr">
        <is>
          <t>Aries Agro Limited</t>
        </is>
      </c>
      <c r="E37" s="30" t="inlineStr">
        <is>
          <t>chemicals</t>
        </is>
      </c>
      <c r="F37" s="30" t="inlineStr">
        <is>
          <t>fertilizers</t>
        </is>
      </c>
      <c r="G37" s="30" t="inlineStr">
        <is>
          <t>smallcap</t>
        </is>
      </c>
      <c r="H37" s="31" t="n">
        <v>615.5</v>
      </c>
      <c r="I37" s="31" t="n">
        <v>470.5</v>
      </c>
      <c r="J37" s="31" t="n">
        <v>-0.59</v>
      </c>
      <c r="K37" s="31" t="n">
        <v>6778</v>
      </c>
      <c r="L37" s="30" t="n">
        <v>39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70.93000000000001</v>
      </c>
      <c r="P37" s="31" t="n">
        <v>39.31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-6.14</v>
      </c>
      <c r="U37" s="31" t="n">
        <v>22.68</v>
      </c>
      <c r="V37" s="31" t="n">
        <v>30.71</v>
      </c>
      <c r="W37" s="31" t="n">
        <v>13.8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IF(B38=0,"",RANK(B38,$B$2:$B$226,0))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REDINGTON</t>
        </is>
      </c>
      <c r="D38" s="30" t="inlineStr">
        <is>
          <t>Redington (india) Limited</t>
        </is>
      </c>
      <c r="E38" s="30" t="inlineStr">
        <is>
          <t>services</t>
        </is>
      </c>
      <c r="F38" s="30" t="inlineStr">
        <is>
          <t>trading</t>
        </is>
      </c>
      <c r="G38" s="30" t="inlineStr">
        <is>
          <t>largecap</t>
        </is>
      </c>
      <c r="H38" s="31" t="n">
        <v>31837.76</v>
      </c>
      <c r="I38" s="31" t="n">
        <v>404.85</v>
      </c>
      <c r="J38" s="31" t="n">
        <v>-0.59</v>
      </c>
      <c r="K38" s="31" t="n">
        <v>4235911</v>
      </c>
      <c r="L38" s="30" t="n">
        <v>61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75.95</v>
      </c>
      <c r="P38" s="31" t="n">
        <v>50.23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-6.14</v>
      </c>
      <c r="U38" s="31" t="n">
        <v>57.16</v>
      </c>
      <c r="V38" s="31" t="n">
        <v>67.44</v>
      </c>
      <c r="W38" s="31" t="n">
        <v>21.94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IF(B39=0,"",RANK(B39,$B$2:$B$226,0))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GALAPREC</t>
        </is>
      </c>
      <c r="D39" s="30" t="inlineStr">
        <is>
          <t>Gala Precision Engineering Ltd</t>
        </is>
      </c>
      <c r="E39" s="30" t="inlineStr">
        <is>
          <t>castings, forgings &amp; fasteners</t>
        </is>
      </c>
      <c r="F39" s="30" t="inlineStr">
        <is>
          <t>fasteners</t>
        </is>
      </c>
      <c r="G39" s="30" t="inlineStr">
        <is>
          <t>smallcap</t>
        </is>
      </c>
      <c r="H39" s="31" t="n">
        <v>1472.07</v>
      </c>
      <c r="I39" s="31" t="n">
        <v>1140.2</v>
      </c>
      <c r="J39" s="31" t="n">
        <v>-0.73</v>
      </c>
      <c r="K39" s="31" t="n">
        <v>38862</v>
      </c>
      <c r="L39" s="30" t="n">
        <v>30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63.92</v>
      </c>
      <c r="P39" s="31" t="n">
        <v>45.84</v>
      </c>
      <c r="Q39" s="31" t="inlineStr"/>
      <c r="R39" s="30" t="inlineStr">
        <is>
          <t>Earnings / Momentum Support</t>
        </is>
      </c>
      <c r="S39" s="30" t="inlineStr">
        <is>
          <t>Nifty 50</t>
        </is>
      </c>
      <c r="T39" s="31" t="n">
        <v>-6.14</v>
      </c>
      <c r="U39" s="31" t="n">
        <v>49.6</v>
      </c>
      <c r="V39" s="31" t="n">
        <v>59.39</v>
      </c>
      <c r="W39" s="31" t="n">
        <v>10.98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IF(B40=0,"",RANK(B40,$B$2:$B$226,0))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WSTCSTPAPR</t>
        </is>
      </c>
      <c r="D40" s="30" t="inlineStr">
        <is>
          <t>West Coast Paper Mills Limited</t>
        </is>
      </c>
      <c r="E40" s="30" t="inlineStr">
        <is>
          <t>building materials</t>
        </is>
      </c>
      <c r="F40" s="30" t="inlineStr">
        <is>
          <t>paper</t>
        </is>
      </c>
      <c r="G40" s="30" t="inlineStr">
        <is>
          <t>smallcap</t>
        </is>
      </c>
      <c r="H40" s="31" t="n">
        <v>4834.12</v>
      </c>
      <c r="I40" s="31" t="n">
        <v>722.35</v>
      </c>
      <c r="J40" s="31" t="n">
        <v>-1.3</v>
      </c>
      <c r="K40" s="31" t="n">
        <v>120599</v>
      </c>
      <c r="L40" s="30" t="inlineStr"/>
      <c r="M40" s="30" t="inlineStr"/>
      <c r="N40" s="31">
        <f>IF(M40="Underperforming",-5,IF(L40&gt;=95,15,IF(L40&gt;=90,10,IF(L40&gt;=80,5,0))))</f>
        <v/>
      </c>
      <c r="O40" s="31" t="n">
        <v>72.11</v>
      </c>
      <c r="P40" s="31" t="n">
        <v>62.31</v>
      </c>
      <c r="Q40" s="31" t="inlineStr"/>
      <c r="R40" s="30" t="inlineStr">
        <is>
          <t>Earnings / Momentum Support</t>
        </is>
      </c>
      <c r="S40" s="30" t="inlineStr">
        <is>
          <t>Nifty Infra</t>
        </is>
      </c>
      <c r="T40" s="31" t="inlineStr"/>
      <c r="U40" s="31" t="inlineStr"/>
      <c r="V40" s="31" t="inlineStr"/>
      <c r="W40" s="31" t="inlineStr"/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IF(B41=0,"",RANK(B41,$B$2:$B$226,0))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CEIGALL</t>
        </is>
      </c>
      <c r="D41" s="30" t="inlineStr">
        <is>
          <t>Ceigall India Ltd</t>
        </is>
      </c>
      <c r="E41" s="30" t="inlineStr">
        <is>
          <t>realty</t>
        </is>
      </c>
      <c r="F41" s="30" t="inlineStr">
        <is>
          <t>construction</t>
        </is>
      </c>
      <c r="G41" s="30" t="inlineStr">
        <is>
          <t>midcap</t>
        </is>
      </c>
      <c r="H41" s="31" t="n">
        <v>6691.21</v>
      </c>
      <c r="I41" s="31" t="n">
        <v>378.55</v>
      </c>
      <c r="J41" s="31" t="n">
        <v>-1.44</v>
      </c>
      <c r="K41" s="31" t="n">
        <v>153927</v>
      </c>
      <c r="L41" s="30" t="inlineStr"/>
      <c r="M41" s="30" t="inlineStr"/>
      <c r="N41" s="31">
        <f>IF(M41="Underperforming",-5,IF(L41&gt;=95,15,IF(L41&gt;=90,10,IF(L41&gt;=80,5,0))))</f>
        <v/>
      </c>
      <c r="O41" s="31" t="n">
        <v>64.23999999999999</v>
      </c>
      <c r="P41" s="31" t="n">
        <v>26.73</v>
      </c>
      <c r="Q41" s="31" t="inlineStr"/>
      <c r="R41" s="30" t="inlineStr">
        <is>
          <t>Earnings / Momentum Support</t>
        </is>
      </c>
      <c r="S41" s="30" t="inlineStr">
        <is>
          <t>Nifty Realty</t>
        </is>
      </c>
      <c r="T41" s="31" t="inlineStr"/>
      <c r="U41" s="31" t="inlineStr"/>
      <c r="V41" s="31" t="inlineStr"/>
      <c r="W41" s="31" t="inlineStr"/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IF(B42=0,"",RANK(B42,$B$2:$B$226,0))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PLASTIBLEN</t>
        </is>
      </c>
      <c r="D42" s="30" t="inlineStr">
        <is>
          <t>Plastiblends India Limited</t>
        </is>
      </c>
      <c r="E42" s="30" t="inlineStr">
        <is>
          <t>chemicals</t>
        </is>
      </c>
      <c r="F42" s="30" t="inlineStr">
        <is>
          <t>chemicals</t>
        </is>
      </c>
      <c r="G42" s="30" t="inlineStr">
        <is>
          <t>smallcap</t>
        </is>
      </c>
      <c r="H42" s="31" t="n">
        <v>527.55</v>
      </c>
      <c r="I42" s="31" t="n">
        <v>199.86</v>
      </c>
      <c r="J42" s="31" t="n">
        <v>-1.54</v>
      </c>
      <c r="K42" s="31" t="n">
        <v>99546</v>
      </c>
      <c r="L42" s="30" t="n">
        <v>20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65.33</v>
      </c>
      <c r="P42" s="31" t="n">
        <v>34.77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-6.14</v>
      </c>
      <c r="U42" s="31" t="n">
        <v>11.08</v>
      </c>
      <c r="V42" s="31" t="n">
        <v>18.35</v>
      </c>
      <c r="W42" s="31" t="n">
        <v>7.73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IF(B43=0,"",RANK(B43,$B$2:$B$226,0))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ARROWGREEN</t>
        </is>
      </c>
      <c r="D43" s="30" t="inlineStr">
        <is>
          <t>Arrow Greentech Limited</t>
        </is>
      </c>
      <c r="E43" s="30" t="inlineStr">
        <is>
          <t>plastic products</t>
        </is>
      </c>
      <c r="F43" s="30" t="inlineStr">
        <is>
          <t>plastics products</t>
        </is>
      </c>
      <c r="G43" s="30" t="inlineStr">
        <is>
          <t>smallcap</t>
        </is>
      </c>
      <c r="H43" s="31" t="n">
        <v>1366.67</v>
      </c>
      <c r="I43" s="31" t="n">
        <v>891.85</v>
      </c>
      <c r="J43" s="31" t="n">
        <v>-1.54</v>
      </c>
      <c r="K43" s="31" t="n">
        <v>23332</v>
      </c>
      <c r="L43" s="30" t="n">
        <v>71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71.90000000000001</v>
      </c>
      <c r="P43" s="31" t="n">
        <v>49.83</v>
      </c>
      <c r="Q43" s="31" t="inlineStr"/>
      <c r="R43" s="30" t="inlineStr">
        <is>
          <t>Earnings / Momentum Support</t>
        </is>
      </c>
      <c r="S43" s="30" t="inlineStr">
        <is>
          <t>Nifty 50</t>
        </is>
      </c>
      <c r="T43" s="31" t="n">
        <v>-6.14</v>
      </c>
      <c r="U43" s="31" t="n">
        <v>66.47</v>
      </c>
      <c r="V43" s="31" t="n">
        <v>77.36</v>
      </c>
      <c r="W43" s="31" t="n">
        <v>26.22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IF(B44=0,"",RANK(B44,$B$2:$B$226,0))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IGPL</t>
        </is>
      </c>
      <c r="D44" s="30" t="inlineStr">
        <is>
          <t>Ig Petrochemicals Limited</t>
        </is>
      </c>
      <c r="E44" s="30" t="inlineStr">
        <is>
          <t>chemicals</t>
        </is>
      </c>
      <c r="F44" s="30" t="inlineStr">
        <is>
          <t>chemicals</t>
        </is>
      </c>
      <c r="G44" s="30" t="inlineStr">
        <is>
          <t>smallcap</t>
        </is>
      </c>
      <c r="H44" s="31" t="n">
        <v>1826.6</v>
      </c>
      <c r="I44" s="31" t="n">
        <v>581.55</v>
      </c>
      <c r="J44" s="31" t="n">
        <v>-1.96</v>
      </c>
      <c r="K44" s="31" t="n">
        <v>48549</v>
      </c>
      <c r="L44" s="30" t="n">
        <v>45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71.66</v>
      </c>
      <c r="P44" s="31" t="n">
        <v>35.33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-6.14</v>
      </c>
      <c r="U44" s="31" t="n">
        <v>43.43</v>
      </c>
      <c r="V44" s="31" t="n">
        <v>52.82</v>
      </c>
      <c r="W44" s="31" t="n">
        <v>15.94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IF(B45=0,"",RANK(B45,$B$2:$B$226,0))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INDNIPPON</t>
        </is>
      </c>
      <c r="D45" s="30" t="inlineStr">
        <is>
          <t>India Nippon Electricals Limited</t>
        </is>
      </c>
      <c r="E45" s="30" t="inlineStr">
        <is>
          <t>auto</t>
        </is>
      </c>
      <c r="F45" s="30" t="inlineStr">
        <is>
          <t>auto ancillaries</t>
        </is>
      </c>
      <c r="G45" s="30" t="inlineStr">
        <is>
          <t>smallcap</t>
        </is>
      </c>
      <c r="H45" s="31" t="n">
        <v>2981.96</v>
      </c>
      <c r="I45" s="31" t="n">
        <v>1290.6</v>
      </c>
      <c r="J45" s="31" t="n">
        <v>-2.09</v>
      </c>
      <c r="K45" s="31" t="n">
        <v>41621</v>
      </c>
      <c r="L45" s="30" t="inlineStr"/>
      <c r="M45" s="30" t="inlineStr"/>
      <c r="N45" s="31">
        <f>IF(M45="Underperforming",-5,IF(L45&gt;=95,15,IF(L45&gt;=90,10,IF(L45&gt;=80,5,0))))</f>
        <v/>
      </c>
      <c r="O45" s="31" t="n">
        <v>67.88</v>
      </c>
      <c r="P45" s="31" t="n">
        <v>52.25</v>
      </c>
      <c r="Q45" s="31" t="inlineStr"/>
      <c r="R45" s="30" t="inlineStr">
        <is>
          <t>Earnings / Momentum Support</t>
        </is>
      </c>
      <c r="S45" s="30" t="inlineStr">
        <is>
          <t>Nifty Auto</t>
        </is>
      </c>
      <c r="T45" s="31" t="inlineStr"/>
      <c r="U45" s="31" t="inlineStr"/>
      <c r="V45" s="31" t="inlineStr"/>
      <c r="W45" s="31" t="inlineStr"/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Between 12 to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Between 1.5 to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IF(B46=0,"",RANK(B46,$B$2:$B$226,0))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VINCOFE</t>
        </is>
      </c>
      <c r="D46" s="30" t="inlineStr">
        <is>
          <t>Vintage Coffee &amp; Beverages Ltd</t>
        </is>
      </c>
      <c r="E46" s="30" t="inlineStr">
        <is>
          <t>consumer discretionary</t>
        </is>
      </c>
      <c r="F46" s="30" t="inlineStr">
        <is>
          <t>trading</t>
        </is>
      </c>
      <c r="G46" s="30" t="inlineStr">
        <is>
          <t>smallcap</t>
        </is>
      </c>
      <c r="H46" s="31" t="n">
        <v>2682.85</v>
      </c>
      <c r="I46" s="31" t="n">
        <v>179.97</v>
      </c>
      <c r="J46" s="31" t="n">
        <v>-2.27</v>
      </c>
      <c r="K46" s="31" t="n">
        <v>872679</v>
      </c>
      <c r="L46" s="30" t="n">
        <v>25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67.43000000000001</v>
      </c>
      <c r="P46" s="31" t="n">
        <v>29.12</v>
      </c>
      <c r="Q46" s="31" t="inlineStr"/>
      <c r="R46" s="30" t="inlineStr">
        <is>
          <t>Earnings / Momentum Support</t>
        </is>
      </c>
      <c r="S46" s="30" t="inlineStr">
        <is>
          <t>Nifty 50</t>
        </is>
      </c>
      <c r="T46" s="31" t="n">
        <v>-6.14</v>
      </c>
      <c r="U46" s="31" t="n">
        <v>24.54</v>
      </c>
      <c r="V46" s="31" t="n">
        <v>32.69</v>
      </c>
      <c r="W46" s="31" t="n">
        <v>9.619999999999999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IF(B47=0,"",RANK(B47,$B$2:$B$226,0))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LLOYDSENGG</t>
        </is>
      </c>
      <c r="D47" s="30" t="inlineStr">
        <is>
          <t>Lloyds Engineering Works Ltd</t>
        </is>
      </c>
      <c r="E47" s="30" t="inlineStr">
        <is>
          <t>industrials</t>
        </is>
      </c>
      <c r="F47" s="30" t="inlineStr">
        <is>
          <t>engineering</t>
        </is>
      </c>
      <c r="G47" s="30" t="inlineStr">
        <is>
          <t>midcap</t>
        </is>
      </c>
      <c r="H47" s="31" t="n">
        <v>15287.04</v>
      </c>
      <c r="I47" s="31" t="n">
        <v>95.97</v>
      </c>
      <c r="J47" s="31" t="n">
        <v>-2.63</v>
      </c>
      <c r="K47" s="31" t="n">
        <v>19001411</v>
      </c>
      <c r="L47" s="30" t="n">
        <v>63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69.16</v>
      </c>
      <c r="P47" s="31" t="n">
        <v>44.78</v>
      </c>
      <c r="Q47" s="31" t="inlineStr"/>
      <c r="R47" s="30" t="inlineStr">
        <is>
          <t>Earnings / Momentum Support</t>
        </is>
      </c>
      <c r="S47" s="30" t="inlineStr">
        <is>
          <t>Nifty 50</t>
        </is>
      </c>
      <c r="T47" s="31" t="n">
        <v>-6.14</v>
      </c>
      <c r="U47" s="31" t="n">
        <v>67.43000000000001</v>
      </c>
      <c r="V47" s="31" t="n">
        <v>78.38</v>
      </c>
      <c r="W47" s="31" t="n">
        <v>22.99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IF(B48=0,"",RANK(B48,$B$2:$B$226,0))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KROSS</t>
        </is>
      </c>
      <c r="D48" s="30" t="inlineStr">
        <is>
          <t>Kross Ltd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smallcap</t>
        </is>
      </c>
      <c r="H48" s="31" t="n">
        <v>1728.01</v>
      </c>
      <c r="I48" s="31" t="n">
        <v>260.23</v>
      </c>
      <c r="J48" s="31" t="n">
        <v>-2.85</v>
      </c>
      <c r="K48" s="31" t="n">
        <v>518981</v>
      </c>
      <c r="L48" s="30" t="inlineStr"/>
      <c r="M48" s="30" t="inlineStr"/>
      <c r="N48" s="31">
        <f>IF(M48="Underperforming",-5,IF(L48&gt;=95,15,IF(L48&gt;=90,10,IF(L48&gt;=80,5,0))))</f>
        <v/>
      </c>
      <c r="O48" s="31" t="n">
        <v>72.97</v>
      </c>
      <c r="P48" s="31" t="n">
        <v>35.98</v>
      </c>
      <c r="Q48" s="31" t="inlineStr"/>
      <c r="R48" s="30" t="inlineStr">
        <is>
          <t>Earnings / Momentum Support</t>
        </is>
      </c>
      <c r="S48" s="30" t="inlineStr">
        <is>
          <t>Nifty Auto</t>
        </is>
      </c>
      <c r="T48" s="31" t="inlineStr"/>
      <c r="U48" s="31" t="inlineStr"/>
      <c r="V48" s="31" t="inlineStr"/>
      <c r="W48" s="31" t="inlineStr"/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IF(B49=0,"",RANK(B49,$B$2:$B$226,0))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GHCLTEXTIL</t>
        </is>
      </c>
      <c r="D49" s="30" t="inlineStr">
        <is>
          <t>GHCL Textiles Ltd</t>
        </is>
      </c>
      <c r="E49" s="30" t="inlineStr">
        <is>
          <t>textiles</t>
        </is>
      </c>
      <c r="F49" s="30" t="inlineStr">
        <is>
          <t>textiles - spinning - synthetic / blended</t>
        </is>
      </c>
      <c r="G49" s="30" t="inlineStr">
        <is>
          <t>smallcap</t>
        </is>
      </c>
      <c r="H49" s="31" t="n">
        <v>1329.79</v>
      </c>
      <c r="I49" s="31" t="n">
        <v>134.83</v>
      </c>
      <c r="J49" s="31" t="n">
        <v>-3.08</v>
      </c>
      <c r="K49" s="31" t="n">
        <v>613654</v>
      </c>
      <c r="L49" s="30" t="n">
        <v>68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70.64</v>
      </c>
      <c r="P49" s="31" t="n">
        <v>50.37</v>
      </c>
      <c r="Q49" s="31" t="inlineStr"/>
      <c r="R49" s="30" t="inlineStr">
        <is>
          <t>Earnings / Momentum Support</t>
        </is>
      </c>
      <c r="S49" s="30" t="inlineStr">
        <is>
          <t>Nifty 50</t>
        </is>
      </c>
      <c r="T49" s="31" t="n">
        <v>-6.14</v>
      </c>
      <c r="U49" s="31" t="n">
        <v>80.98</v>
      </c>
      <c r="V49" s="31" t="n">
        <v>92.81999999999999</v>
      </c>
      <c r="W49" s="31" t="n">
        <v>24.92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IF(B50=0,"",RANK(B50,$B$2:$B$226,0))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VALIANTORG</t>
        </is>
      </c>
      <c r="D50" s="30" t="inlineStr">
        <is>
          <t>Valiant Organics Ltd</t>
        </is>
      </c>
      <c r="E50" s="30" t="inlineStr">
        <is>
          <t>chemicals</t>
        </is>
      </c>
      <c r="F50" s="30" t="inlineStr">
        <is>
          <t>chemicals</t>
        </is>
      </c>
      <c r="G50" s="30" t="inlineStr">
        <is>
          <t>smallcap</t>
        </is>
      </c>
      <c r="H50" s="31" t="n">
        <v>1150.68</v>
      </c>
      <c r="I50" s="31" t="n">
        <v>397.75</v>
      </c>
      <c r="J50" s="31" t="n">
        <v>-3.09</v>
      </c>
      <c r="K50" s="31" t="n">
        <v>33242</v>
      </c>
      <c r="L50" s="30" t="n">
        <v>47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69.04000000000001</v>
      </c>
      <c r="P50" s="31" t="n">
        <v>44.01</v>
      </c>
      <c r="Q50" s="31" t="inlineStr"/>
      <c r="R50" s="30" t="inlineStr">
        <is>
          <t>Earnings / Momentum Support</t>
        </is>
      </c>
      <c r="S50" s="30" t="inlineStr">
        <is>
          <t>Nifty 50</t>
        </is>
      </c>
      <c r="T50" s="31" t="n">
        <v>-6.14</v>
      </c>
      <c r="U50" s="31" t="n">
        <v>23.24</v>
      </c>
      <c r="V50" s="31" t="n">
        <v>31.3</v>
      </c>
      <c r="W50" s="31" t="n">
        <v>16.31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IF(B51=0,"",RANK(B51,$B$2:$B$226,0))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IBULLSLTD</t>
        </is>
      </c>
      <c r="D51" s="30" t="inlineStr">
        <is>
          <t>Indiabulls Limited</t>
        </is>
      </c>
      <c r="E51" s="30" t="inlineStr">
        <is>
          <t>miscellaneous</t>
        </is>
      </c>
      <c r="F51" s="30" t="inlineStr">
        <is>
          <t>diversified - medium / small</t>
        </is>
      </c>
      <c r="G51" s="30" t="inlineStr">
        <is>
          <t>midcap</t>
        </is>
      </c>
      <c r="H51" s="31" t="n">
        <v>6949.03</v>
      </c>
      <c r="I51" s="31" t="n">
        <v>28.9</v>
      </c>
      <c r="J51" s="31" t="n">
        <v>-3.12</v>
      </c>
      <c r="K51" s="31" t="n">
        <v>15268932</v>
      </c>
      <c r="L51" s="30" t="n">
        <v>79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64.40000000000001</v>
      </c>
      <c r="P51" s="31" t="n">
        <v>39.66</v>
      </c>
      <c r="Q51" s="31" t="inlineStr"/>
      <c r="R51" s="30" t="inlineStr">
        <is>
          <t>Earnings / Momentum Support</t>
        </is>
      </c>
      <c r="S51" s="30" t="inlineStr">
        <is>
          <t>Nifty 50</t>
        </is>
      </c>
      <c r="T51" s="31" t="n">
        <v>-6.14</v>
      </c>
      <c r="U51" s="31" t="n">
        <v>59.09</v>
      </c>
      <c r="V51" s="31" t="n">
        <v>69.5</v>
      </c>
      <c r="W51" s="31" t="n">
        <v>30.55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IF(B52=0,"",RANK(B52,$B$2:$B$226,0))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MVGJL</t>
        </is>
      </c>
      <c r="D52" s="30" t="inlineStr">
        <is>
          <t>Manoj Vaibhav Gems N Jewellers Ltd</t>
        </is>
      </c>
      <c r="E52" s="30" t="inlineStr">
        <is>
          <t>consumer discretionary</t>
        </is>
      </c>
      <c r="F52" s="30" t="inlineStr">
        <is>
          <t>diamond cutting / jewellery</t>
        </is>
      </c>
      <c r="G52" s="30" t="inlineStr">
        <is>
          <t>smallcap</t>
        </is>
      </c>
      <c r="H52" s="31" t="n">
        <v>1096.04</v>
      </c>
      <c r="I52" s="31" t="n">
        <v>215.94</v>
      </c>
      <c r="J52" s="31" t="n">
        <v>-3.76</v>
      </c>
      <c r="K52" s="31" t="n">
        <v>280855</v>
      </c>
      <c r="L52" s="30" t="n">
        <v>51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71.81</v>
      </c>
      <c r="P52" s="31" t="n">
        <v>21.48</v>
      </c>
      <c r="Q52" s="31" t="inlineStr"/>
      <c r="R52" s="30" t="inlineStr">
        <is>
          <t>Earnings / Momentum Support</t>
        </is>
      </c>
      <c r="S52" s="30" t="inlineStr">
        <is>
          <t>Nifty 50</t>
        </is>
      </c>
      <c r="T52" s="31" t="n">
        <v>-6.14</v>
      </c>
      <c r="U52" s="31" t="n">
        <v>17.52</v>
      </c>
      <c r="V52" s="31" t="n">
        <v>25.21</v>
      </c>
      <c r="W52" s="31" t="n">
        <v>17.6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IF(B53=0,"",RANK(B53,$B$2:$B$226,0))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PCJEWELLER</t>
        </is>
      </c>
      <c r="D53" s="30" t="inlineStr">
        <is>
          <t>Pc Jeweller Limited</t>
        </is>
      </c>
      <c r="E53" s="30" t="inlineStr">
        <is>
          <t>consumer discretionary</t>
        </is>
      </c>
      <c r="F53" s="30" t="inlineStr">
        <is>
          <t>diamond cutting / jewellery</t>
        </is>
      </c>
      <c r="G53" s="30" t="inlineStr">
        <is>
          <t>midcap</t>
        </is>
      </c>
      <c r="H53" s="31" t="n">
        <v>13701.56</v>
      </c>
      <c r="I53" s="31" t="n">
        <v>13.52</v>
      </c>
      <c r="J53" s="31" t="n">
        <v>-4.18</v>
      </c>
      <c r="K53" s="31" t="n">
        <v>404984641</v>
      </c>
      <c r="L53" s="30" t="n">
        <v>57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69.79000000000001</v>
      </c>
      <c r="P53" s="31" t="n">
        <v>34</v>
      </c>
      <c r="Q53" s="31" t="inlineStr"/>
      <c r="R53" s="30" t="inlineStr">
        <is>
          <t>Earnings / Momentum Support</t>
        </is>
      </c>
      <c r="S53" s="30" t="inlineStr">
        <is>
          <t>Nifty 50</t>
        </is>
      </c>
      <c r="T53" s="31" t="n">
        <v>-6.14</v>
      </c>
      <c r="U53" s="31" t="n">
        <v>16.13</v>
      </c>
      <c r="V53" s="31" t="n">
        <v>23.73</v>
      </c>
      <c r="W53" s="31" t="n">
        <v>19.82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IF(B54=0,"",RANK(B54,$B$2:$B$226,0))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IRISDOREME</t>
        </is>
      </c>
      <c r="D54" s="30" t="inlineStr">
        <is>
          <t>Iris Clothings Ltd</t>
        </is>
      </c>
      <c r="E54" s="30" t="inlineStr">
        <is>
          <t>readymade garments/apparels</t>
        </is>
      </c>
      <c r="F54" s="30" t="inlineStr">
        <is>
          <t>textiles - products</t>
        </is>
      </c>
      <c r="G54" s="30" t="inlineStr">
        <is>
          <t>smallcap</t>
        </is>
      </c>
      <c r="H54" s="31" t="n">
        <v>1259.04</v>
      </c>
      <c r="I54" s="31" t="n">
        <v>62.78</v>
      </c>
      <c r="J54" s="31" t="n">
        <v>-5.09</v>
      </c>
      <c r="K54" s="31" t="n">
        <v>364784</v>
      </c>
      <c r="L54" s="30" t="n">
        <v>83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82.53</v>
      </c>
      <c r="P54" s="31" t="n">
        <v>56.4</v>
      </c>
      <c r="Q54" s="31" t="inlineStr"/>
      <c r="R54" s="30" t="inlineStr">
        <is>
          <t>Earnings / Momentum Support</t>
        </is>
      </c>
      <c r="S54" s="30" t="inlineStr">
        <is>
          <t>Nifty 50</t>
        </is>
      </c>
      <c r="T54" s="31" t="n">
        <v>-6.14</v>
      </c>
      <c r="U54" s="31" t="n">
        <v>107.3</v>
      </c>
      <c r="V54" s="31" t="n">
        <v>120.87</v>
      </c>
      <c r="W54" s="31" t="n">
        <v>33.68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IF(B55=0,"",RANK(B55,$B$2:$B$226,0))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DELTACORP</t>
        </is>
      </c>
      <c r="D55" s="30" t="inlineStr">
        <is>
          <t>Delta Corp Limited</t>
        </is>
      </c>
      <c r="E55" s="30" t="inlineStr">
        <is>
          <t>miscellaneous</t>
        </is>
      </c>
      <c r="F55" s="30" t="inlineStr">
        <is>
          <t>recreation / amusement parks</t>
        </is>
      </c>
      <c r="G55" s="30" t="inlineStr">
        <is>
          <t>smallcap</t>
        </is>
      </c>
      <c r="H55" s="31" t="n">
        <v>2057.55</v>
      </c>
      <c r="I55" s="31" t="n">
        <v>72.2</v>
      </c>
      <c r="J55" s="31" t="n">
        <v>-6.04</v>
      </c>
      <c r="K55" s="31" t="n">
        <v>13847267</v>
      </c>
      <c r="L55" s="30" t="n">
        <v>11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63.91</v>
      </c>
      <c r="P55" s="31" t="n">
        <v>22.86</v>
      </c>
      <c r="Q55" s="31" t="inlineStr"/>
      <c r="R55" s="30" t="inlineStr">
        <is>
          <t>Earnings / Momentum Support</t>
        </is>
      </c>
      <c r="S55" s="30" t="inlineStr">
        <is>
          <t>Nifty 50</t>
        </is>
      </c>
      <c r="T55" s="31" t="n">
        <v>-6.14</v>
      </c>
      <c r="U55" s="31" t="n">
        <v>-3.58</v>
      </c>
      <c r="V55" s="31" t="n">
        <v>2.72</v>
      </c>
      <c r="W55" s="31" t="n">
        <v>4.61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IF(B56=0,"",RANK(B56,$B$2:$B$226,0))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INDSWFTLAB</t>
        </is>
      </c>
      <c r="D56" s="30" t="inlineStr">
        <is>
          <t>Ind-swift Laboratories Limited</t>
        </is>
      </c>
      <c r="E56" s="30" t="inlineStr">
        <is>
          <t>healthcare</t>
        </is>
      </c>
      <c r="F56" s="30" t="inlineStr">
        <is>
          <t>pharmaceuticals - indian - bulk drugs &amp; formln</t>
        </is>
      </c>
      <c r="G56" s="30" t="inlineStr">
        <is>
          <t>smallcap</t>
        </is>
      </c>
      <c r="H56" s="31" t="n">
        <v>3516.29</v>
      </c>
      <c r="I56" s="31" t="n">
        <v>408.1</v>
      </c>
      <c r="J56" s="31" t="n">
        <v>0.93</v>
      </c>
      <c r="K56" s="31" t="n">
        <v>598696</v>
      </c>
      <c r="L56" s="30" t="n">
        <v>96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85.42</v>
      </c>
      <c r="P56" s="31" t="n">
        <v>76.11</v>
      </c>
      <c r="Q56" s="31" t="inlineStr"/>
      <c r="R56" s="30" t="inlineStr">
        <is>
          <t>Earnings / Momentum Support</t>
        </is>
      </c>
      <c r="S56" s="30" t="inlineStr">
        <is>
          <t>Nifty Pharma</t>
        </is>
      </c>
      <c r="T56" s="31" t="n">
        <v>25.55</v>
      </c>
      <c r="U56" s="31" t="n">
        <v>304.63</v>
      </c>
      <c r="V56" s="31" t="n">
        <v>222.28</v>
      </c>
      <c r="W56" s="31" t="n">
        <v>58.1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IF(B57=0,"",RANK(B57,$B$2:$B$226,0))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MOREPENLAB</t>
        </is>
      </c>
      <c r="D57" s="30" t="inlineStr">
        <is>
          <t>Morepen Laboratories Limited</t>
        </is>
      </c>
      <c r="E57" s="30" t="inlineStr">
        <is>
          <t>healthcare</t>
        </is>
      </c>
      <c r="F57" s="30" t="inlineStr">
        <is>
          <t>pharmaceuticals - indian - bulk drugs &amp; formln</t>
        </is>
      </c>
      <c r="G57" s="30" t="inlineStr">
        <is>
          <t>midcap</t>
        </is>
      </c>
      <c r="H57" s="31" t="n">
        <v>6596.27</v>
      </c>
      <c r="I57" s="31" t="n">
        <v>120.71</v>
      </c>
      <c r="J57" s="31" t="n">
        <v>0.27</v>
      </c>
      <c r="K57" s="31" t="n">
        <v>19123218</v>
      </c>
      <c r="L57" s="30" t="n">
        <v>96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87.95</v>
      </c>
      <c r="P57" s="31" t="n">
        <v>56.46</v>
      </c>
      <c r="Q57" s="31" t="inlineStr"/>
      <c r="R57" s="30" t="inlineStr">
        <is>
          <t>Earnings / Momentum Support</t>
        </is>
      </c>
      <c r="S57" s="30" t="inlineStr">
        <is>
          <t>Nifty Pharma</t>
        </is>
      </c>
      <c r="T57" s="31" t="n">
        <v>25.55</v>
      </c>
      <c r="U57" s="31" t="n">
        <v>146.74</v>
      </c>
      <c r="V57" s="31" t="n">
        <v>96.52</v>
      </c>
      <c r="W57" s="31" t="n">
        <v>54.55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IF(B58=0,"",RANK(B58,$B$2:$B$226,0))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ENTERO</t>
        </is>
      </c>
      <c r="D58" s="30" t="inlineStr">
        <is>
          <t>Entero Healthcare Solutions Ltd</t>
        </is>
      </c>
      <c r="E58" s="30" t="inlineStr">
        <is>
          <t>healthcare</t>
        </is>
      </c>
      <c r="F58" s="30" t="inlineStr">
        <is>
          <t>trading</t>
        </is>
      </c>
      <c r="G58" s="30" t="inlineStr">
        <is>
          <t>midcap</t>
        </is>
      </c>
      <c r="H58" s="31" t="n">
        <v>7929.03</v>
      </c>
      <c r="I58" s="31" t="n">
        <v>1790.1</v>
      </c>
      <c r="J58" s="31" t="n">
        <v>-1.74</v>
      </c>
      <c r="K58" s="31" t="n">
        <v>183547</v>
      </c>
      <c r="L58" s="30" t="n">
        <v>66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73.28</v>
      </c>
      <c r="P58" s="31" t="n">
        <v>45.14</v>
      </c>
      <c r="Q58" s="31" t="inlineStr"/>
      <c r="R58" s="30" t="inlineStr">
        <is>
          <t>Earnings / Momentum Support</t>
        </is>
      </c>
      <c r="S58" s="30" t="inlineStr">
        <is>
          <t>Nifty Pharma</t>
        </is>
      </c>
      <c r="T58" s="31" t="n">
        <v>25.55</v>
      </c>
      <c r="U58" s="31" t="n">
        <v>68.19</v>
      </c>
      <c r="V58" s="31" t="n">
        <v>33.96</v>
      </c>
      <c r="W58" s="31" t="n">
        <v>24.39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Between 1.5 to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IF(B59=0,"",RANK(B59,$B$2:$B$226,0))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MAWANASUG</t>
        </is>
      </c>
      <c r="D59" s="30" t="inlineStr">
        <is>
          <t>Mawana Sugars Limited</t>
        </is>
      </c>
      <c r="E59" s="30" t="inlineStr">
        <is>
          <t>fmcg</t>
        </is>
      </c>
      <c r="F59" s="30" t="inlineStr">
        <is>
          <t>sugar</t>
        </is>
      </c>
      <c r="G59" s="30" t="inlineStr">
        <is>
          <t>smallcap</t>
        </is>
      </c>
      <c r="H59" s="31" t="n">
        <v>585.34</v>
      </c>
      <c r="I59" s="31" t="n">
        <v>145.9</v>
      </c>
      <c r="J59" s="31" t="n">
        <v>-2.5</v>
      </c>
      <c r="K59" s="31" t="n">
        <v>798917</v>
      </c>
      <c r="L59" s="30" t="inlineStr"/>
      <c r="M59" s="30" t="inlineStr"/>
      <c r="N59" s="31">
        <f>IF(M59="Underperforming",-5,IF(L59&gt;=95,15,IF(L59&gt;=90,10,IF(L59&gt;=80,5,0))))</f>
        <v/>
      </c>
      <c r="O59" s="31" t="n">
        <v>68.28</v>
      </c>
      <c r="P59" s="31" t="n">
        <v>42.53</v>
      </c>
      <c r="Q59" s="31" t="inlineStr"/>
      <c r="R59" s="30" t="inlineStr">
        <is>
          <t>Earnings / Momentum Support</t>
        </is>
      </c>
      <c r="S59" s="30" t="inlineStr">
        <is>
          <t>Nifty FMCG</t>
        </is>
      </c>
      <c r="T59" s="31" t="inlineStr"/>
      <c r="U59" s="31" t="inlineStr"/>
      <c r="V59" s="31" t="inlineStr"/>
      <c r="W59" s="31" t="inlineStr"/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B2C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Between 0.7 to 1.2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IF(B60=0,"",RANK(B60,$B$2:$B$226,0))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MACPOWER</t>
        </is>
      </c>
      <c r="D60" s="30" t="inlineStr">
        <is>
          <t>Macpower CNC Machines Ltd</t>
        </is>
      </c>
      <c r="E60" s="30" t="inlineStr">
        <is>
          <t>industrials</t>
        </is>
      </c>
      <c r="F60" s="30" t="inlineStr">
        <is>
          <t>engineering</t>
        </is>
      </c>
      <c r="G60" s="30" t="inlineStr">
        <is>
          <t>smallcap</t>
        </is>
      </c>
      <c r="H60" s="31" t="n">
        <v>2063.36</v>
      </c>
      <c r="I60" s="31" t="n">
        <v>2194.6</v>
      </c>
      <c r="J60" s="31" t="n">
        <v>6.4</v>
      </c>
      <c r="K60" s="31" t="n">
        <v>148082</v>
      </c>
      <c r="L60" s="30" t="n">
        <v>88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73.15000000000001</v>
      </c>
      <c r="P60" s="31" t="n">
        <v>54.97</v>
      </c>
      <c r="Q60" s="31" t="inlineStr"/>
      <c r="R60" s="30" t="inlineStr">
        <is>
          <t>Earnings / Momentum Support</t>
        </is>
      </c>
      <c r="S60" s="30" t="inlineStr">
        <is>
          <t>Nifty 50</t>
        </is>
      </c>
      <c r="T60" s="31" t="n">
        <v>-6.14</v>
      </c>
      <c r="U60" s="31" t="n">
        <v>147.2</v>
      </c>
      <c r="V60" s="31" t="n">
        <v>163.38</v>
      </c>
      <c r="W60" s="31" t="n">
        <v>40.21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IF(B61=0,"",RANK(B61,$B$2:$B$226,0))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DIVGIITTS</t>
        </is>
      </c>
      <c r="D61" s="30" t="inlineStr">
        <is>
          <t>Divgi Torqtransfer Systems Ltd</t>
        </is>
      </c>
      <c r="E61" s="30" t="inlineStr">
        <is>
          <t>auto</t>
        </is>
      </c>
      <c r="F61" s="30" t="inlineStr">
        <is>
          <t>auto ancillaries</t>
        </is>
      </c>
      <c r="G61" s="30" t="inlineStr">
        <is>
          <t>smallcap</t>
        </is>
      </c>
      <c r="H61" s="31" t="n">
        <v>3531.1</v>
      </c>
      <c r="I61" s="31" t="n">
        <v>1218.6</v>
      </c>
      <c r="J61" s="31" t="n">
        <v>5.54</v>
      </c>
      <c r="K61" s="31" t="n">
        <v>376368</v>
      </c>
      <c r="L61" s="30" t="inlineStr"/>
      <c r="M61" s="30" t="inlineStr"/>
      <c r="N61" s="31">
        <f>IF(M61="Underperforming",-5,IF(L61&gt;=95,15,IF(L61&gt;=90,10,IF(L61&gt;=80,5,0))))</f>
        <v/>
      </c>
      <c r="O61" s="31" t="n">
        <v>62.58</v>
      </c>
      <c r="P61" s="31" t="n">
        <v>55.18</v>
      </c>
      <c r="Q61" s="31" t="inlineStr"/>
      <c r="R61" s="30" t="inlineStr">
        <is>
          <t>Earnings / Momentum Support</t>
        </is>
      </c>
      <c r="S61" s="30" t="inlineStr">
        <is>
          <t>Nifty Auto</t>
        </is>
      </c>
      <c r="T61" s="31" t="inlineStr"/>
      <c r="U61" s="31" t="inlineStr"/>
      <c r="V61" s="31" t="inlineStr"/>
      <c r="W61" s="31" t="inlineStr"/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IF(B62=0,"",RANK(B62,$B$2:$B$226,0))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MARINE</t>
        </is>
      </c>
      <c r="D62" s="30" t="inlineStr">
        <is>
          <t>Marine Electricals (India) Ltd</t>
        </is>
      </c>
      <c r="E62" s="30" t="inlineStr">
        <is>
          <t>industrials</t>
        </is>
      </c>
      <c r="F62" s="30" t="inlineStr">
        <is>
          <t>electric equipment</t>
        </is>
      </c>
      <c r="G62" s="30" t="inlineStr">
        <is>
          <t>midcap</t>
        </is>
      </c>
      <c r="H62" s="31" t="n">
        <v>5790.2</v>
      </c>
      <c r="I62" s="31" t="n">
        <v>428.2</v>
      </c>
      <c r="J62" s="31" t="n">
        <v>3.49</v>
      </c>
      <c r="K62" s="31" t="n">
        <v>2468681</v>
      </c>
      <c r="L62" s="30" t="n">
        <v>78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69.92</v>
      </c>
      <c r="P62" s="31" t="n">
        <v>49</v>
      </c>
      <c r="Q62" s="31" t="inlineStr"/>
      <c r="R62" s="30" t="inlineStr">
        <is>
          <t>Earnings / Momentum Support</t>
        </is>
      </c>
      <c r="S62" s="30" t="inlineStr">
        <is>
          <t>Nifty 50</t>
        </is>
      </c>
      <c r="T62" s="31" t="n">
        <v>-6.14</v>
      </c>
      <c r="U62" s="31" t="n">
        <v>94.90000000000001</v>
      </c>
      <c r="V62" s="31" t="n">
        <v>107.66</v>
      </c>
      <c r="W62" s="31" t="n">
        <v>30.21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Between 1.5 to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IF(B63=0,"",RANK(B63,$B$2:$B$226,0))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HITECHCORP</t>
        </is>
      </c>
      <c r="D63" s="30" t="inlineStr">
        <is>
          <t>Hitech Corporation</t>
        </is>
      </c>
      <c r="E63" s="30" t="inlineStr">
        <is>
          <t>industrials</t>
        </is>
      </c>
      <c r="F63" s="30" t="inlineStr">
        <is>
          <t>packaging</t>
        </is>
      </c>
      <c r="G63" s="30" t="inlineStr">
        <is>
          <t>smallcap</t>
        </is>
      </c>
      <c r="H63" s="31" t="n">
        <v>567.0599999999999</v>
      </c>
      <c r="I63" s="31" t="n">
        <v>341.45</v>
      </c>
      <c r="J63" s="31" t="n">
        <v>3.42</v>
      </c>
      <c r="K63" s="31" t="n">
        <v>38828</v>
      </c>
      <c r="L63" s="30" t="n">
        <v>70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76.52</v>
      </c>
      <c r="P63" s="31" t="n">
        <v>65.3</v>
      </c>
      <c r="Q63" s="31" t="inlineStr"/>
      <c r="R63" s="30" t="inlineStr">
        <is>
          <t>Earnings / Momentum Support</t>
        </is>
      </c>
      <c r="S63" s="30" t="inlineStr">
        <is>
          <t>Nifty 50</t>
        </is>
      </c>
      <c r="T63" s="31" t="n">
        <v>-6.14</v>
      </c>
      <c r="U63" s="31" t="n">
        <v>73.3</v>
      </c>
      <c r="V63" s="31" t="n">
        <v>84.63</v>
      </c>
      <c r="W63" s="31" t="n">
        <v>25.94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IF(B64=0,"",RANK(B64,$B$2:$B$226,0))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KANORICHEM</t>
        </is>
      </c>
      <c r="D64" s="30" t="inlineStr">
        <is>
          <t>Kanoria Chemicals &amp; Industries Limited</t>
        </is>
      </c>
      <c r="E64" s="30" t="inlineStr">
        <is>
          <t>chemicals</t>
        </is>
      </c>
      <c r="F64" s="30" t="inlineStr">
        <is>
          <t>chemicals</t>
        </is>
      </c>
      <c r="G64" s="30" t="inlineStr">
        <is>
          <t>smallcap</t>
        </is>
      </c>
      <c r="H64" s="31" t="n">
        <v>867.53</v>
      </c>
      <c r="I64" s="31" t="n">
        <v>202.55</v>
      </c>
      <c r="J64" s="31" t="n">
        <v>2.01</v>
      </c>
      <c r="K64" s="31" t="n">
        <v>59287</v>
      </c>
      <c r="L64" s="30" t="n">
        <v>87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80.5</v>
      </c>
      <c r="P64" s="31" t="n">
        <v>72.22</v>
      </c>
      <c r="Q64" s="31" t="inlineStr"/>
      <c r="R64" s="30" t="inlineStr">
        <is>
          <t>Earnings / Momentum Support</t>
        </is>
      </c>
      <c r="S64" s="30" t="inlineStr">
        <is>
          <t>Nifty 50</t>
        </is>
      </c>
      <c r="T64" s="31" t="n">
        <v>-6.14</v>
      </c>
      <c r="U64" s="31" t="n">
        <v>146.95</v>
      </c>
      <c r="V64" s="31" t="n">
        <v>163.11</v>
      </c>
      <c r="W64" s="31" t="n">
        <v>39.19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IF(B65=0,"",RANK(B65,$B$2:$B$226,0))</f>
        <v/>
      </c>
      <c r="B65" s="31">
        <f>SUM(N65,Y65,AA65,AC65,AE65,AG65,AI65,AK65,AM65,AO65,AQ65,AS65,AU65,AW65,AY65,BA65,BC65,BE65,BG65,BI65,BK65,BM65,BO65,BQ65,BS65,BU65,BW65,BY65,CA65,CC65,CE65)</f>
        <v/>
      </c>
      <c r="C65" s="32" t="inlineStr">
        <is>
          <t>TREL</t>
        </is>
      </c>
      <c r="D65" s="32" t="inlineStr">
        <is>
          <t>TransIndia Real Estate Ltd</t>
        </is>
      </c>
      <c r="E65" s="30" t="inlineStr">
        <is>
          <t>transportation</t>
        </is>
      </c>
      <c r="F65" s="30" t="inlineStr">
        <is>
          <t>miscellaneous</t>
        </is>
      </c>
      <c r="G65" s="30" t="inlineStr">
        <is>
          <t>smallcap</t>
        </is>
      </c>
      <c r="H65" s="31" t="n">
        <v>695.8099999999999</v>
      </c>
      <c r="I65" s="31" t="n">
        <v>28.89</v>
      </c>
      <c r="J65" s="31" t="n">
        <v>2.01</v>
      </c>
      <c r="K65" s="31" t="n">
        <v>143807</v>
      </c>
      <c r="L65" s="30" t="n">
        <v>1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57.33</v>
      </c>
      <c r="P65" s="31" t="n">
        <v>22.41</v>
      </c>
      <c r="Q65" s="31" t="inlineStr"/>
      <c r="R65" s="30" t="inlineStr">
        <is>
          <t>Earnings / Momentum Support</t>
        </is>
      </c>
      <c r="S65" s="30" t="inlineStr">
        <is>
          <t>Nifty 50</t>
        </is>
      </c>
      <c r="T65" s="31" t="n">
        <v>-6.14</v>
      </c>
      <c r="U65" s="31" t="n">
        <v>-11.36</v>
      </c>
      <c r="V65" s="31" t="n">
        <v>-5.56</v>
      </c>
      <c r="W65" s="31" t="n">
        <v>-0.61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IF(B66=0,"",RANK(B66,$B$2:$B$226,0))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KABRAEXTRU</t>
        </is>
      </c>
      <c r="D66" s="30" t="inlineStr">
        <is>
          <t>Kabra Extrusion Technik Limited</t>
        </is>
      </c>
      <c r="E66" s="30" t="inlineStr">
        <is>
          <t>industrials</t>
        </is>
      </c>
      <c r="F66" s="30" t="inlineStr">
        <is>
          <t>engineering</t>
        </is>
      </c>
      <c r="G66" s="30" t="inlineStr">
        <is>
          <t>smallcap</t>
        </is>
      </c>
      <c r="H66" s="31" t="n">
        <v>2960.1</v>
      </c>
      <c r="I66" s="31" t="n">
        <v>863.15</v>
      </c>
      <c r="J66" s="31" t="n">
        <v>1.98</v>
      </c>
      <c r="K66" s="31" t="n">
        <v>601526</v>
      </c>
      <c r="L66" s="30" t="n">
        <v>98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86.13</v>
      </c>
      <c r="P66" s="31" t="n">
        <v>71.25</v>
      </c>
      <c r="Q66" s="31" t="inlineStr"/>
      <c r="R66" s="30" t="inlineStr">
        <is>
          <t>Earnings / Momentum Support</t>
        </is>
      </c>
      <c r="S66" s="30" t="inlineStr">
        <is>
          <t>Nifty 50</t>
        </is>
      </c>
      <c r="T66" s="31" t="n">
        <v>-6.14</v>
      </c>
      <c r="U66" s="31" t="n">
        <v>223.36</v>
      </c>
      <c r="V66" s="31" t="n">
        <v>244.52</v>
      </c>
      <c r="W66" s="31" t="n">
        <v>98.06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IF(B67=0,"",RANK(B67,$B$2:$B$226,0))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MAZDA</t>
        </is>
      </c>
      <c r="D67" s="30" t="inlineStr">
        <is>
          <t>Mazda Limited</t>
        </is>
      </c>
      <c r="E67" s="30" t="inlineStr">
        <is>
          <t>industrials</t>
        </is>
      </c>
      <c r="F67" s="30" t="inlineStr">
        <is>
          <t>engineering</t>
        </is>
      </c>
      <c r="G67" s="30" t="inlineStr">
        <is>
          <t>smallcap</t>
        </is>
      </c>
      <c r="H67" s="31" t="n">
        <v>560.8</v>
      </c>
      <c r="I67" s="31" t="n">
        <v>285.15</v>
      </c>
      <c r="J67" s="31" t="n">
        <v>1.82</v>
      </c>
      <c r="K67" s="31" t="n">
        <v>49420</v>
      </c>
      <c r="L67" s="30" t="n">
        <v>20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67.81999999999999</v>
      </c>
      <c r="P67" s="31" t="n">
        <v>33.64</v>
      </c>
      <c r="Q67" s="31" t="inlineStr"/>
      <c r="R67" s="30" t="inlineStr">
        <is>
          <t>Earnings / Momentum Support</t>
        </is>
      </c>
      <c r="S67" s="30" t="inlineStr">
        <is>
          <t>Nifty 50</t>
        </is>
      </c>
      <c r="T67" s="31" t="n">
        <v>-6.14</v>
      </c>
      <c r="U67" s="31" t="n">
        <v>8.029999999999999</v>
      </c>
      <c r="V67" s="31" t="n">
        <v>15.09</v>
      </c>
      <c r="W67" s="31" t="n">
        <v>8.039999999999999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IF(B68=0,"",RANK(B68,$B$2:$B$226,0))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WELSPUNLIV</t>
        </is>
      </c>
      <c r="D68" s="30" t="inlineStr">
        <is>
          <t>Welspun Living Ltd</t>
        </is>
      </c>
      <c r="E68" s="30" t="inlineStr">
        <is>
          <t>textiles</t>
        </is>
      </c>
      <c r="F68" s="30" t="inlineStr">
        <is>
          <t>textiles - products</t>
        </is>
      </c>
      <c r="G68" s="30" t="inlineStr">
        <is>
          <t>largecap</t>
        </is>
      </c>
      <c r="H68" s="31" t="n">
        <v>21226.7</v>
      </c>
      <c r="I68" s="31" t="n">
        <v>227.95</v>
      </c>
      <c r="J68" s="31" t="n">
        <v>1.46</v>
      </c>
      <c r="K68" s="31" t="n">
        <v>4159923</v>
      </c>
      <c r="L68" s="30" t="n">
        <v>62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81.95</v>
      </c>
      <c r="P68" s="31" t="n">
        <v>44.94</v>
      </c>
      <c r="Q68" s="31" t="inlineStr"/>
      <c r="R68" s="30" t="inlineStr">
        <is>
          <t>Earnings / Momentum Support</t>
        </is>
      </c>
      <c r="S68" s="30" t="inlineStr">
        <is>
          <t>Nifty 50</t>
        </is>
      </c>
      <c r="T68" s="31" t="n">
        <v>-6.14</v>
      </c>
      <c r="U68" s="31" t="n">
        <v>93.02</v>
      </c>
      <c r="V68" s="31" t="n">
        <v>105.65</v>
      </c>
      <c r="W68" s="31" t="n">
        <v>22.81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IF(B69=0,"",RANK(B69,$B$2:$B$226,0))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INDORAMA</t>
        </is>
      </c>
      <c r="D69" s="30" t="inlineStr">
        <is>
          <t>Indo Rama Synthetics (india) Limited</t>
        </is>
      </c>
      <c r="E69" s="30" t="inlineStr">
        <is>
          <t>textiles</t>
        </is>
      </c>
      <c r="F69" s="30" t="inlineStr">
        <is>
          <t>textiles - manmade</t>
        </is>
      </c>
      <c r="G69" s="30" t="inlineStr">
        <is>
          <t>smallcap</t>
        </is>
      </c>
      <c r="H69" s="31" t="n">
        <v>2594.42</v>
      </c>
      <c r="I69" s="31" t="n">
        <v>100.8</v>
      </c>
      <c r="J69" s="31" t="n">
        <v>1.45</v>
      </c>
      <c r="K69" s="31" t="n">
        <v>1050318</v>
      </c>
      <c r="L69" s="30" t="n">
        <v>95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86.18000000000001</v>
      </c>
      <c r="P69" s="31" t="n">
        <v>64.27</v>
      </c>
      <c r="Q69" s="31" t="inlineStr"/>
      <c r="R69" s="30" t="inlineStr">
        <is>
          <t>Earnings / Momentum Support</t>
        </is>
      </c>
      <c r="S69" s="30" t="inlineStr">
        <is>
          <t>Nifty 50</t>
        </is>
      </c>
      <c r="T69" s="31" t="n">
        <v>-6.14</v>
      </c>
      <c r="U69" s="31" t="n">
        <v>81.20999999999999</v>
      </c>
      <c r="V69" s="31" t="n">
        <v>93.06999999999999</v>
      </c>
      <c r="W69" s="31" t="n">
        <v>47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More than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IF(B70=0,"",RANK(B70,$B$2:$B$226,0))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ASKAUTOLTD</t>
        </is>
      </c>
      <c r="D70" s="30" t="inlineStr">
        <is>
          <t>ASK Automotive Ltd</t>
        </is>
      </c>
      <c r="E70" s="30" t="inlineStr">
        <is>
          <t>auto</t>
        </is>
      </c>
      <c r="F70" s="30" t="inlineStr">
        <is>
          <t>auto ancillaries</t>
        </is>
      </c>
      <c r="G70" s="30" t="inlineStr">
        <is>
          <t>midcap</t>
        </is>
      </c>
      <c r="H70" s="31" t="n">
        <v>12718.65</v>
      </c>
      <c r="I70" s="31" t="n">
        <v>650.35</v>
      </c>
      <c r="J70" s="31" t="n">
        <v>0.8100000000000001</v>
      </c>
      <c r="K70" s="31" t="n">
        <v>430169</v>
      </c>
      <c r="L70" s="30" t="inlineStr"/>
      <c r="M70" s="30" t="inlineStr"/>
      <c r="N70" s="31">
        <f>IF(M70="Underperforming",-5,IF(L70&gt;=95,15,IF(L70&gt;=90,10,IF(L70&gt;=80,5,0))))</f>
        <v/>
      </c>
      <c r="O70" s="31" t="n">
        <v>71.64</v>
      </c>
      <c r="P70" s="31" t="n">
        <v>38.34</v>
      </c>
      <c r="Q70" s="31" t="inlineStr"/>
      <c r="R70" s="30" t="inlineStr">
        <is>
          <t>Earnings / Momentum Support</t>
        </is>
      </c>
      <c r="S70" s="30" t="inlineStr">
        <is>
          <t>Nifty Auto</t>
        </is>
      </c>
      <c r="T70" s="31" t="inlineStr"/>
      <c r="U70" s="31" t="inlineStr"/>
      <c r="V70" s="31" t="inlineStr"/>
      <c r="W70" s="31" t="inlineStr"/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IF(B71=0,"",RANK(B71,$B$2:$B$226,0))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SYRMA</t>
        </is>
      </c>
      <c r="D71" s="30" t="inlineStr">
        <is>
          <t>Syrma SGS Technology Ltd</t>
        </is>
      </c>
      <c r="E71" s="30" t="inlineStr">
        <is>
          <t>consumer discretionary</t>
        </is>
      </c>
      <c r="F71" s="30" t="inlineStr">
        <is>
          <t>electronics - components</t>
        </is>
      </c>
      <c r="G71" s="30" t="inlineStr">
        <is>
          <t>largecap</t>
        </is>
      </c>
      <c r="H71" s="31" t="n">
        <v>33409.81</v>
      </c>
      <c r="I71" s="31" t="n">
        <v>1746.4</v>
      </c>
      <c r="J71" s="31" t="n">
        <v>0.8</v>
      </c>
      <c r="K71" s="31" t="n">
        <v>1859395</v>
      </c>
      <c r="L71" s="30" t="n">
        <v>64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76.67</v>
      </c>
      <c r="P71" s="31" t="n">
        <v>60.28</v>
      </c>
      <c r="Q71" s="31" t="inlineStr"/>
      <c r="R71" s="30" t="inlineStr">
        <is>
          <t>Earnings / Momentum Support</t>
        </is>
      </c>
      <c r="S71" s="30" t="inlineStr">
        <is>
          <t>Nifty 50</t>
        </is>
      </c>
      <c r="T71" s="31" t="n">
        <v>-6.14</v>
      </c>
      <c r="U71" s="31" t="n">
        <v>116.03</v>
      </c>
      <c r="V71" s="31" t="n">
        <v>130.16</v>
      </c>
      <c r="W71" s="31" t="n">
        <v>23.93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IF(B72=0,"",RANK(B72,$B$2:$B$226,0))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BODALCHEM</t>
        </is>
      </c>
      <c r="D72" s="30" t="inlineStr">
        <is>
          <t>Bodal Chemicals Limited</t>
        </is>
      </c>
      <c r="E72" s="30" t="inlineStr">
        <is>
          <t>chemicals</t>
        </is>
      </c>
      <c r="F72" s="30" t="inlineStr">
        <is>
          <t>dyes and pigments</t>
        </is>
      </c>
      <c r="G72" s="30" t="inlineStr">
        <is>
          <t>smallcap</t>
        </is>
      </c>
      <c r="H72" s="31" t="n">
        <v>2544.32</v>
      </c>
      <c r="I72" s="31" t="n">
        <v>201.93</v>
      </c>
      <c r="J72" s="31" t="n">
        <v>-0.04</v>
      </c>
      <c r="K72" s="31" t="n">
        <v>1094096</v>
      </c>
      <c r="L72" s="30" t="n">
        <v>98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91.13</v>
      </c>
      <c r="P72" s="31" t="n">
        <v>48.61</v>
      </c>
      <c r="Q72" s="31" t="inlineStr"/>
      <c r="R72" s="30" t="inlineStr">
        <is>
          <t>Earnings / Momentum Support</t>
        </is>
      </c>
      <c r="S72" s="30" t="inlineStr">
        <is>
          <t>Nifty 50</t>
        </is>
      </c>
      <c r="T72" s="31" t="n">
        <v>-6.14</v>
      </c>
      <c r="U72" s="31" t="n">
        <v>221.69</v>
      </c>
      <c r="V72" s="31" t="n">
        <v>242.74</v>
      </c>
      <c r="W72" s="31" t="n">
        <v>83.48999999999999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IF(B73=0,"",RANK(B73,$B$2:$B$226,0))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CASTROLIND</t>
        </is>
      </c>
      <c r="D73" s="30" t="inlineStr">
        <is>
          <t>Castrol India Limited</t>
        </is>
      </c>
      <c r="E73" s="30" t="inlineStr">
        <is>
          <t>chemicals</t>
        </is>
      </c>
      <c r="F73" s="30" t="inlineStr">
        <is>
          <t>chemicals</t>
        </is>
      </c>
      <c r="G73" s="30" t="inlineStr">
        <is>
          <t>midcap</t>
        </is>
      </c>
      <c r="H73" s="31" t="n">
        <v>19947.63</v>
      </c>
      <c r="I73" s="31" t="n">
        <v>201.04</v>
      </c>
      <c r="J73" s="31" t="n">
        <v>-0.31</v>
      </c>
      <c r="K73" s="31" t="n">
        <v>4886805</v>
      </c>
      <c r="L73" s="30" t="n">
        <v>10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75.54000000000001</v>
      </c>
      <c r="P73" s="31" t="n">
        <v>41.83</v>
      </c>
      <c r="Q73" s="31" t="inlineStr"/>
      <c r="R73" s="30" t="inlineStr">
        <is>
          <t>Earnings / Momentum Support</t>
        </is>
      </c>
      <c r="S73" s="30" t="inlineStr">
        <is>
          <t>Nifty 50</t>
        </is>
      </c>
      <c r="T73" s="31" t="n">
        <v>-6.14</v>
      </c>
      <c r="U73" s="31" t="n">
        <v>9.57</v>
      </c>
      <c r="V73" s="31" t="n">
        <v>16.74</v>
      </c>
      <c r="W73" s="31" t="n">
        <v>4.54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IF(B74=0,"",RANK(B74,$B$2:$B$226,0))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KDDL</t>
        </is>
      </c>
      <c r="D74" s="30" t="inlineStr">
        <is>
          <t>Kddl Limited</t>
        </is>
      </c>
      <c r="E74" s="30" t="inlineStr">
        <is>
          <t>consumer discretionary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4960.79</v>
      </c>
      <c r="I74" s="31" t="n">
        <v>4014.1</v>
      </c>
      <c r="J74" s="31" t="n">
        <v>-0.48</v>
      </c>
      <c r="K74" s="31" t="n">
        <v>41785</v>
      </c>
      <c r="L74" s="30" t="n">
        <v>50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75.28</v>
      </c>
      <c r="P74" s="31" t="n">
        <v>46.64</v>
      </c>
      <c r="Q74" s="31" t="inlineStr"/>
      <c r="R74" s="30" t="inlineStr">
        <is>
          <t>Earnings / Momentum Support</t>
        </is>
      </c>
      <c r="S74" s="30" t="inlineStr">
        <is>
          <t>Nifty 50</t>
        </is>
      </c>
      <c r="T74" s="31" t="n">
        <v>-6.14</v>
      </c>
      <c r="U74" s="31" t="n">
        <v>52.63</v>
      </c>
      <c r="V74" s="31" t="n">
        <v>62.61</v>
      </c>
      <c r="W74" s="31" t="n">
        <v>16.96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IF(B75=0,"",RANK(B75,$B$2:$B$226,0))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DHARMAJ</t>
        </is>
      </c>
      <c r="D75" s="30" t="inlineStr">
        <is>
          <t>Dharmaj Crop Guard Ltd</t>
        </is>
      </c>
      <c r="E75" s="30" t="inlineStr">
        <is>
          <t>chemicals</t>
        </is>
      </c>
      <c r="F75" s="30" t="inlineStr">
        <is>
          <t>pesticides / agrochemicals - indian</t>
        </is>
      </c>
      <c r="G75" s="30" t="inlineStr">
        <is>
          <t>smallcap</t>
        </is>
      </c>
      <c r="H75" s="31" t="n">
        <v>997.53</v>
      </c>
      <c r="I75" s="31" t="n">
        <v>291.05</v>
      </c>
      <c r="J75" s="31" t="n">
        <v>-1.39</v>
      </c>
      <c r="K75" s="31" t="n">
        <v>26277</v>
      </c>
      <c r="L75" s="30" t="n">
        <v>4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67.70999999999999</v>
      </c>
      <c r="P75" s="31" t="n">
        <v>35.33</v>
      </c>
      <c r="Q75" s="31" t="inlineStr"/>
      <c r="R75" s="30" t="inlineStr">
        <is>
          <t>Earnings / Momentum Support</t>
        </is>
      </c>
      <c r="S75" s="30" t="inlineStr">
        <is>
          <t>Nifty 50</t>
        </is>
      </c>
      <c r="T75" s="31" t="n">
        <v>-6.14</v>
      </c>
      <c r="U75" s="31" t="n">
        <v>-4.79</v>
      </c>
      <c r="V75" s="31" t="n">
        <v>1.44</v>
      </c>
      <c r="W75" s="31" t="n">
        <v>2.26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Between 12 to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IF(B76=0,"",RANK(B76,$B$2:$B$226,0))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CYIENTDLM</t>
        </is>
      </c>
      <c r="D76" s="30" t="inlineStr">
        <is>
          <t>Cyient DLM Ltd</t>
        </is>
      </c>
      <c r="E76" s="30" t="inlineStr">
        <is>
          <t>aerospace &amp; defence</t>
        </is>
      </c>
      <c r="F76" s="30" t="inlineStr">
        <is>
          <t>electronics - components</t>
        </is>
      </c>
      <c r="G76" s="30" t="inlineStr">
        <is>
          <t>midcap</t>
        </is>
      </c>
      <c r="H76" s="31" t="n">
        <v>7393.77</v>
      </c>
      <c r="I76" s="31" t="n">
        <v>917.95</v>
      </c>
      <c r="J76" s="31" t="n">
        <v>-1.44</v>
      </c>
      <c r="K76" s="31" t="n">
        <v>274823</v>
      </c>
      <c r="L76" s="30" t="n">
        <v>94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89.88</v>
      </c>
      <c r="P76" s="31" t="n">
        <v>78.77</v>
      </c>
      <c r="Q76" s="31" t="inlineStr"/>
      <c r="R76" s="30" t="inlineStr">
        <is>
          <t>Earnings / Momentum Support</t>
        </is>
      </c>
      <c r="S76" s="30" t="inlineStr">
        <is>
          <t>Nifty 50</t>
        </is>
      </c>
      <c r="T76" s="31" t="n">
        <v>-6.14</v>
      </c>
      <c r="U76" s="31" t="n">
        <v>114.61</v>
      </c>
      <c r="V76" s="31" t="n">
        <v>128.65</v>
      </c>
      <c r="W76" s="31" t="n">
        <v>46.12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IF(B77=0,"",RANK(B77,$B$2:$B$226,0))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AETHER</t>
        </is>
      </c>
      <c r="D77" s="30" t="inlineStr">
        <is>
          <t>Aether Industries Ltd</t>
        </is>
      </c>
      <c r="E77" s="30" t="inlineStr">
        <is>
          <t>chemicals</t>
        </is>
      </c>
      <c r="F77" s="30" t="inlineStr">
        <is>
          <t>chemicals</t>
        </is>
      </c>
      <c r="G77" s="30" t="inlineStr">
        <is>
          <t>largecap</t>
        </is>
      </c>
      <c r="H77" s="31" t="n">
        <v>23450.31</v>
      </c>
      <c r="I77" s="31" t="n">
        <v>1739.2</v>
      </c>
      <c r="J77" s="31" t="n">
        <v>-1.57</v>
      </c>
      <c r="K77" s="31" t="n">
        <v>318334</v>
      </c>
      <c r="L77" s="30" t="n">
        <v>73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73.65000000000001</v>
      </c>
      <c r="P77" s="31" t="n">
        <v>60.75</v>
      </c>
      <c r="Q77" s="31" t="inlineStr"/>
      <c r="R77" s="30" t="inlineStr">
        <is>
          <t>Earnings / Momentum Support</t>
        </is>
      </c>
      <c r="S77" s="30" t="inlineStr">
        <is>
          <t>Nifty 50</t>
        </is>
      </c>
      <c r="T77" s="31" t="n">
        <v>-6.14</v>
      </c>
      <c r="U77" s="31" t="n">
        <v>140.51</v>
      </c>
      <c r="V77" s="31" t="n">
        <v>156.24</v>
      </c>
      <c r="W77" s="31" t="n">
        <v>26.68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IF(B78=0,"",RANK(B78,$B$2:$B$226,0))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ANDHRAPAP</t>
        </is>
      </c>
      <c r="D78" s="30" t="inlineStr">
        <is>
          <t>Andhra Paper Ltd</t>
        </is>
      </c>
      <c r="E78" s="30" t="inlineStr">
        <is>
          <t>building materials</t>
        </is>
      </c>
      <c r="F78" s="30" t="inlineStr">
        <is>
          <t>paper</t>
        </is>
      </c>
      <c r="G78" s="30" t="inlineStr">
        <is>
          <t>smallcap</t>
        </is>
      </c>
      <c r="H78" s="31" t="n">
        <v>1472.49</v>
      </c>
      <c r="I78" s="31" t="n">
        <v>72.62</v>
      </c>
      <c r="J78" s="31" t="n">
        <v>-1.93</v>
      </c>
      <c r="K78" s="31" t="n">
        <v>261464</v>
      </c>
      <c r="L78" s="30" t="inlineStr"/>
      <c r="M78" s="30" t="inlineStr"/>
      <c r="N78" s="31">
        <f>IF(M78="Underperforming",-5,IF(L78&gt;=95,15,IF(L78&gt;=90,10,IF(L78&gt;=80,5,0))))</f>
        <v/>
      </c>
      <c r="O78" s="31" t="n">
        <v>69.29000000000001</v>
      </c>
      <c r="P78" s="31" t="n">
        <v>24.17</v>
      </c>
      <c r="Q78" s="31" t="inlineStr"/>
      <c r="R78" s="30" t="inlineStr">
        <is>
          <t>Earnings / Momentum Support</t>
        </is>
      </c>
      <c r="S78" s="30" t="inlineStr">
        <is>
          <t>Nifty Infra</t>
        </is>
      </c>
      <c r="T78" s="31" t="inlineStr"/>
      <c r="U78" s="31" t="inlineStr"/>
      <c r="V78" s="31" t="inlineStr"/>
      <c r="W78" s="31" t="inlineStr"/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IF(B79=0,"",RANK(B79,$B$2:$B$226,0))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TCPLPACK</t>
        </is>
      </c>
      <c r="D79" s="30" t="inlineStr">
        <is>
          <t>TCPL Packaging Ltd</t>
        </is>
      </c>
      <c r="E79" s="30" t="inlineStr">
        <is>
          <t>industrials</t>
        </is>
      </c>
      <c r="F79" s="30" t="inlineStr">
        <is>
          <t>packaging</t>
        </is>
      </c>
      <c r="G79" s="30" t="inlineStr">
        <is>
          <t>smallcap</t>
        </is>
      </c>
      <c r="H79" s="31" t="n">
        <v>3737.19</v>
      </c>
      <c r="I79" s="31" t="n">
        <v>3987.8</v>
      </c>
      <c r="J79" s="31" t="n">
        <v>-2.9</v>
      </c>
      <c r="K79" s="31" t="n">
        <v>6403</v>
      </c>
      <c r="L79" s="30" t="n">
        <v>42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67.91</v>
      </c>
      <c r="P79" s="31" t="n">
        <v>48.08</v>
      </c>
      <c r="Q79" s="31" t="inlineStr"/>
      <c r="R79" s="30" t="inlineStr">
        <is>
          <t>Earnings / Momentum Support</t>
        </is>
      </c>
      <c r="S79" s="30" t="inlineStr">
        <is>
          <t>Nifty 50</t>
        </is>
      </c>
      <c r="T79" s="31" t="n">
        <v>-6.14</v>
      </c>
      <c r="U79" s="31" t="n">
        <v>24.94</v>
      </c>
      <c r="V79" s="31" t="n">
        <v>33.11</v>
      </c>
      <c r="W79" s="31" t="n">
        <v>14.56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IF(B80=0,"",RANK(B80,$B$2:$B$226,0))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BHAGERIA</t>
        </is>
      </c>
      <c r="D80" s="30" t="inlineStr">
        <is>
          <t>Bhageria Industries Limited</t>
        </is>
      </c>
      <c r="E80" s="30" t="inlineStr">
        <is>
          <t>chemicals</t>
        </is>
      </c>
      <c r="F80" s="30" t="inlineStr">
        <is>
          <t>dyes and pigments</t>
        </is>
      </c>
      <c r="G80" s="30" t="inlineStr">
        <is>
          <t>smallcap</t>
        </is>
      </c>
      <c r="H80" s="31" t="n">
        <v>1722.2</v>
      </c>
      <c r="I80" s="31" t="n">
        <v>380.85</v>
      </c>
      <c r="J80" s="31" t="n">
        <v>-3.48</v>
      </c>
      <c r="K80" s="31" t="n">
        <v>237200</v>
      </c>
      <c r="L80" s="30" t="n">
        <v>88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83.45</v>
      </c>
      <c r="P80" s="31" t="n">
        <v>43.05</v>
      </c>
      <c r="Q80" s="31" t="inlineStr"/>
      <c r="R80" s="30" t="inlineStr">
        <is>
          <t>Earnings / Momentum Support</t>
        </is>
      </c>
      <c r="S80" s="30" t="inlineStr">
        <is>
          <t>Nifty 50</t>
        </is>
      </c>
      <c r="T80" s="31" t="n">
        <v>-6.14</v>
      </c>
      <c r="U80" s="31" t="n">
        <v>125.13</v>
      </c>
      <c r="V80" s="31" t="n">
        <v>139.86</v>
      </c>
      <c r="W80" s="31" t="n">
        <v>40.82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IF(B81=0,"",RANK(B81,$B$2:$B$226,0))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FINCABLES</t>
        </is>
      </c>
      <c r="D81" s="30" t="inlineStr">
        <is>
          <t>Finolex Cables Limited</t>
        </is>
      </c>
      <c r="E81" s="30" t="inlineStr">
        <is>
          <t>industrials</t>
        </is>
      </c>
      <c r="F81" s="30" t="inlineStr">
        <is>
          <t>cables - power</t>
        </is>
      </c>
      <c r="G81" s="30" t="inlineStr">
        <is>
          <t>largecap</t>
        </is>
      </c>
      <c r="H81" s="31" t="n">
        <v>22342.91</v>
      </c>
      <c r="I81" s="31" t="n">
        <v>1408.1</v>
      </c>
      <c r="J81" s="31" t="n">
        <v>-3.61</v>
      </c>
      <c r="K81" s="31" t="n">
        <v>431897</v>
      </c>
      <c r="L81" s="30" t="inlineStr"/>
      <c r="M81" s="30" t="inlineStr"/>
      <c r="N81" s="31">
        <f>IF(M81="Underperforming",-5,IF(L81&gt;=95,15,IF(L81&gt;=90,10,IF(L81&gt;=80,5,0))))</f>
        <v/>
      </c>
      <c r="O81" s="31" t="n">
        <v>71.22</v>
      </c>
      <c r="P81" s="31" t="n">
        <v>39.08</v>
      </c>
      <c r="Q81" s="31" t="inlineStr"/>
      <c r="R81" s="30" t="inlineStr">
        <is>
          <t>Earnings / Momentum Support</t>
        </is>
      </c>
      <c r="S81" s="30" t="inlineStr">
        <is>
          <t>Nifty Energy</t>
        </is>
      </c>
      <c r="T81" s="31" t="inlineStr"/>
      <c r="U81" s="31" t="inlineStr"/>
      <c r="V81" s="31" t="inlineStr"/>
      <c r="W81" s="31" t="inlineStr"/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IF(B82=0,"",RANK(B82,$B$2:$B$226,0))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LOTUSDEV</t>
        </is>
      </c>
      <c r="D82" s="30" t="inlineStr">
        <is>
          <t>Sri Lotus Developers &amp; Realty Ltd</t>
        </is>
      </c>
      <c r="E82" s="30" t="inlineStr">
        <is>
          <t>realty</t>
        </is>
      </c>
      <c r="F82" s="30" t="inlineStr">
        <is>
          <t>construction</t>
        </is>
      </c>
      <c r="G82" s="30" t="inlineStr">
        <is>
          <t>midcap</t>
        </is>
      </c>
      <c r="H82" s="31" t="n">
        <v>10653.69</v>
      </c>
      <c r="I82" s="31" t="n">
        <v>208.05</v>
      </c>
      <c r="J82" s="31" t="n">
        <v>-4.56</v>
      </c>
      <c r="K82" s="31" t="n">
        <v>2071422</v>
      </c>
      <c r="L82" s="30" t="inlineStr"/>
      <c r="M82" s="30" t="inlineStr"/>
      <c r="N82" s="31">
        <f>IF(M82="Underperforming",-5,IF(L82&gt;=95,15,IF(L82&gt;=90,10,IF(L82&gt;=80,5,0))))</f>
        <v/>
      </c>
      <c r="O82" s="31" t="n">
        <v>67.7</v>
      </c>
      <c r="P82" s="31" t="n">
        <v>29.35</v>
      </c>
      <c r="Q82" s="31" t="inlineStr"/>
      <c r="R82" s="30" t="inlineStr">
        <is>
          <t>Earnings / Momentum Support</t>
        </is>
      </c>
      <c r="S82" s="30" t="inlineStr">
        <is>
          <t>Nifty Realty</t>
        </is>
      </c>
      <c r="T82" s="31" t="inlineStr"/>
      <c r="U82" s="31" t="inlineStr"/>
      <c r="V82" s="31" t="inlineStr"/>
      <c r="W82" s="31" t="inlineStr"/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IF(B83=0,"",RANK(B83,$B$2:$B$226,0))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AHCL</t>
        </is>
      </c>
      <c r="D83" s="30" t="inlineStr">
        <is>
          <t>Anlon Healthcare Ltd</t>
        </is>
      </c>
      <c r="E83" s="30" t="inlineStr">
        <is>
          <t>healthcare</t>
        </is>
      </c>
      <c r="F83" s="30" t="inlineStr">
        <is>
          <t>pharmaceuticals - indian - bulk drugs &amp; formln</t>
        </is>
      </c>
      <c r="G83" s="30" t="inlineStr">
        <is>
          <t>smallcap</t>
        </is>
      </c>
      <c r="H83" s="31" t="n">
        <v>1674.8</v>
      </c>
      <c r="I83" s="31" t="n">
        <v>34.66</v>
      </c>
      <c r="J83" s="31" t="n">
        <v>10</v>
      </c>
      <c r="K83" s="31" t="n">
        <v>23572265</v>
      </c>
      <c r="L83" s="30" t="n">
        <v>91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87.42</v>
      </c>
      <c r="P83" s="31" t="n">
        <v>47.11</v>
      </c>
      <c r="Q83" s="31" t="inlineStr"/>
      <c r="R83" s="30" t="inlineStr">
        <is>
          <t>Earnings / Momentum Support</t>
        </is>
      </c>
      <c r="S83" s="30" t="inlineStr">
        <is>
          <t>Nifty Pharma</t>
        </is>
      </c>
      <c r="T83" s="31" t="n">
        <v>25.55</v>
      </c>
      <c r="U83" s="31" t="n">
        <v>144.89</v>
      </c>
      <c r="V83" s="31" t="n">
        <v>95.05</v>
      </c>
      <c r="W83" s="31" t="n">
        <v>44.02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IF(B84=0,"",RANK(B84,$B$2:$B$226,0))</f>
        <v/>
      </c>
      <c r="B84" s="31">
        <f>SUM(N84,Y84,AA84,AC84,AE84,AG84,AI84,AK84,AM84,AO84,AQ84,AS84,AU84,AW84,AY84,BA84,BC84,BE84,BG84,BI84,BK84,BM84,BO84,BQ84,BS84,BU84,BW84,BY84,CA84,CC84,CE84)</f>
        <v/>
      </c>
      <c r="C84" s="32" t="inlineStr">
        <is>
          <t>SOLARA</t>
        </is>
      </c>
      <c r="D84" s="32" t="inlineStr">
        <is>
          <t>Solara Active Pharma Sciences Ltd</t>
        </is>
      </c>
      <c r="E84" s="30" t="inlineStr">
        <is>
          <t>healthcare</t>
        </is>
      </c>
      <c r="F84" s="30" t="inlineStr">
        <is>
          <t>pharmaceuticals - indian - bulk drugs &amp; formln</t>
        </is>
      </c>
      <c r="G84" s="30" t="inlineStr">
        <is>
          <t>smallcap</t>
        </is>
      </c>
      <c r="H84" s="31" t="n">
        <v>3566.1</v>
      </c>
      <c r="I84" s="31" t="n">
        <v>736.3</v>
      </c>
      <c r="J84" s="31" t="n">
        <v>-0.39</v>
      </c>
      <c r="K84" s="31" t="n">
        <v>265881</v>
      </c>
      <c r="L84" s="30" t="n">
        <v>35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70.28</v>
      </c>
      <c r="P84" s="31" t="n">
        <v>33.03</v>
      </c>
      <c r="Q84" s="31" t="inlineStr"/>
      <c r="R84" s="30" t="inlineStr">
        <is>
          <t>Earnings / Momentum Support</t>
        </is>
      </c>
      <c r="S84" s="30" t="inlineStr">
        <is>
          <t>Nifty Pharma</t>
        </is>
      </c>
      <c r="T84" s="31" t="n">
        <v>25.55</v>
      </c>
      <c r="U84" s="31" t="n">
        <v>20.13</v>
      </c>
      <c r="V84" s="31" t="n">
        <v>-4.32</v>
      </c>
      <c r="W84" s="31" t="n">
        <v>11.72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IF(B85=0,"",RANK(B85,$B$2:$B$226,0))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EMUDHRA</t>
        </is>
      </c>
      <c r="D85" s="30" t="inlineStr">
        <is>
          <t>eMudhra Ltd</t>
        </is>
      </c>
      <c r="E85" s="30" t="inlineStr">
        <is>
          <t>i.t</t>
        </is>
      </c>
      <c r="F85" s="30" t="inlineStr">
        <is>
          <t>computers - software - medium / small</t>
        </is>
      </c>
      <c r="G85" s="30" t="inlineStr">
        <is>
          <t>midcap</t>
        </is>
      </c>
      <c r="H85" s="31" t="n">
        <v>5411.33</v>
      </c>
      <c r="I85" s="31" t="n">
        <v>649.25</v>
      </c>
      <c r="J85" s="31" t="n">
        <v>-0.64</v>
      </c>
      <c r="K85" s="31" t="n">
        <v>447539</v>
      </c>
      <c r="L85" s="30" t="n">
        <v>40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68.18000000000001</v>
      </c>
      <c r="P85" s="31" t="n">
        <v>28.95</v>
      </c>
      <c r="Q85" s="31" t="inlineStr"/>
      <c r="R85" s="30" t="inlineStr">
        <is>
          <t>Earnings / Momentum Support</t>
        </is>
      </c>
      <c r="S85" s="30" t="inlineStr">
        <is>
          <t>Nifty IT</t>
        </is>
      </c>
      <c r="T85" s="31" t="n">
        <v>-16.44</v>
      </c>
      <c r="U85" s="31" t="n">
        <v>3.63</v>
      </c>
      <c r="V85" s="31" t="n">
        <v>24.02</v>
      </c>
      <c r="W85" s="31" t="n">
        <v>14.11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Headwind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IF(B86=0,"",RANK(B86,$B$2:$B$226,0))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ZIMLAB</t>
        </is>
      </c>
      <c r="D86" s="30" t="inlineStr">
        <is>
          <t>Zim Laboratories Ltd</t>
        </is>
      </c>
      <c r="E86" s="30" t="inlineStr">
        <is>
          <t>healthcare</t>
        </is>
      </c>
      <c r="F86" s="30" t="inlineStr">
        <is>
          <t>pharmaceuticals - indian - bulk drugs &amp; formln</t>
        </is>
      </c>
      <c r="G86" s="30" t="inlineStr">
        <is>
          <t>smallcap</t>
        </is>
      </c>
      <c r="H86" s="31" t="n">
        <v>741.55</v>
      </c>
      <c r="I86" s="31" t="n">
        <v>137.55</v>
      </c>
      <c r="J86" s="31" t="n">
        <v>-0.67</v>
      </c>
      <c r="K86" s="31" t="n">
        <v>114414</v>
      </c>
      <c r="L86" s="30" t="n">
        <v>58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70.39</v>
      </c>
      <c r="P86" s="31" t="n">
        <v>58.33</v>
      </c>
      <c r="Q86" s="31" t="inlineStr"/>
      <c r="R86" s="30" t="inlineStr">
        <is>
          <t>Earnings / Momentum Support</t>
        </is>
      </c>
      <c r="S86" s="30" t="inlineStr">
        <is>
          <t>Nifty Pharma</t>
        </is>
      </c>
      <c r="T86" s="31" t="n">
        <v>25.55</v>
      </c>
      <c r="U86" s="31" t="n">
        <v>89.09999999999999</v>
      </c>
      <c r="V86" s="31" t="n">
        <v>50.62</v>
      </c>
      <c r="W86" s="31" t="n">
        <v>20.95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Headwind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IF(B87=0,"",RANK(B87,$B$2:$B$226,0))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DIVISLAB</t>
        </is>
      </c>
      <c r="D87" s="30" t="inlineStr">
        <is>
          <t>Divi's Laboratories Limited</t>
        </is>
      </c>
      <c r="E87" s="30" t="inlineStr">
        <is>
          <t>healthcare</t>
        </is>
      </c>
      <c r="F87" s="30" t="inlineStr">
        <is>
          <t>pharmaceuticals - indian - bulk drugs</t>
        </is>
      </c>
      <c r="G87" s="30" t="inlineStr">
        <is>
          <t>largecap</t>
        </is>
      </c>
      <c r="H87" s="31" t="n">
        <v>255367.5</v>
      </c>
      <c r="I87" s="31" t="n">
        <v>9550</v>
      </c>
      <c r="J87" s="31" t="n">
        <v>-0.72</v>
      </c>
      <c r="K87" s="31" t="n">
        <v>380253</v>
      </c>
      <c r="L87" s="30" t="n">
        <v>60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86.48999999999999</v>
      </c>
      <c r="P87" s="31" t="n">
        <v>55.28</v>
      </c>
      <c r="Q87" s="31" t="inlineStr"/>
      <c r="R87" s="30" t="inlineStr">
        <is>
          <t>Earnings / Momentum Support</t>
        </is>
      </c>
      <c r="S87" s="30" t="inlineStr">
        <is>
          <t>Nifty Pharma</t>
        </is>
      </c>
      <c r="T87" s="31" t="n">
        <v>25.55</v>
      </c>
      <c r="U87" s="31" t="n">
        <v>69.77</v>
      </c>
      <c r="V87" s="31" t="n">
        <v>35.22</v>
      </c>
      <c r="W87" s="31" t="n">
        <v>21.19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IF(B88=0,"",RANK(B88,$B$2:$B$226,0))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SUNDROP</t>
        </is>
      </c>
      <c r="D88" s="30" t="inlineStr">
        <is>
          <t>Sundrop Brands Ltd</t>
        </is>
      </c>
      <c r="E88" s="30" t="inlineStr">
        <is>
          <t>fmcg</t>
        </is>
      </c>
      <c r="F88" s="30" t="inlineStr">
        <is>
          <t>food - processing - indian</t>
        </is>
      </c>
      <c r="G88" s="30" t="inlineStr">
        <is>
          <t>smallcap</t>
        </is>
      </c>
      <c r="H88" s="31" t="n">
        <v>2811.24</v>
      </c>
      <c r="I88" s="31" t="n">
        <v>740.2</v>
      </c>
      <c r="J88" s="31" t="n">
        <v>-0.74</v>
      </c>
      <c r="K88" s="31" t="n">
        <v>20187</v>
      </c>
      <c r="L88" s="30" t="inlineStr"/>
      <c r="M88" s="30" t="inlineStr"/>
      <c r="N88" s="31">
        <f>IF(M88="Underperforming",-5,IF(L88&gt;=95,15,IF(L88&gt;=90,10,IF(L88&gt;=80,5,0))))</f>
        <v/>
      </c>
      <c r="O88" s="31" t="n">
        <v>64.33</v>
      </c>
      <c r="P88" s="31" t="n">
        <v>20.6</v>
      </c>
      <c r="Q88" s="31" t="inlineStr"/>
      <c r="R88" s="30" t="inlineStr">
        <is>
          <t>Earnings / Momentum Support</t>
        </is>
      </c>
      <c r="S88" s="30" t="inlineStr">
        <is>
          <t>Nifty FMCG</t>
        </is>
      </c>
      <c r="T88" s="31" t="inlineStr"/>
      <c r="U88" s="31" t="inlineStr"/>
      <c r="V88" s="31" t="inlineStr"/>
      <c r="W88" s="31" t="inlineStr"/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IF(B89=0,"",RANK(B89,$B$2:$B$226,0))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INNOVACAP</t>
        </is>
      </c>
      <c r="D89" s="30" t="inlineStr">
        <is>
          <t>Innova Captab Ltd</t>
        </is>
      </c>
      <c r="E89" s="30" t="inlineStr">
        <is>
          <t>healthcare</t>
        </is>
      </c>
      <c r="F89" s="30" t="inlineStr">
        <is>
          <t>pharmaceuticals - indian - bulk drugs &amp; formln</t>
        </is>
      </c>
      <c r="G89" s="30" t="inlineStr">
        <is>
          <t>midcap</t>
        </is>
      </c>
      <c r="H89" s="31" t="n">
        <v>7330.51</v>
      </c>
      <c r="I89" s="31" t="n">
        <v>1271.2</v>
      </c>
      <c r="J89" s="31" t="n">
        <v>-0.77</v>
      </c>
      <c r="K89" s="31" t="n">
        <v>60672</v>
      </c>
      <c r="L89" s="30" t="n">
        <v>52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78.13</v>
      </c>
      <c r="P89" s="31" t="n">
        <v>62.5</v>
      </c>
      <c r="Q89" s="31" t="inlineStr"/>
      <c r="R89" s="30" t="inlineStr">
        <is>
          <t>Earnings / Momentum Support</t>
        </is>
      </c>
      <c r="S89" s="30" t="inlineStr">
        <is>
          <t>Nifty Pharma</t>
        </is>
      </c>
      <c r="T89" s="31" t="n">
        <v>25.55</v>
      </c>
      <c r="U89" s="31" t="n">
        <v>52.04</v>
      </c>
      <c r="V89" s="31" t="n">
        <v>21.09</v>
      </c>
      <c r="W89" s="31" t="n">
        <v>18.25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IF(B90=0,"",RANK(B90,$B$2:$B$226,0))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AKUMS</t>
        </is>
      </c>
      <c r="D90" s="30" t="inlineStr">
        <is>
          <t>Akums Drugs &amp; Pharmaceuticals Ltd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midcap</t>
        </is>
      </c>
      <c r="H90" s="31" t="n">
        <v>12899.22</v>
      </c>
      <c r="I90" s="31" t="n">
        <v>799.95</v>
      </c>
      <c r="J90" s="31" t="n">
        <v>-2.39</v>
      </c>
      <c r="K90" s="31" t="n">
        <v>157385</v>
      </c>
      <c r="L90" s="30" t="n">
        <v>59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77.48999999999999</v>
      </c>
      <c r="P90" s="31" t="n">
        <v>65.23999999999999</v>
      </c>
      <c r="Q90" s="31" t="inlineStr"/>
      <c r="R90" s="30" t="inlineStr">
        <is>
          <t>Earnings / Momentum Support</t>
        </is>
      </c>
      <c r="S90" s="30" t="inlineStr">
        <is>
          <t>Nifty Pharma</t>
        </is>
      </c>
      <c r="T90" s="31" t="n">
        <v>25.55</v>
      </c>
      <c r="U90" s="31" t="n">
        <v>84.36</v>
      </c>
      <c r="V90" s="31" t="n">
        <v>46.83</v>
      </c>
      <c r="W90" s="31" t="n">
        <v>20.99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IF(B91=0,"",RANK(B91,$B$2:$B$226,0))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WOCKPHARMA</t>
        </is>
      </c>
      <c r="D91" s="30" t="inlineStr">
        <is>
          <t>Wockhardt Limited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largecap</t>
        </is>
      </c>
      <c r="H91" s="31" t="n">
        <v>36814.23</v>
      </c>
      <c r="I91" s="31" t="n">
        <v>2187.6</v>
      </c>
      <c r="J91" s="31" t="n">
        <v>-3.44</v>
      </c>
      <c r="K91" s="31" t="n">
        <v>649952</v>
      </c>
      <c r="L91" s="30" t="n">
        <v>50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68.04000000000001</v>
      </c>
      <c r="P91" s="31" t="n">
        <v>45.55</v>
      </c>
      <c r="Q91" s="31" t="inlineStr"/>
      <c r="R91" s="30" t="inlineStr">
        <is>
          <t>Earnings / Momentum Support</t>
        </is>
      </c>
      <c r="S91" s="30" t="inlineStr">
        <is>
          <t>Nifty Pharma</t>
        </is>
      </c>
      <c r="T91" s="31" t="n">
        <v>25.55</v>
      </c>
      <c r="U91" s="31" t="n">
        <v>69.52</v>
      </c>
      <c r="V91" s="31" t="n">
        <v>35.02</v>
      </c>
      <c r="W91" s="31" t="n">
        <v>17.21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IF(B92=0,"",RANK(B92,$B$2:$B$226,0))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SUBEXLTD</t>
        </is>
      </c>
      <c r="D92" s="30" t="inlineStr">
        <is>
          <t>Subex Ltd</t>
        </is>
      </c>
      <c r="E92" s="30" t="inlineStr">
        <is>
          <t>i.t</t>
        </is>
      </c>
      <c r="F92" s="30" t="inlineStr">
        <is>
          <t>computers - software - medium / small</t>
        </is>
      </c>
      <c r="G92" s="30" t="inlineStr">
        <is>
          <t>smallcap</t>
        </is>
      </c>
      <c r="H92" s="31" t="n">
        <v>1203.25</v>
      </c>
      <c r="I92" s="31" t="n">
        <v>20.33</v>
      </c>
      <c r="J92" s="31" t="n">
        <v>-5.04</v>
      </c>
      <c r="K92" s="31" t="n">
        <v>10752314</v>
      </c>
      <c r="L92" s="30" t="n">
        <v>85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75.01000000000001</v>
      </c>
      <c r="P92" s="31" t="n">
        <v>47.56</v>
      </c>
      <c r="Q92" s="31" t="inlineStr"/>
      <c r="R92" s="30" t="inlineStr">
        <is>
          <t>Earnings / Momentum Support</t>
        </is>
      </c>
      <c r="S92" s="30" t="inlineStr">
        <is>
          <t>Nifty IT</t>
        </is>
      </c>
      <c r="T92" s="31" t="n">
        <v>-16.44</v>
      </c>
      <c r="U92" s="31" t="n">
        <v>78.56999999999999</v>
      </c>
      <c r="V92" s="31" t="n">
        <v>113.7</v>
      </c>
      <c r="W92" s="31" t="n">
        <v>37.76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Between 12 to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IF(B93=0,"",RANK(B93,$B$2:$B$226,0))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OPTIEMUS</t>
        </is>
      </c>
      <c r="D93" s="30" t="inlineStr">
        <is>
          <t>Optiemus Infracom Ltd</t>
        </is>
      </c>
      <c r="E93" s="30" t="inlineStr">
        <is>
          <t>telecom</t>
        </is>
      </c>
      <c r="F93" s="30" t="inlineStr">
        <is>
          <t>trading</t>
        </is>
      </c>
      <c r="G93" s="30" t="inlineStr">
        <is>
          <t>midcap</t>
        </is>
      </c>
      <c r="H93" s="31" t="n">
        <v>6839.58</v>
      </c>
      <c r="I93" s="31" t="n">
        <v>809.95</v>
      </c>
      <c r="J93" s="31" t="n">
        <v>6.78</v>
      </c>
      <c r="K93" s="31" t="n">
        <v>3028580</v>
      </c>
      <c r="L93" s="30" t="n">
        <v>61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73.93000000000001</v>
      </c>
      <c r="P93" s="31" t="n">
        <v>43.09</v>
      </c>
      <c r="Q93" s="31" t="inlineStr"/>
      <c r="R93" s="30" t="inlineStr">
        <is>
          <t>Earnings / Momentum Support</t>
        </is>
      </c>
      <c r="S93" s="30" t="inlineStr">
        <is>
          <t>Nifty 50</t>
        </is>
      </c>
      <c r="T93" s="31" t="n">
        <v>-6.14</v>
      </c>
      <c r="U93" s="31" t="n">
        <v>15.53</v>
      </c>
      <c r="V93" s="31" t="n">
        <v>23.09</v>
      </c>
      <c r="W93" s="31" t="n">
        <v>22.4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IF(B94=0,"",RANK(B94,$B$2:$B$226,0))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GESHIP</t>
        </is>
      </c>
      <c r="D94" s="30" t="inlineStr">
        <is>
          <t>The Great Eastern Shipping Company Limited</t>
        </is>
      </c>
      <c r="E94" s="30" t="inlineStr">
        <is>
          <t>transportation</t>
        </is>
      </c>
      <c r="F94" s="30" t="inlineStr">
        <is>
          <t>shipping</t>
        </is>
      </c>
      <c r="G94" s="30" t="inlineStr">
        <is>
          <t>largecap</t>
        </is>
      </c>
      <c r="H94" s="31" t="n">
        <v>21375.1</v>
      </c>
      <c r="I94" s="31" t="n">
        <v>1533.4</v>
      </c>
      <c r="J94" s="31" t="n">
        <v>2.42</v>
      </c>
      <c r="K94" s="31" t="n">
        <v>3277779</v>
      </c>
      <c r="L94" s="30" t="n">
        <v>26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59.4</v>
      </c>
      <c r="P94" s="31" t="n">
        <v>23.74</v>
      </c>
      <c r="Q94" s="31" t="inlineStr"/>
      <c r="R94" s="30" t="inlineStr">
        <is>
          <t>Earnings / Momentum Support</t>
        </is>
      </c>
      <c r="S94" s="30" t="inlineStr">
        <is>
          <t>Nifty 50</t>
        </is>
      </c>
      <c r="T94" s="31" t="n">
        <v>-6.14</v>
      </c>
      <c r="U94" s="31" t="n">
        <v>55.22</v>
      </c>
      <c r="V94" s="31" t="n">
        <v>65.37</v>
      </c>
      <c r="W94" s="31" t="n">
        <v>9.890000000000001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Headwind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3</t>
        </is>
      </c>
      <c r="BC94" s="30">
        <f>IF(BB94="Stage 2",20,IF(BB94="Stage 1",0,IF(BB94="Stage 3",5,IF(BB94="Stage 4",-5,0))))</f>
        <v/>
      </c>
      <c r="BD94" s="30" t="inlineStr">
        <is>
          <t>Negative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IF(B95=0,"",RANK(B95,$B$2:$B$226,0))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NRBBEARING</t>
        </is>
      </c>
      <c r="D95" s="30" t="inlineStr">
        <is>
          <t>Nrb Bearing Limited</t>
        </is>
      </c>
      <c r="E95" s="30" t="inlineStr">
        <is>
          <t>industrials</t>
        </is>
      </c>
      <c r="F95" s="30" t="inlineStr">
        <is>
          <t>bearings</t>
        </is>
      </c>
      <c r="G95" s="30" t="inlineStr">
        <is>
          <t>midcap</t>
        </is>
      </c>
      <c r="H95" s="31" t="n">
        <v>5183.42</v>
      </c>
      <c r="I95" s="31" t="n">
        <v>541.5</v>
      </c>
      <c r="J95" s="31" t="n">
        <v>1.25</v>
      </c>
      <c r="K95" s="31" t="n">
        <v>1413609</v>
      </c>
      <c r="L95" s="30" t="n">
        <v>66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74.94</v>
      </c>
      <c r="P95" s="31" t="n">
        <v>50.92</v>
      </c>
      <c r="Q95" s="31" t="inlineStr"/>
      <c r="R95" s="30" t="inlineStr">
        <is>
          <t>Earnings / Momentum Support</t>
        </is>
      </c>
      <c r="S95" s="30" t="inlineStr">
        <is>
          <t>Nifty 50</t>
        </is>
      </c>
      <c r="T95" s="31" t="n">
        <v>-6.14</v>
      </c>
      <c r="U95" s="31" t="n">
        <v>96.40000000000001</v>
      </c>
      <c r="V95" s="31" t="n">
        <v>109.25</v>
      </c>
      <c r="W95" s="31" t="n">
        <v>24.37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3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Between 12 to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IF(B96=0,"",RANK(B96,$B$2:$B$226,0))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WHEELS</t>
        </is>
      </c>
      <c r="D96" s="30" t="inlineStr">
        <is>
          <t>Wheels India Limited</t>
        </is>
      </c>
      <c r="E96" s="30" t="inlineStr">
        <is>
          <t>auto</t>
        </is>
      </c>
      <c r="F96" s="30" t="inlineStr">
        <is>
          <t>auto ancillaries</t>
        </is>
      </c>
      <c r="G96" s="30" t="inlineStr">
        <is>
          <t>midcap</t>
        </is>
      </c>
      <c r="H96" s="31" t="n">
        <v>5610.8</v>
      </c>
      <c r="I96" s="31" t="n">
        <v>2323.8</v>
      </c>
      <c r="J96" s="31" t="n">
        <v>1.19</v>
      </c>
      <c r="K96" s="31" t="n">
        <v>342438</v>
      </c>
      <c r="L96" s="30" t="inlineStr"/>
      <c r="M96" s="30" t="inlineStr"/>
      <c r="N96" s="31">
        <f>IF(M96="Underperforming",-5,IF(L96&gt;=95,15,IF(L96&gt;=90,10,IF(L96&gt;=80,5,0))))</f>
        <v/>
      </c>
      <c r="O96" s="31" t="n">
        <v>78.15000000000001</v>
      </c>
      <c r="P96" s="31" t="n">
        <v>59.4</v>
      </c>
      <c r="Q96" s="31" t="inlineStr"/>
      <c r="R96" s="30" t="inlineStr">
        <is>
          <t>Earnings / Momentum Support</t>
        </is>
      </c>
      <c r="S96" s="30" t="inlineStr">
        <is>
          <t>Nifty Auto</t>
        </is>
      </c>
      <c r="T96" s="31" t="inlineStr"/>
      <c r="U96" s="31" t="inlineStr"/>
      <c r="V96" s="31" t="inlineStr"/>
      <c r="W96" s="31" t="inlineStr"/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Headwind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No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3</t>
        </is>
      </c>
      <c r="BC96" s="30">
        <f>IF(BB96="Stage 2",20,IF(BB96="Stage 1",0,IF(BB96="Stage 3",5,IF(BB96="Stage 4",-5,0))))</f>
        <v/>
      </c>
      <c r="BD96" s="30" t="inlineStr">
        <is>
          <t>Negative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Between 0.7 to 1.2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IF(B97=0,"",RANK(B97,$B$2:$B$226,0))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SOMANYCERA</t>
        </is>
      </c>
      <c r="D97" s="30" t="inlineStr">
        <is>
          <t>Somany Ceramics Limited</t>
        </is>
      </c>
      <c r="E97" s="30" t="inlineStr">
        <is>
          <t>building materials</t>
        </is>
      </c>
      <c r="F97" s="30" t="inlineStr">
        <is>
          <t>ceramics - tiles / sanitaryware</t>
        </is>
      </c>
      <c r="G97" s="30" t="inlineStr">
        <is>
          <t>smallcap</t>
        </is>
      </c>
      <c r="H97" s="31" t="n">
        <v>2534.8</v>
      </c>
      <c r="I97" s="31" t="n">
        <v>620.05</v>
      </c>
      <c r="J97" s="31" t="n">
        <v>0.32</v>
      </c>
      <c r="K97" s="31" t="n">
        <v>132882</v>
      </c>
      <c r="L97" s="30" t="inlineStr"/>
      <c r="M97" s="30" t="inlineStr"/>
      <c r="N97" s="31">
        <f>IF(M97="Underperforming",-5,IF(L97&gt;=95,15,IF(L97&gt;=90,10,IF(L97&gt;=80,5,0))))</f>
        <v/>
      </c>
      <c r="O97" s="31" t="n">
        <v>72.95999999999999</v>
      </c>
      <c r="P97" s="31" t="n">
        <v>33.56</v>
      </c>
      <c r="Q97" s="31" t="inlineStr"/>
      <c r="R97" s="30" t="inlineStr">
        <is>
          <t>Earnings / Momentum Support</t>
        </is>
      </c>
      <c r="S97" s="30" t="inlineStr">
        <is>
          <t>Nifty Infra</t>
        </is>
      </c>
      <c r="T97" s="31" t="inlineStr"/>
      <c r="U97" s="31" t="inlineStr"/>
      <c r="V97" s="31" t="inlineStr"/>
      <c r="W97" s="31" t="inlineStr"/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Headwind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No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3</t>
        </is>
      </c>
      <c r="BC97" s="30">
        <f>IF(BB97="Stage 2",20,IF(BB97="Stage 1",0,IF(BB97="Stage 3",5,IF(BB97="Stage 4",-5,0))))</f>
        <v/>
      </c>
      <c r="BD97" s="30" t="inlineStr">
        <is>
          <t>Negative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IF(B98=0,"",RANK(B98,$B$2:$B$226,0))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ENGINERSIN</t>
        </is>
      </c>
      <c r="D98" s="30" t="inlineStr">
        <is>
          <t>Engineers India Limited</t>
        </is>
      </c>
      <c r="E98" s="30" t="inlineStr">
        <is>
          <t>realty</t>
        </is>
      </c>
      <c r="F98" s="30" t="inlineStr">
        <is>
          <t>engineering - turnkey services</t>
        </is>
      </c>
      <c r="G98" s="30" t="inlineStr">
        <is>
          <t>midcap</t>
        </is>
      </c>
      <c r="H98" s="31" t="n">
        <v>17740.87</v>
      </c>
      <c r="I98" s="31" t="n">
        <v>313.9</v>
      </c>
      <c r="J98" s="31" t="n">
        <v>-0.55</v>
      </c>
      <c r="K98" s="31" t="n">
        <v>9838833</v>
      </c>
      <c r="L98" s="30" t="inlineStr"/>
      <c r="M98" s="30" t="inlineStr"/>
      <c r="N98" s="31">
        <f>IF(M98="Underperforming",-5,IF(L98&gt;=95,15,IF(L98&gt;=90,10,IF(L98&gt;=80,5,0))))</f>
        <v/>
      </c>
      <c r="O98" s="31" t="n">
        <v>73.18000000000001</v>
      </c>
      <c r="P98" s="31" t="n">
        <v>20.04</v>
      </c>
      <c r="Q98" s="31" t="inlineStr"/>
      <c r="R98" s="30" t="inlineStr">
        <is>
          <t>Earnings / Momentum Support</t>
        </is>
      </c>
      <c r="S98" s="30" t="inlineStr">
        <is>
          <t>Nifty Realty</t>
        </is>
      </c>
      <c r="T98" s="31" t="inlineStr"/>
      <c r="U98" s="31" t="inlineStr"/>
      <c r="V98" s="31" t="inlineStr"/>
      <c r="W98" s="31" t="inlineStr"/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Headwind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No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3</t>
        </is>
      </c>
      <c r="BC98" s="30">
        <f>IF(BB98="Stage 2",20,IF(BB98="Stage 1",0,IF(BB98="Stage 3",5,IF(BB98="Stage 4",-5,0))))</f>
        <v/>
      </c>
      <c r="BD98" s="30" t="inlineStr">
        <is>
          <t>Negative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IF(B99=0,"",RANK(B99,$B$2:$B$226,0))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DMCC</t>
        </is>
      </c>
      <c r="D99" s="30" t="inlineStr">
        <is>
          <t>DMCC Speciality Chemicals Ltd</t>
        </is>
      </c>
      <c r="E99" s="30" t="inlineStr">
        <is>
          <t>chemicals</t>
        </is>
      </c>
      <c r="F99" s="30" t="inlineStr">
        <is>
          <t>chemicals</t>
        </is>
      </c>
      <c r="G99" s="30" t="inlineStr">
        <is>
          <t>smallcap</t>
        </is>
      </c>
      <c r="H99" s="31" t="n">
        <v>761.54</v>
      </c>
      <c r="I99" s="31" t="n">
        <v>302.8</v>
      </c>
      <c r="J99" s="31" t="n">
        <v>-0.84</v>
      </c>
      <c r="K99" s="31" t="n">
        <v>144945</v>
      </c>
      <c r="L99" s="30" t="n">
        <v>14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60.33</v>
      </c>
      <c r="P99" s="31" t="n">
        <v>34.88</v>
      </c>
      <c r="Q99" s="31" t="inlineStr"/>
      <c r="R99" s="30" t="inlineStr">
        <is>
          <t>Earnings / Momentum Support</t>
        </is>
      </c>
      <c r="S99" s="30" t="inlineStr">
        <is>
          <t>Nifty 50</t>
        </is>
      </c>
      <c r="T99" s="31" t="n">
        <v>-6.14</v>
      </c>
      <c r="U99" s="31" t="n">
        <v>0.6</v>
      </c>
      <c r="V99" s="31" t="n">
        <v>7.18</v>
      </c>
      <c r="W99" s="31" t="n">
        <v>5.56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Headwind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No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3</t>
        </is>
      </c>
      <c r="BC99" s="30">
        <f>IF(BB99="Stage 2",20,IF(BB99="Stage 1",0,IF(BB99="Stage 3",5,IF(BB99="Stage 4",-5,0))))</f>
        <v/>
      </c>
      <c r="BD99" s="30" t="inlineStr">
        <is>
          <t>Negative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IF(B100=0,"",RANK(B100,$B$2:$B$226,0))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STEELCAS</t>
        </is>
      </c>
      <c r="D100" s="30" t="inlineStr">
        <is>
          <t>Steelcast Ltd</t>
        </is>
      </c>
      <c r="E100" s="30" t="inlineStr">
        <is>
          <t>castings, forgings &amp; fasteners</t>
        </is>
      </c>
      <c r="F100" s="30" t="inlineStr">
        <is>
          <t>castings &amp; forgings</t>
        </is>
      </c>
      <c r="G100" s="30" t="inlineStr">
        <is>
          <t>smallcap</t>
        </is>
      </c>
      <c r="H100" s="31" t="n">
        <v>3810.18</v>
      </c>
      <c r="I100" s="31" t="n">
        <v>370.75</v>
      </c>
      <c r="J100" s="31" t="n">
        <v>-1.53</v>
      </c>
      <c r="K100" s="31" t="n">
        <v>197288</v>
      </c>
      <c r="L100" s="30" t="n">
        <v>54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72.98999999999999</v>
      </c>
      <c r="P100" s="31" t="n">
        <v>42.51</v>
      </c>
      <c r="Q100" s="31" t="inlineStr"/>
      <c r="R100" s="30" t="inlineStr">
        <is>
          <t>Earnings / Momentum Support</t>
        </is>
      </c>
      <c r="S100" s="30" t="inlineStr">
        <is>
          <t>Nifty 50</t>
        </is>
      </c>
      <c r="T100" s="31" t="n">
        <v>-6.14</v>
      </c>
      <c r="U100" s="31" t="n">
        <v>80.18000000000001</v>
      </c>
      <c r="V100" s="31" t="n">
        <v>91.97</v>
      </c>
      <c r="W100" s="31" t="n">
        <v>18.64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Headwind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3</t>
        </is>
      </c>
      <c r="BC100" s="30">
        <f>IF(BB100="Stage 2",20,IF(BB100="Stage 1",0,IF(BB100="Stage 3",5,IF(BB100="Stage 4",-5,0))))</f>
        <v/>
      </c>
      <c r="BD100" s="30" t="inlineStr">
        <is>
          <t>Negative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Between 12 to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IF(B101=0,"",RANK(B101,$B$2:$B$226,0))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SHREEPUSHK</t>
        </is>
      </c>
      <c r="D101" s="30" t="inlineStr">
        <is>
          <t>Shree Pushkar Chemicals &amp; Fertilisers Limited</t>
        </is>
      </c>
      <c r="E101" s="30" t="inlineStr">
        <is>
          <t>chemicals</t>
        </is>
      </c>
      <c r="F101" s="30" t="inlineStr">
        <is>
          <t>dyes and pigments</t>
        </is>
      </c>
      <c r="G101" s="30" t="inlineStr">
        <is>
          <t>smallcap</t>
        </is>
      </c>
      <c r="H101" s="31" t="n">
        <v>1636.45</v>
      </c>
      <c r="I101" s="31" t="n">
        <v>496.85</v>
      </c>
      <c r="J101" s="31" t="n">
        <v>-1.82</v>
      </c>
      <c r="K101" s="31" t="n">
        <v>33403</v>
      </c>
      <c r="L101" s="30" t="n">
        <v>27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69.45</v>
      </c>
      <c r="P101" s="31" t="n">
        <v>43.81</v>
      </c>
      <c r="Q101" s="31" t="inlineStr"/>
      <c r="R101" s="30" t="inlineStr">
        <is>
          <t>Earnings / Momentum Support</t>
        </is>
      </c>
      <c r="S101" s="30" t="inlineStr">
        <is>
          <t>Nifty 50</t>
        </is>
      </c>
      <c r="T101" s="31" t="n">
        <v>-6.14</v>
      </c>
      <c r="U101" s="31" t="n">
        <v>16.24</v>
      </c>
      <c r="V101" s="31" t="n">
        <v>23.84</v>
      </c>
      <c r="W101" s="31" t="n">
        <v>10.21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Headwind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No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3</t>
        </is>
      </c>
      <c r="BC101" s="30">
        <f>IF(BB101="Stage 2",20,IF(BB101="Stage 1",0,IF(BB101="Stage 3",5,IF(BB101="Stage 4",-5,0))))</f>
        <v/>
      </c>
      <c r="BD101" s="30" t="inlineStr">
        <is>
          <t>Negative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IF(B102=0,"",RANK(B102,$B$2:$B$226,0))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SHRIPISTON</t>
        </is>
      </c>
      <c r="D102" s="30" t="inlineStr">
        <is>
          <t>Shriram Pistons &amp; Rings Limited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largecap</t>
        </is>
      </c>
      <c r="H102" s="31" t="n">
        <v>22018.64</v>
      </c>
      <c r="I102" s="31" t="n">
        <v>4645.3</v>
      </c>
      <c r="J102" s="31" t="n">
        <v>-2.14</v>
      </c>
      <c r="K102" s="31" t="n">
        <v>132283</v>
      </c>
      <c r="L102" s="30" t="inlineStr"/>
      <c r="M102" s="30" t="inlineStr"/>
      <c r="N102" s="31">
        <f>IF(M102="Underperforming",-5,IF(L102&gt;=95,15,IF(L102&gt;=90,10,IF(L102&gt;=80,5,0))))</f>
        <v/>
      </c>
      <c r="O102" s="31" t="n">
        <v>72.62</v>
      </c>
      <c r="P102" s="31" t="n">
        <v>58.4</v>
      </c>
      <c r="Q102" s="31" t="inlineStr"/>
      <c r="R102" s="30" t="inlineStr">
        <is>
          <t>Earnings / Momentum Support</t>
        </is>
      </c>
      <c r="S102" s="30" t="inlineStr">
        <is>
          <t>Nifty Auto</t>
        </is>
      </c>
      <c r="T102" s="31" t="inlineStr"/>
      <c r="U102" s="31" t="inlineStr"/>
      <c r="V102" s="31" t="inlineStr"/>
      <c r="W102" s="31" t="inlineStr"/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Headwind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3</t>
        </is>
      </c>
      <c r="BC102" s="30">
        <f>IF(BB102="Stage 2",20,IF(BB102="Stage 1",0,IF(BB102="Stage 3",5,IF(BB102="Stage 4",-5,0))))</f>
        <v/>
      </c>
      <c r="BD102" s="30" t="inlineStr">
        <is>
          <t>Negative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IF(B103=0,"",RANK(B103,$B$2:$B$226,0))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CARBORUNIV</t>
        </is>
      </c>
      <c r="D103" s="30" t="inlineStr">
        <is>
          <t>Carborundum Universal Limited</t>
        </is>
      </c>
      <c r="E103" s="30" t="inlineStr">
        <is>
          <t>industrials</t>
        </is>
      </c>
      <c r="F103" s="30" t="inlineStr">
        <is>
          <t>abrasives and grinding wheels</t>
        </is>
      </c>
      <c r="G103" s="30" t="inlineStr">
        <is>
          <t>largecap</t>
        </is>
      </c>
      <c r="H103" s="31" t="n">
        <v>24354.59</v>
      </c>
      <c r="I103" s="31" t="n">
        <v>1247.8</v>
      </c>
      <c r="J103" s="31" t="n">
        <v>-2.4</v>
      </c>
      <c r="K103" s="31" t="n">
        <v>234625</v>
      </c>
      <c r="L103" s="30" t="n">
        <v>32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67.38</v>
      </c>
      <c r="P103" s="31" t="n">
        <v>45.84</v>
      </c>
      <c r="Q103" s="31" t="inlineStr"/>
      <c r="R103" s="30" t="inlineStr">
        <is>
          <t>Earnings / Momentum Support</t>
        </is>
      </c>
      <c r="S103" s="30" t="inlineStr">
        <is>
          <t>Nifty 50</t>
        </is>
      </c>
      <c r="T103" s="31" t="n">
        <v>-6.14</v>
      </c>
      <c r="U103" s="31" t="n">
        <v>39.58</v>
      </c>
      <c r="V103" s="31" t="n">
        <v>48.71</v>
      </c>
      <c r="W103" s="31" t="n">
        <v>11.2</v>
      </c>
      <c r="X103" s="30" t="inlineStr">
        <is>
          <t>Cyclical in an Upturn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Headwind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No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3</t>
        </is>
      </c>
      <c r="BC103" s="30">
        <f>IF(BB103="Stage 2",20,IF(BB103="Stage 1",0,IF(BB103="Stage 3",5,IF(BB103="Stage 4",-5,0))))</f>
        <v/>
      </c>
      <c r="BD103" s="30" t="inlineStr">
        <is>
          <t>Negative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IF(B104=0,"",RANK(B104,$B$2:$B$226,0))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NRAIL</t>
        </is>
      </c>
      <c r="D104" s="30" t="inlineStr">
        <is>
          <t>N R Agarwal Industries Ltd</t>
        </is>
      </c>
      <c r="E104" s="30" t="inlineStr">
        <is>
          <t>building materials</t>
        </is>
      </c>
      <c r="F104" s="30" t="inlineStr">
        <is>
          <t>paper</t>
        </is>
      </c>
      <c r="G104" s="30" t="inlineStr">
        <is>
          <t>smallcap</t>
        </is>
      </c>
      <c r="H104" s="31" t="n">
        <v>1152.62</v>
      </c>
      <c r="I104" s="31" t="n">
        <v>647.6</v>
      </c>
      <c r="J104" s="31" t="n">
        <v>-4.38</v>
      </c>
      <c r="K104" s="31" t="n">
        <v>61627</v>
      </c>
      <c r="L104" s="30" t="inlineStr"/>
      <c r="M104" s="30" t="inlineStr"/>
      <c r="N104" s="31">
        <f>IF(M104="Underperforming",-5,IF(L104&gt;=95,15,IF(L104&gt;=90,10,IF(L104&gt;=80,5,0))))</f>
        <v/>
      </c>
      <c r="O104" s="31" t="n">
        <v>72.78</v>
      </c>
      <c r="P104" s="31" t="n">
        <v>41.63</v>
      </c>
      <c r="Q104" s="31" t="inlineStr"/>
      <c r="R104" s="30" t="inlineStr">
        <is>
          <t>Earnings / Momentum Support</t>
        </is>
      </c>
      <c r="S104" s="30" t="inlineStr">
        <is>
          <t>Nifty Infra</t>
        </is>
      </c>
      <c r="T104" s="31" t="inlineStr"/>
      <c r="U104" s="31" t="inlineStr"/>
      <c r="V104" s="31" t="inlineStr"/>
      <c r="W104" s="31" t="inlineStr"/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Headwind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3</t>
        </is>
      </c>
      <c r="BC104" s="30">
        <f>IF(BB104="Stage 2",20,IF(BB104="Stage 1",0,IF(BB104="Stage 3",5,IF(BB104="Stage 4",-5,0))))</f>
        <v/>
      </c>
      <c r="BD104" s="30" t="inlineStr">
        <is>
          <t>Negative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Between 0.7 to 1.2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IF(B105=0,"",RANK(B105,$B$2:$B$226,0))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FCL</t>
        </is>
      </c>
      <c r="D105" s="30" t="inlineStr">
        <is>
          <t>Fineotex Chemical Limited</t>
        </is>
      </c>
      <c r="E105" s="30" t="inlineStr">
        <is>
          <t>chemicals</t>
        </is>
      </c>
      <c r="F105" s="30" t="inlineStr">
        <is>
          <t>chemicals</t>
        </is>
      </c>
      <c r="G105" s="30" t="inlineStr">
        <is>
          <t>midcap</t>
        </is>
      </c>
      <c r="H105" s="31" t="n">
        <v>7042.9</v>
      </c>
      <c r="I105" s="31" t="n">
        <v>57.4</v>
      </c>
      <c r="J105" s="31" t="n">
        <v>-5.09</v>
      </c>
      <c r="K105" s="31" t="n">
        <v>28793221</v>
      </c>
      <c r="L105" s="30" t="n">
        <v>85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81.65000000000001</v>
      </c>
      <c r="P105" s="31" t="n">
        <v>48.6</v>
      </c>
      <c r="Q105" s="31" t="inlineStr"/>
      <c r="R105" s="30" t="inlineStr">
        <is>
          <t>Earnings / Momentum Support</t>
        </is>
      </c>
      <c r="S105" s="30" t="inlineStr">
        <is>
          <t>Nifty 50</t>
        </is>
      </c>
      <c r="T105" s="31" t="n">
        <v>-6.14</v>
      </c>
      <c r="U105" s="31" t="n">
        <v>142.52</v>
      </c>
      <c r="V105" s="31" t="n">
        <v>158.39</v>
      </c>
      <c r="W105" s="31" t="n">
        <v>35.96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Headwind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3</t>
        </is>
      </c>
      <c r="BC105" s="30">
        <f>IF(BB105="Stage 2",20,IF(BB105="Stage 1",0,IF(BB105="Stage 3",5,IF(BB105="Stage 4",-5,0))))</f>
        <v/>
      </c>
      <c r="BD105" s="30" t="inlineStr">
        <is>
          <t>Negative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IF(B106=0,"",RANK(B106,$B$2:$B$226,0))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2" t="inlineStr">
        <is>
          <t>TARSONS</t>
        </is>
      </c>
      <c r="D106" s="32" t="inlineStr">
        <is>
          <t>Tarsons Products Ltd</t>
        </is>
      </c>
      <c r="E106" s="30" t="inlineStr">
        <is>
          <t>healthcare</t>
        </is>
      </c>
      <c r="F106" s="30" t="inlineStr">
        <is>
          <t>miscellaneous</t>
        </is>
      </c>
      <c r="G106" s="30" t="inlineStr">
        <is>
          <t>smallcap</t>
        </is>
      </c>
      <c r="H106" s="31" t="n">
        <v>1770.44</v>
      </c>
      <c r="I106" s="31" t="n">
        <v>338</v>
      </c>
      <c r="J106" s="31" t="n">
        <v>1.58</v>
      </c>
      <c r="K106" s="31" t="n">
        <v>169662</v>
      </c>
      <c r="L106" s="30" t="n">
        <v>31</v>
      </c>
      <c r="M106" s="30" t="inlineStr">
        <is>
          <t>Underperforming</t>
        </is>
      </c>
      <c r="N106" s="31">
        <f>IF(M106="Underperforming",-5,IF(L106&gt;=95,15,IF(L106&gt;=90,10,IF(L106&gt;=80,5,0))))</f>
        <v/>
      </c>
      <c r="O106" s="31" t="n">
        <v>62.33</v>
      </c>
      <c r="P106" s="31" t="n">
        <v>47.79</v>
      </c>
      <c r="Q106" s="31" t="inlineStr"/>
      <c r="R106" s="30" t="inlineStr">
        <is>
          <t>Earnings / Momentum Support</t>
        </is>
      </c>
      <c r="S106" s="30" t="inlineStr">
        <is>
          <t>Nifty Pharma</t>
        </is>
      </c>
      <c r="T106" s="31" t="n">
        <v>25.55</v>
      </c>
      <c r="U106" s="31" t="n">
        <v>8.300000000000001</v>
      </c>
      <c r="V106" s="31" t="n">
        <v>-13.74</v>
      </c>
      <c r="W106" s="31" t="n">
        <v>11.04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Headwind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3</t>
        </is>
      </c>
      <c r="BC106" s="30">
        <f>IF(BB106="Stage 2",20,IF(BB106="Stage 1",0,IF(BB106="Stage 3",5,IF(BB106="Stage 4",-5,0))))</f>
        <v/>
      </c>
      <c r="BD106" s="30" t="inlineStr">
        <is>
          <t>Negative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IF(B107=0,"",RANK(B107,$B$2:$B$226,0))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AVADHSUGAR</t>
        </is>
      </c>
      <c r="D107" s="30" t="inlineStr">
        <is>
          <t>Avadh Sugar &amp; Energy</t>
        </is>
      </c>
      <c r="E107" s="30" t="inlineStr">
        <is>
          <t>fmcg</t>
        </is>
      </c>
      <c r="F107" s="30" t="inlineStr">
        <is>
          <t>sugar</t>
        </is>
      </c>
      <c r="G107" s="30" t="inlineStr">
        <is>
          <t>smallcap</t>
        </is>
      </c>
      <c r="H107" s="31" t="n">
        <v>1594.47</v>
      </c>
      <c r="I107" s="31" t="n">
        <v>808.4</v>
      </c>
      <c r="J107" s="31" t="n">
        <v>1.49</v>
      </c>
      <c r="K107" s="31" t="n">
        <v>276330</v>
      </c>
      <c r="L107" s="30" t="inlineStr"/>
      <c r="M107" s="30" t="inlineStr"/>
      <c r="N107" s="31">
        <f>IF(M107="Underperforming",-5,IF(L107&gt;=95,15,IF(L107&gt;=90,10,IF(L107&gt;=80,5,0))))</f>
        <v/>
      </c>
      <c r="O107" s="31" t="n">
        <v>71.98</v>
      </c>
      <c r="P107" s="31" t="n">
        <v>56.06</v>
      </c>
      <c r="Q107" s="31" t="inlineStr"/>
      <c r="R107" s="30" t="inlineStr">
        <is>
          <t>Earnings / Momentum Support</t>
        </is>
      </c>
      <c r="S107" s="30" t="inlineStr">
        <is>
          <t>Nifty FMCG</t>
        </is>
      </c>
      <c r="T107" s="31" t="inlineStr"/>
      <c r="U107" s="31" t="inlineStr"/>
      <c r="V107" s="31" t="inlineStr"/>
      <c r="W107" s="31" t="inlineStr"/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Headwind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B2C</t>
        </is>
      </c>
      <c r="AO107" s="30">
        <f>IF(AN107="B2C",10,IF(AN107="B2B",5,0))</f>
        <v/>
      </c>
      <c r="AP107" s="30" t="inlineStr">
        <is>
          <t>No</t>
        </is>
      </c>
      <c r="AQ107" s="30">
        <f>IF(AP107="Yes",10,0)</f>
        <v/>
      </c>
      <c r="AR107" s="30" t="inlineStr">
        <is>
          <t>Higher Annuity, Lower One Time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3</t>
        </is>
      </c>
      <c r="BC107" s="30">
        <f>IF(BB107="Stage 2",20,IF(BB107="Stage 1",0,IF(BB107="Stage 3",5,IF(BB107="Stage 4",-5,0))))</f>
        <v/>
      </c>
      <c r="BD107" s="30" t="inlineStr">
        <is>
          <t>Negative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More than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IF(B108=0,"",RANK(B108,$B$2:$B$226,0))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SHILPAMED</t>
        </is>
      </c>
      <c r="D108" s="30" t="inlineStr">
        <is>
          <t>Shilpa Medicare Limited</t>
        </is>
      </c>
      <c r="E108" s="30" t="inlineStr">
        <is>
          <t>healthcare</t>
        </is>
      </c>
      <c r="F108" s="30" t="inlineStr">
        <is>
          <t>pharmaceuticals - indian - formulations</t>
        </is>
      </c>
      <c r="G108" s="30" t="inlineStr">
        <is>
          <t>midcap</t>
        </is>
      </c>
      <c r="H108" s="31" t="n">
        <v>19821.24</v>
      </c>
      <c r="I108" s="31" t="n">
        <v>1025.25</v>
      </c>
      <c r="J108" s="31" t="n">
        <v>1.16</v>
      </c>
      <c r="K108" s="31" t="n">
        <v>678050</v>
      </c>
      <c r="L108" s="30" t="n">
        <v>89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90.44</v>
      </c>
      <c r="P108" s="31" t="n">
        <v>82.64</v>
      </c>
      <c r="Q108" s="31" t="inlineStr"/>
      <c r="R108" s="30" t="inlineStr">
        <is>
          <t>Earnings / Momentum Support</t>
        </is>
      </c>
      <c r="S108" s="30" t="inlineStr">
        <is>
          <t>Nifty Pharma</t>
        </is>
      </c>
      <c r="T108" s="31" t="n">
        <v>25.55</v>
      </c>
      <c r="U108" s="31" t="n">
        <v>162.77</v>
      </c>
      <c r="V108" s="31" t="n">
        <v>109.29</v>
      </c>
      <c r="W108" s="31" t="n">
        <v>42.08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Yes</t>
        </is>
      </c>
      <c r="AC108" s="30">
        <f>IF(AB108="No",5,0)</f>
        <v/>
      </c>
      <c r="AD108" s="30" t="inlineStr">
        <is>
          <t>Headwind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3</t>
        </is>
      </c>
      <c r="BC108" s="30">
        <f>IF(BB108="Stage 2",20,IF(BB108="Stage 1",0,IF(BB108="Stage 3",5,IF(BB108="Stage 4",-5,0))))</f>
        <v/>
      </c>
      <c r="BD108" s="30" t="inlineStr">
        <is>
          <t>Negative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IF(B109=0,"",RANK(B109,$B$2:$B$226,0))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2" t="inlineStr">
        <is>
          <t>SURAKSHA</t>
        </is>
      </c>
      <c r="D109" s="32" t="inlineStr">
        <is>
          <t>Suraksha Diagnostic Ltd</t>
        </is>
      </c>
      <c r="E109" s="30" t="inlineStr">
        <is>
          <t>healthcare</t>
        </is>
      </c>
      <c r="F109" s="30" t="inlineStr">
        <is>
          <t>healthcare</t>
        </is>
      </c>
      <c r="G109" s="30" t="inlineStr">
        <is>
          <t>smallcap</t>
        </is>
      </c>
      <c r="H109" s="31" t="n">
        <v>1787.93</v>
      </c>
      <c r="I109" s="31" t="n">
        <v>347.05</v>
      </c>
      <c r="J109" s="31" t="n">
        <v>1.09</v>
      </c>
      <c r="K109" s="31" t="n">
        <v>65448</v>
      </c>
      <c r="L109" s="30" t="n">
        <v>24</v>
      </c>
      <c r="M109" s="30" t="inlineStr">
        <is>
          <t>Underperforming</t>
        </is>
      </c>
      <c r="N109" s="31">
        <f>IF(M109="Underperforming",-5,IF(L109&gt;=95,15,IF(L109&gt;=90,10,IF(L109&gt;=80,5,0))))</f>
        <v/>
      </c>
      <c r="O109" s="31" t="n">
        <v>66.72</v>
      </c>
      <c r="P109" s="31" t="n">
        <v>22.26</v>
      </c>
      <c r="Q109" s="31" t="inlineStr"/>
      <c r="R109" s="30" t="inlineStr">
        <is>
          <t>Earnings / Momentum Support</t>
        </is>
      </c>
      <c r="S109" s="30" t="inlineStr">
        <is>
          <t>Nifty Pharma</t>
        </is>
      </c>
      <c r="T109" s="31" t="n">
        <v>25.55</v>
      </c>
      <c r="U109" s="31" t="n">
        <v>15.2</v>
      </c>
      <c r="V109" s="31" t="n">
        <v>-8.25</v>
      </c>
      <c r="W109" s="31" t="n">
        <v>9.19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Yes</t>
        </is>
      </c>
      <c r="AC109" s="30">
        <f>IF(AB109="No",5,0)</f>
        <v/>
      </c>
      <c r="AD109" s="30" t="inlineStr">
        <is>
          <t>Headwind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No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3</t>
        </is>
      </c>
      <c r="BC109" s="30">
        <f>IF(BB109="Stage 2",20,IF(BB109="Stage 1",0,IF(BB109="Stage 3",5,IF(BB109="Stage 4",-5,0))))</f>
        <v/>
      </c>
      <c r="BD109" s="30" t="inlineStr">
        <is>
          <t>Negative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IF(B110=0,"",RANK(B110,$B$2:$B$226,0))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DBOL</t>
        </is>
      </c>
      <c r="D110" s="30" t="inlineStr">
        <is>
          <t>Dhampur Bio Organics Ltd</t>
        </is>
      </c>
      <c r="E110" s="30" t="inlineStr">
        <is>
          <t>fmcg</t>
        </is>
      </c>
      <c r="F110" s="30" t="inlineStr">
        <is>
          <t>sugar</t>
        </is>
      </c>
      <c r="G110" s="30" t="inlineStr">
        <is>
          <t>smallcap</t>
        </is>
      </c>
      <c r="H110" s="31" t="n">
        <v>811.59</v>
      </c>
      <c r="I110" s="31" t="n">
        <v>122.77</v>
      </c>
      <c r="J110" s="31" t="n">
        <v>0.43</v>
      </c>
      <c r="K110" s="31" t="n">
        <v>385520</v>
      </c>
      <c r="L110" s="30" t="inlineStr"/>
      <c r="M110" s="30" t="inlineStr"/>
      <c r="N110" s="31">
        <f>IF(M110="Underperforming",-5,IF(L110&gt;=95,15,IF(L110&gt;=90,10,IF(L110&gt;=80,5,0))))</f>
        <v/>
      </c>
      <c r="O110" s="31" t="n">
        <v>57.74</v>
      </c>
      <c r="P110" s="31" t="n">
        <v>33.93</v>
      </c>
      <c r="Q110" s="31" t="inlineStr"/>
      <c r="R110" s="30" t="inlineStr">
        <is>
          <t>Earnings / Momentum Support</t>
        </is>
      </c>
      <c r="S110" s="30" t="inlineStr">
        <is>
          <t>Nifty FMCG</t>
        </is>
      </c>
      <c r="T110" s="31" t="inlineStr"/>
      <c r="U110" s="31" t="inlineStr"/>
      <c r="V110" s="31" t="inlineStr"/>
      <c r="W110" s="31" t="inlineStr"/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Headwind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B2C</t>
        </is>
      </c>
      <c r="AO110" s="30">
        <f>IF(AN110="B2C",10,IF(AN110="B2B",5,0))</f>
        <v/>
      </c>
      <c r="AP110" s="30" t="inlineStr">
        <is>
          <t>No</t>
        </is>
      </c>
      <c r="AQ110" s="30">
        <f>IF(AP110="Yes",10,0)</f>
        <v/>
      </c>
      <c r="AR110" s="30" t="inlineStr">
        <is>
          <t>Higher Annuity, Lower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3</t>
        </is>
      </c>
      <c r="BC110" s="30">
        <f>IF(BB110="Stage 2",20,IF(BB110="Stage 1",0,IF(BB110="Stage 3",5,IF(BB110="Stage 4",-5,0))))</f>
        <v/>
      </c>
      <c r="BD110" s="30" t="inlineStr">
        <is>
          <t>Negative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Between 0.7 to 1.2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IF(B111=0,"",RANK(B111,$B$2:$B$226,0))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LALPATHLAB</t>
        </is>
      </c>
      <c r="D111" s="32" t="inlineStr">
        <is>
          <t>Dr. Lal Path Labs Ltd.</t>
        </is>
      </c>
      <c r="E111" s="30" t="inlineStr">
        <is>
          <t>healthcare</t>
        </is>
      </c>
      <c r="F111" s="30" t="inlineStr">
        <is>
          <t>healthcare</t>
        </is>
      </c>
      <c r="G111" s="30" t="inlineStr">
        <is>
          <t>largecap</t>
        </is>
      </c>
      <c r="H111" s="31" t="n">
        <v>32727.92</v>
      </c>
      <c r="I111" s="31" t="n">
        <v>1942.1</v>
      </c>
      <c r="J111" s="31" t="n">
        <v>-0.52</v>
      </c>
      <c r="K111" s="31" t="n">
        <v>137296</v>
      </c>
      <c r="L111" s="30" t="n">
        <v>21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69.63</v>
      </c>
      <c r="P111" s="31" t="n">
        <v>47.21</v>
      </c>
      <c r="Q111" s="31" t="inlineStr"/>
      <c r="R111" s="30" t="inlineStr">
        <is>
          <t>Earnings / Momentum Support</t>
        </is>
      </c>
      <c r="S111" s="30" t="inlineStr">
        <is>
          <t>Nifty Pharma</t>
        </is>
      </c>
      <c r="T111" s="31" t="n">
        <v>25.55</v>
      </c>
      <c r="U111" s="31" t="n">
        <v>23.43</v>
      </c>
      <c r="V111" s="31" t="n">
        <v>-1.69</v>
      </c>
      <c r="W111" s="31" t="n">
        <v>8.449999999999999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Yes</t>
        </is>
      </c>
      <c r="AC111" s="30">
        <f>IF(AB111="No",5,0)</f>
        <v/>
      </c>
      <c r="AD111" s="30" t="inlineStr">
        <is>
          <t>Headwind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Annuity, Lower One Time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3</t>
        </is>
      </c>
      <c r="BC111" s="30">
        <f>IF(BB111="Stage 2",20,IF(BB111="Stage 1",0,IF(BB111="Stage 3",5,IF(BB111="Stage 4",-5,0))))</f>
        <v/>
      </c>
      <c r="BD111" s="30" t="inlineStr">
        <is>
          <t>Negative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IF(B112=0,"",RANK(B112,$B$2:$B$226,0))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AARTIPHARM</t>
        </is>
      </c>
      <c r="D112" s="32" t="inlineStr">
        <is>
          <t>Aarti Pharmalabs Ltd</t>
        </is>
      </c>
      <c r="E112" s="30" t="inlineStr">
        <is>
          <t>healthcare</t>
        </is>
      </c>
      <c r="F112" s="30" t="inlineStr">
        <is>
          <t>pharmaceuticals - indian - bulk drugs &amp; formln</t>
        </is>
      </c>
      <c r="G112" s="30" t="inlineStr">
        <is>
          <t>midcap</t>
        </is>
      </c>
      <c r="H112" s="31" t="n">
        <v>8519.82</v>
      </c>
      <c r="I112" s="31" t="n">
        <v>914</v>
      </c>
      <c r="J112" s="31" t="n">
        <v>-2.72</v>
      </c>
      <c r="K112" s="31" t="n">
        <v>528118</v>
      </c>
      <c r="L112" s="30" t="n">
        <v>34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69.12</v>
      </c>
      <c r="P112" s="31" t="n">
        <v>25.15</v>
      </c>
      <c r="Q112" s="31" t="inlineStr"/>
      <c r="R112" s="30" t="inlineStr">
        <is>
          <t>Earnings / Momentum Support</t>
        </is>
      </c>
      <c r="S112" s="30" t="inlineStr">
        <is>
          <t>Nifty Pharma</t>
        </is>
      </c>
      <c r="T112" s="31" t="n">
        <v>25.55</v>
      </c>
      <c r="U112" s="31" t="n">
        <v>14.53</v>
      </c>
      <c r="V112" s="31" t="n">
        <v>-8.779999999999999</v>
      </c>
      <c r="W112" s="31" t="n">
        <v>11.69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Yes</t>
        </is>
      </c>
      <c r="AC112" s="30">
        <f>IF(AB112="No",5,0)</f>
        <v/>
      </c>
      <c r="AD112" s="30" t="inlineStr">
        <is>
          <t>Headwind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No</t>
        </is>
      </c>
      <c r="AQ112" s="30">
        <f>IF(AP112="Yes",10,0)</f>
        <v/>
      </c>
      <c r="AR112" s="30" t="inlineStr">
        <is>
          <t>Higher Annuity, Lower One Time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3</t>
        </is>
      </c>
      <c r="BC112" s="30">
        <f>IF(BB112="Stage 2",20,IF(BB112="Stage 1",0,IF(BB112="Stage 3",5,IF(BB112="Stage 4",-5,0))))</f>
        <v/>
      </c>
      <c r="BD112" s="30" t="inlineStr">
        <is>
          <t>Negative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IF(B113=0,"",RANK(B113,$B$2:$B$226,0))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RPGLIFE</t>
        </is>
      </c>
      <c r="D113" s="30" t="inlineStr">
        <is>
          <t>Rpg Life Sciences Limited</t>
        </is>
      </c>
      <c r="E113" s="30" t="inlineStr">
        <is>
          <t>healthcare</t>
        </is>
      </c>
      <c r="F113" s="30" t="inlineStr">
        <is>
          <t>pharmaceuticals - indian - bulk drugs &amp; formln</t>
        </is>
      </c>
      <c r="G113" s="30" t="inlineStr">
        <is>
          <t>midcap</t>
        </is>
      </c>
      <c r="H113" s="31" t="n">
        <v>5045.39</v>
      </c>
      <c r="I113" s="31" t="n">
        <v>2955.1</v>
      </c>
      <c r="J113" s="31" t="n">
        <v>-3.13</v>
      </c>
      <c r="K113" s="31" t="n">
        <v>46167</v>
      </c>
      <c r="L113" s="30" t="n">
        <v>43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</v>
      </c>
      <c r="P113" s="31" t="n">
        <v>43.82</v>
      </c>
      <c r="Q113" s="31" t="inlineStr"/>
      <c r="R113" s="30" t="inlineStr">
        <is>
          <t>Earnings / Momentum Support</t>
        </is>
      </c>
      <c r="S113" s="30" t="inlineStr">
        <is>
          <t>Nifty Pharma</t>
        </is>
      </c>
      <c r="T113" s="31" t="n">
        <v>25.55</v>
      </c>
      <c r="U113" s="31" t="n">
        <v>33.64</v>
      </c>
      <c r="V113" s="31" t="n">
        <v>6.44</v>
      </c>
      <c r="W113" s="31" t="n">
        <v>14.83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Yes</t>
        </is>
      </c>
      <c r="AC113" s="30">
        <f>IF(AB113="No",5,0)</f>
        <v/>
      </c>
      <c r="AD113" s="30" t="inlineStr">
        <is>
          <t>Headwind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3</t>
        </is>
      </c>
      <c r="BC113" s="30">
        <f>IF(BB113="Stage 2",20,IF(BB113="Stage 1",0,IF(BB113="Stage 3",5,IF(BB113="Stage 4",-5,0))))</f>
        <v/>
      </c>
      <c r="BD113" s="30" t="inlineStr">
        <is>
          <t>Negative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Between 12 to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IF(B114=0,"",RANK(B114,$B$2:$B$226,0))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INDIAGLYCO</t>
        </is>
      </c>
      <c r="D114" s="30" t="inlineStr">
        <is>
          <t>India Glycols Limited</t>
        </is>
      </c>
      <c r="E114" s="30" t="inlineStr">
        <is>
          <t>fmcg</t>
        </is>
      </c>
      <c r="F114" s="30" t="inlineStr">
        <is>
          <t>breweries &amp; distilleries</t>
        </is>
      </c>
      <c r="G114" s="30" t="inlineStr">
        <is>
          <t>smallcap</t>
        </is>
      </c>
      <c r="H114" s="31" t="n">
        <v>2077.16</v>
      </c>
      <c r="I114" s="31" t="n">
        <v>297.5</v>
      </c>
      <c r="J114" s="31" t="n">
        <v>-4</v>
      </c>
      <c r="K114" s="31" t="n">
        <v>1152620</v>
      </c>
      <c r="L114" s="30" t="inlineStr"/>
      <c r="M114" s="30" t="inlineStr"/>
      <c r="N114" s="31">
        <f>IF(M114="Underperforming",-5,IF(L114&gt;=95,15,IF(L114&gt;=90,10,IF(L114&gt;=80,5,0))))</f>
        <v/>
      </c>
      <c r="O114" s="31" t="n">
        <v>27.31</v>
      </c>
      <c r="P114" s="31" t="n">
        <v>39.73</v>
      </c>
      <c r="Q114" s="31" t="inlineStr"/>
      <c r="R114" s="30" t="inlineStr">
        <is>
          <t>Earnings / Momentum Support</t>
        </is>
      </c>
      <c r="S114" s="30" t="inlineStr">
        <is>
          <t>Nifty FMCG</t>
        </is>
      </c>
      <c r="T114" s="31" t="inlineStr"/>
      <c r="U114" s="31" t="inlineStr"/>
      <c r="V114" s="31" t="inlineStr"/>
      <c r="W114" s="31" t="inlineStr"/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Headwind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B2C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Below 45</t>
        </is>
      </c>
      <c r="BA114" s="30">
        <f>IF(AZ114="Between 50 to 75",10,IF(AZ114="Above 75",0,0))</f>
        <v/>
      </c>
      <c r="BB114" s="30" t="inlineStr">
        <is>
          <t>Stage 4</t>
        </is>
      </c>
      <c r="BC114" s="30">
        <f>IF(BB114="Stage 2",20,IF(BB114="Stage 1",0,IF(BB114="Stage 3",5,IF(BB114="Stage 4",-5,0))))</f>
        <v/>
      </c>
      <c r="BD114" s="30" t="inlineStr">
        <is>
          <t>Negative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IF(B115=0,"",RANK(B115,$B$2:$B$226,0))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RUBYMILLS</t>
        </is>
      </c>
      <c r="D115" s="30" t="inlineStr">
        <is>
          <t>The Ruby Mills Limited</t>
        </is>
      </c>
      <c r="E115" s="30" t="inlineStr">
        <is>
          <t>textiles</t>
        </is>
      </c>
      <c r="F115" s="30" t="inlineStr">
        <is>
          <t>textiles - composite</t>
        </is>
      </c>
      <c r="G115" s="30" t="inlineStr">
        <is>
          <t>smallcap</t>
        </is>
      </c>
      <c r="H115" s="31" t="n">
        <v>1644.75</v>
      </c>
      <c r="I115" s="31" t="n">
        <v>510.6</v>
      </c>
      <c r="J115" s="31" t="n">
        <v>3.81</v>
      </c>
      <c r="K115" s="31" t="n">
        <v>95953</v>
      </c>
      <c r="L115" s="30" t="n">
        <v>80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77.8</v>
      </c>
      <c r="P115" s="31" t="n">
        <v>53.02</v>
      </c>
      <c r="Q115" s="31" t="inlineStr"/>
      <c r="R115" s="30" t="inlineStr">
        <is>
          <t>Earnings / Momentum Support</t>
        </is>
      </c>
      <c r="S115" s="30" t="inlineStr">
        <is>
          <t>Nifty 50</t>
        </is>
      </c>
      <c r="T115" s="31" t="n">
        <v>-6.14</v>
      </c>
      <c r="U115" s="31" t="n">
        <v>123.39</v>
      </c>
      <c r="V115" s="31" t="n">
        <v>138.01</v>
      </c>
      <c r="W115" s="31" t="n">
        <v>30.91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Headwind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No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3</t>
        </is>
      </c>
      <c r="BC115" s="30">
        <f>IF(BB115="Stage 2",20,IF(BB115="Stage 1",0,IF(BB115="Stage 3",5,IF(BB115="Stage 4",-5,0))))</f>
        <v/>
      </c>
      <c r="BD115" s="30" t="inlineStr">
        <is>
          <t>Negative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Less than 12%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IF(B116=0,"",RANK(B116,$B$2:$B$226,0))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OAL</t>
        </is>
      </c>
      <c r="D116" s="30" t="inlineStr">
        <is>
          <t>Oriental Aromatics Ltd</t>
        </is>
      </c>
      <c r="E116" s="30" t="inlineStr">
        <is>
          <t>chemicals</t>
        </is>
      </c>
      <c r="F116" s="30" t="inlineStr">
        <is>
          <t>chemicals</t>
        </is>
      </c>
      <c r="G116" s="30" t="inlineStr">
        <is>
          <t>smallcap</t>
        </is>
      </c>
      <c r="H116" s="31" t="n">
        <v>1795.92</v>
      </c>
      <c r="I116" s="31" t="n">
        <v>553.15</v>
      </c>
      <c r="J116" s="31" t="n">
        <v>3.65</v>
      </c>
      <c r="K116" s="31" t="n">
        <v>99966</v>
      </c>
      <c r="L116" s="30" t="n">
        <v>74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74.67</v>
      </c>
      <c r="P116" s="31" t="n">
        <v>39.91</v>
      </c>
      <c r="Q116" s="31" t="inlineStr"/>
      <c r="R116" s="30" t="inlineStr">
        <is>
          <t>Earnings / Momentum Support</t>
        </is>
      </c>
      <c r="S116" s="30" t="inlineStr">
        <is>
          <t>Nifty 50</t>
        </is>
      </c>
      <c r="T116" s="31" t="n">
        <v>-6.14</v>
      </c>
      <c r="U116" s="31" t="n">
        <v>58.96</v>
      </c>
      <c r="V116" s="31" t="n">
        <v>69.36</v>
      </c>
      <c r="W116" s="31" t="n">
        <v>27.05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Headwind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3</t>
        </is>
      </c>
      <c r="BC116" s="30">
        <f>IF(BB116="Stage 2",20,IF(BB116="Stage 1",0,IF(BB116="Stage 3",5,IF(BB116="Stage 4",-5,0))))</f>
        <v/>
      </c>
      <c r="BD116" s="30" t="inlineStr">
        <is>
          <t>Negative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IF(B117=0,"",RANK(B117,$B$2:$B$226,0))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SATIA</t>
        </is>
      </c>
      <c r="D117" s="30" t="inlineStr">
        <is>
          <t>Satia Industries Ltd</t>
        </is>
      </c>
      <c r="E117" s="30" t="inlineStr">
        <is>
          <t>building materials</t>
        </is>
      </c>
      <c r="F117" s="30" t="inlineStr">
        <is>
          <t>paper</t>
        </is>
      </c>
      <c r="G117" s="30" t="inlineStr">
        <is>
          <t>smallcap</t>
        </is>
      </c>
      <c r="H117" s="31" t="n">
        <v>670</v>
      </c>
      <c r="I117" s="31" t="n">
        <v>68.09999999999999</v>
      </c>
      <c r="J117" s="31" t="n">
        <v>1.64</v>
      </c>
      <c r="K117" s="31" t="n">
        <v>191667</v>
      </c>
      <c r="L117" s="30" t="inlineStr"/>
      <c r="M117" s="30" t="inlineStr"/>
      <c r="N117" s="31">
        <f>IF(M117="Underperforming",-5,IF(L117&gt;=95,15,IF(L117&gt;=90,10,IF(L117&gt;=80,5,0))))</f>
        <v/>
      </c>
      <c r="O117" s="31" t="n">
        <v>57.54</v>
      </c>
      <c r="P117" s="31" t="n">
        <v>12.2</v>
      </c>
      <c r="Q117" s="31" t="inlineStr"/>
      <c r="R117" s="30" t="inlineStr">
        <is>
          <t>Earnings / Momentum Support</t>
        </is>
      </c>
      <c r="S117" s="30" t="inlineStr">
        <is>
          <t>Nifty Infra</t>
        </is>
      </c>
      <c r="T117" s="31" t="inlineStr"/>
      <c r="U117" s="31" t="inlineStr"/>
      <c r="V117" s="31" t="inlineStr"/>
      <c r="W117" s="31" t="inlineStr"/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Headwind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No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0 to 20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3</t>
        </is>
      </c>
      <c r="BC117" s="30">
        <f>IF(BB117="Stage 2",20,IF(BB117="Stage 1",0,IF(BB117="Stage 3",5,IF(BB117="Stage 4",-5,0))))</f>
        <v/>
      </c>
      <c r="BD117" s="30" t="inlineStr">
        <is>
          <t>Negative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IF(B118=0,"",RANK(B118,$B$2:$B$226,0))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NAZARA</t>
        </is>
      </c>
      <c r="D118" s="30" t="inlineStr">
        <is>
          <t>Nazara Technologies Ltd</t>
        </is>
      </c>
      <c r="E118" s="30" t="inlineStr">
        <is>
          <t>i.t</t>
        </is>
      </c>
      <c r="F118" s="30" t="inlineStr">
        <is>
          <t>telecommunications - service provider</t>
        </is>
      </c>
      <c r="G118" s="30" t="inlineStr">
        <is>
          <t>midcap</t>
        </is>
      </c>
      <c r="H118" s="31" t="n">
        <v>14481.88</v>
      </c>
      <c r="I118" s="31" t="n">
        <v>379.65</v>
      </c>
      <c r="J118" s="31" t="n">
        <v>0.85</v>
      </c>
      <c r="K118" s="31" t="n">
        <v>2307584</v>
      </c>
      <c r="L118" s="30" t="n">
        <v>36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73.98</v>
      </c>
      <c r="P118" s="31" t="n">
        <v>32.83</v>
      </c>
      <c r="Q118" s="31" t="inlineStr"/>
      <c r="R118" s="30" t="inlineStr">
        <is>
          <t>Earnings / Momentum Support</t>
        </is>
      </c>
      <c r="S118" s="30" t="inlineStr">
        <is>
          <t>Nifty IT</t>
        </is>
      </c>
      <c r="T118" s="31" t="n">
        <v>-16.44</v>
      </c>
      <c r="U118" s="31" t="n">
        <v>34.45</v>
      </c>
      <c r="V118" s="31" t="n">
        <v>60.9</v>
      </c>
      <c r="W118" s="31" t="n">
        <v>12.31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Oligopoly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Headwind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3</t>
        </is>
      </c>
      <c r="BC118" s="30">
        <f>IF(BB118="Stage 2",20,IF(BB118="Stage 1",0,IF(BB118="Stage 3",5,IF(BB118="Stage 4",-5,0))))</f>
        <v/>
      </c>
      <c r="BD118" s="30" t="inlineStr">
        <is>
          <t>Negative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IF(B119=0,"",RANK(B119,$B$2:$B$226,0))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EBGNG</t>
        </is>
      </c>
      <c r="D119" s="30" t="inlineStr">
        <is>
          <t>GNG Electronics Ltd</t>
        </is>
      </c>
      <c r="E119" s="30" t="inlineStr">
        <is>
          <t>services</t>
        </is>
      </c>
      <c r="F119" s="30" t="inlineStr">
        <is>
          <t>trading</t>
        </is>
      </c>
      <c r="G119" s="30" t="inlineStr">
        <is>
          <t>midcap</t>
        </is>
      </c>
      <c r="H119" s="31" t="n">
        <v>7627.37</v>
      </c>
      <c r="I119" s="31" t="n">
        <v>672.15</v>
      </c>
      <c r="J119" s="31" t="n">
        <v>0.47</v>
      </c>
      <c r="K119" s="31" t="n">
        <v>598831</v>
      </c>
      <c r="L119" s="30" t="n">
        <v>56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65.09</v>
      </c>
      <c r="P119" s="31" t="n">
        <v>39.54</v>
      </c>
      <c r="Q119" s="31" t="inlineStr"/>
      <c r="R119" s="30" t="inlineStr">
        <is>
          <t>Earnings / Momentum Support</t>
        </is>
      </c>
      <c r="S119" s="30" t="inlineStr">
        <is>
          <t>Nifty 50</t>
        </is>
      </c>
      <c r="T119" s="31" t="n">
        <v>-6.14</v>
      </c>
      <c r="U119" s="31" t="n">
        <v>93.63</v>
      </c>
      <c r="V119" s="31" t="n">
        <v>106.3</v>
      </c>
      <c r="W119" s="31" t="n">
        <v>19.6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Headwind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3</t>
        </is>
      </c>
      <c r="BC119" s="30">
        <f>IF(BB119="Stage 2",20,IF(BB119="Stage 1",0,IF(BB119="Stage 3",5,IF(BB119="Stage 4",-5,0))))</f>
        <v/>
      </c>
      <c r="BD119" s="30" t="inlineStr">
        <is>
          <t>Negative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IF(B120=0,"",RANK(B120,$B$2:$B$226,0))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MAHLOG</t>
        </is>
      </c>
      <c r="D120" s="30" t="inlineStr">
        <is>
          <t>Mahindra Logistics Ltd</t>
        </is>
      </c>
      <c r="E120" s="30" t="inlineStr">
        <is>
          <t>transportation</t>
        </is>
      </c>
      <c r="F120" s="30" t="inlineStr">
        <is>
          <t>miscellaneous</t>
        </is>
      </c>
      <c r="G120" s="30" t="inlineStr">
        <is>
          <t>smallcap</t>
        </is>
      </c>
      <c r="H120" s="31" t="n">
        <v>4169.82</v>
      </c>
      <c r="I120" s="31" t="n">
        <v>421.8</v>
      </c>
      <c r="J120" s="31" t="n">
        <v>0.37</v>
      </c>
      <c r="K120" s="31" t="n">
        <v>461716</v>
      </c>
      <c r="L120" s="30" t="n">
        <v>19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60.57</v>
      </c>
      <c r="P120" s="31" t="n">
        <v>28.84</v>
      </c>
      <c r="Q120" s="31" t="inlineStr"/>
      <c r="R120" s="30" t="inlineStr">
        <is>
          <t>Earnings / Momentum Support</t>
        </is>
      </c>
      <c r="S120" s="30" t="inlineStr">
        <is>
          <t>Nifty 50</t>
        </is>
      </c>
      <c r="T120" s="31" t="n">
        <v>-6.14</v>
      </c>
      <c r="U120" s="31" t="n">
        <v>22.51</v>
      </c>
      <c r="V120" s="31" t="n">
        <v>30.53</v>
      </c>
      <c r="W120" s="31" t="n">
        <v>7.39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Headwind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No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3</t>
        </is>
      </c>
      <c r="BC120" s="30">
        <f>IF(BB120="Stage 2",20,IF(BB120="Stage 1",0,IF(BB120="Stage 3",5,IF(BB120="Stage 4",-5,0))))</f>
        <v/>
      </c>
      <c r="BD120" s="30" t="inlineStr">
        <is>
          <t>Negative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IF(B121=0,"",RANK(B121,$B$2:$B$226,0))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ALEMBICLTD</t>
        </is>
      </c>
      <c r="D121" s="30" t="inlineStr">
        <is>
          <t>Alembic Limited</t>
        </is>
      </c>
      <c r="E121" s="30" t="inlineStr">
        <is>
          <t>realty</t>
        </is>
      </c>
      <c r="F121" s="30" t="inlineStr">
        <is>
          <t>construction</t>
        </is>
      </c>
      <c r="G121" s="30" t="inlineStr">
        <is>
          <t>smallcap</t>
        </is>
      </c>
      <c r="H121" s="31" t="n">
        <v>2735.5</v>
      </c>
      <c r="I121" s="31" t="n">
        <v>106.91</v>
      </c>
      <c r="J121" s="31" t="n">
        <v>0.36</v>
      </c>
      <c r="K121" s="31" t="n">
        <v>828763</v>
      </c>
      <c r="L121" s="30" t="inlineStr"/>
      <c r="M121" s="30" t="inlineStr"/>
      <c r="N121" s="31">
        <f>IF(M121="Underperforming",-5,IF(L121&gt;=95,15,IF(L121&gt;=90,10,IF(L121&gt;=80,5,0))))</f>
        <v/>
      </c>
      <c r="O121" s="31" t="n">
        <v>63.65</v>
      </c>
      <c r="P121" s="31" t="n">
        <v>23.94</v>
      </c>
      <c r="Q121" s="31" t="inlineStr"/>
      <c r="R121" s="30" t="inlineStr">
        <is>
          <t>Earnings / Momentum Support</t>
        </is>
      </c>
      <c r="S121" s="30" t="inlineStr">
        <is>
          <t>Nifty Realty</t>
        </is>
      </c>
      <c r="T121" s="31" t="inlineStr"/>
      <c r="U121" s="31" t="inlineStr"/>
      <c r="V121" s="31" t="inlineStr"/>
      <c r="W121" s="31" t="inlineStr"/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Headwind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3</t>
        </is>
      </c>
      <c r="BC121" s="30">
        <f>IF(BB121="Stage 2",20,IF(BB121="Stage 1",0,IF(BB121="Stage 3",5,IF(BB121="Stage 4",-5,0))))</f>
        <v/>
      </c>
      <c r="BD121" s="30" t="inlineStr">
        <is>
          <t>Negative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Less than 12%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Between 1.5 to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IF(B122=0,"",RANK(B122,$B$2:$B$226,0))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GULFOILLUB</t>
        </is>
      </c>
      <c r="D122" s="30" t="inlineStr">
        <is>
          <t>Gulf Oil Lubricants India Limited</t>
        </is>
      </c>
      <c r="E122" s="30" t="inlineStr">
        <is>
          <t>chemicals</t>
        </is>
      </c>
      <c r="F122" s="30" t="inlineStr">
        <is>
          <t>chemicals</t>
        </is>
      </c>
      <c r="G122" s="30" t="inlineStr">
        <is>
          <t>midcap</t>
        </is>
      </c>
      <c r="H122" s="31" t="n">
        <v>5479.53</v>
      </c>
      <c r="I122" s="31" t="n">
        <v>1110.5</v>
      </c>
      <c r="J122" s="31" t="n">
        <v>0.35</v>
      </c>
      <c r="K122" s="31" t="n">
        <v>47443</v>
      </c>
      <c r="L122" s="30" t="n">
        <v>3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57.41</v>
      </c>
      <c r="P122" s="31" t="n">
        <v>19.72</v>
      </c>
      <c r="Q122" s="31" t="inlineStr"/>
      <c r="R122" s="30" t="inlineStr">
        <is>
          <t>Earnings / Momentum Support</t>
        </is>
      </c>
      <c r="S122" s="30" t="inlineStr">
        <is>
          <t>Nifty 50</t>
        </is>
      </c>
      <c r="T122" s="31" t="n">
        <v>-6.14</v>
      </c>
      <c r="U122" s="31" t="n">
        <v>-4.71</v>
      </c>
      <c r="V122" s="31" t="n">
        <v>1.53</v>
      </c>
      <c r="W122" s="31" t="n">
        <v>0.97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Headwind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0 to 20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3</t>
        </is>
      </c>
      <c r="BC122" s="30">
        <f>IF(BB122="Stage 2",20,IF(BB122="Stage 1",0,IF(BB122="Stage 3",5,IF(BB122="Stage 4",-5,0))))</f>
        <v/>
      </c>
      <c r="BD122" s="30" t="inlineStr">
        <is>
          <t>Negative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IF(B123=0,"",RANK(B123,$B$2:$B$226,0))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2" t="inlineStr">
        <is>
          <t>MGEL</t>
        </is>
      </c>
      <c r="D123" s="32" t="inlineStr">
        <is>
          <t>Mangalam Global Enterprise Ltd</t>
        </is>
      </c>
      <c r="E123" s="30" t="inlineStr">
        <is>
          <t>services</t>
        </is>
      </c>
      <c r="F123" s="30" t="inlineStr">
        <is>
          <t>trading</t>
        </is>
      </c>
      <c r="G123" s="30" t="inlineStr">
        <is>
          <t>smallcap</t>
        </is>
      </c>
      <c r="H123" s="31" t="n">
        <v>526.96</v>
      </c>
      <c r="I123" s="31" t="n">
        <v>15.97</v>
      </c>
      <c r="J123" s="31" t="n">
        <v>-0.13</v>
      </c>
      <c r="K123" s="31" t="n">
        <v>385336</v>
      </c>
      <c r="L123" s="30" t="n">
        <v>2</v>
      </c>
      <c r="M123" s="30" t="inlineStr">
        <is>
          <t>Underperforming</t>
        </is>
      </c>
      <c r="N123" s="31">
        <f>IF(M123="Underperforming",-5,IF(L123&gt;=95,15,IF(L123&gt;=90,10,IF(L123&gt;=80,5,0))))</f>
        <v/>
      </c>
      <c r="O123" s="31" t="n">
        <v>58.09</v>
      </c>
      <c r="P123" s="31" t="n">
        <v>31.22</v>
      </c>
      <c r="Q123" s="31" t="inlineStr"/>
      <c r="R123" s="30" t="inlineStr">
        <is>
          <t>Earnings / Momentum Support</t>
        </is>
      </c>
      <c r="S123" s="30" t="inlineStr">
        <is>
          <t>Nifty 50</t>
        </is>
      </c>
      <c r="T123" s="31" t="n">
        <v>-6.14</v>
      </c>
      <c r="U123" s="31" t="n">
        <v>-7.14</v>
      </c>
      <c r="V123" s="31" t="n">
        <v>-1.06</v>
      </c>
      <c r="W123" s="31" t="n">
        <v>0.27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Headwind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No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3</t>
        </is>
      </c>
      <c r="BC123" s="30">
        <f>IF(BB123="Stage 2",20,IF(BB123="Stage 1",0,IF(BB123="Stage 3",5,IF(BB123="Stage 4",-5,0))))</f>
        <v/>
      </c>
      <c r="BD123" s="30" t="inlineStr">
        <is>
          <t>Negative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Between 0.7 to 1.2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IF(B124=0,"",RANK(B124,$B$2:$B$226,0))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BOSCH-HCIL</t>
        </is>
      </c>
      <c r="D124" s="30" t="inlineStr">
        <is>
          <t>Bosch Home Comfort India Ltd</t>
        </is>
      </c>
      <c r="E124" s="30" t="inlineStr">
        <is>
          <t>consumer discretionary</t>
        </is>
      </c>
      <c r="F124" s="30" t="inlineStr">
        <is>
          <t>air-conditioners</t>
        </is>
      </c>
      <c r="G124" s="30" t="inlineStr">
        <is>
          <t>smallcap</t>
        </is>
      </c>
      <c r="H124" s="31" t="n">
        <v>4925.9</v>
      </c>
      <c r="I124" s="31" t="n">
        <v>1802.4</v>
      </c>
      <c r="J124" s="31" t="n">
        <v>-0.51</v>
      </c>
      <c r="K124" s="31" t="n">
        <v>62663</v>
      </c>
      <c r="L124" s="30" t="n">
        <v>26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66.70999999999999</v>
      </c>
      <c r="P124" s="31" t="n">
        <v>36.14</v>
      </c>
      <c r="Q124" s="31" t="inlineStr"/>
      <c r="R124" s="30" t="inlineStr">
        <is>
          <t>Earnings / Momentum Support</t>
        </is>
      </c>
      <c r="S124" s="30" t="inlineStr">
        <is>
          <t>Nifty 50</t>
        </is>
      </c>
      <c r="T124" s="31" t="n">
        <v>-6.14</v>
      </c>
      <c r="U124" s="31" t="n">
        <v>4.61</v>
      </c>
      <c r="V124" s="31" t="n">
        <v>11.45</v>
      </c>
      <c r="W124" s="31" t="n">
        <v>9.77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Headwind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3</t>
        </is>
      </c>
      <c r="BC124" s="30">
        <f>IF(BB124="Stage 2",20,IF(BB124="Stage 1",0,IF(BB124="Stage 3",5,IF(BB124="Stage 4",-5,0))))</f>
        <v/>
      </c>
      <c r="BD124" s="30" t="inlineStr">
        <is>
          <t>Negative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IF(B125=0,"",RANK(B125,$B$2:$B$226,0))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ACMESOLAR</t>
        </is>
      </c>
      <c r="D125" s="30" t="inlineStr">
        <is>
          <t>ACME Solar Holdings Ltd</t>
        </is>
      </c>
      <c r="E125" s="30" t="inlineStr">
        <is>
          <t>realty</t>
        </is>
      </c>
      <c r="F125" s="30" t="inlineStr">
        <is>
          <t>engineering - turnkey services</t>
        </is>
      </c>
      <c r="G125" s="30" t="inlineStr">
        <is>
          <t>largecap</t>
        </is>
      </c>
      <c r="H125" s="31" t="n">
        <v>31307.46</v>
      </c>
      <c r="I125" s="31" t="n">
        <v>437.9</v>
      </c>
      <c r="J125" s="31" t="n">
        <v>-1.13</v>
      </c>
      <c r="K125" s="31" t="n">
        <v>1868409</v>
      </c>
      <c r="L125" s="30" t="inlineStr"/>
      <c r="M125" s="30" t="inlineStr"/>
      <c r="N125" s="31">
        <f>IF(M125="Underperforming",-5,IF(L125&gt;=95,15,IF(L125&gt;=90,10,IF(L125&gt;=80,5,0))))</f>
        <v/>
      </c>
      <c r="O125" s="31" t="n">
        <v>72.20999999999999</v>
      </c>
      <c r="P125" s="31" t="n">
        <v>54.05</v>
      </c>
      <c r="Q125" s="31" t="inlineStr"/>
      <c r="R125" s="30" t="inlineStr">
        <is>
          <t>Earnings / Momentum Support</t>
        </is>
      </c>
      <c r="S125" s="30" t="inlineStr">
        <is>
          <t>Nifty Realty</t>
        </is>
      </c>
      <c r="T125" s="31" t="inlineStr"/>
      <c r="U125" s="31" t="inlineStr"/>
      <c r="V125" s="31" t="inlineStr"/>
      <c r="W125" s="31" t="inlineStr"/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Headwind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No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3</t>
        </is>
      </c>
      <c r="BC125" s="30">
        <f>IF(BB125="Stage 2",20,IF(BB125="Stage 1",0,IF(BB125="Stage 3",5,IF(BB125="Stage 4",-5,0))))</f>
        <v/>
      </c>
      <c r="BD125" s="30" t="inlineStr">
        <is>
          <t>Negative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More than 1.2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IF(B126=0,"",RANK(B126,$B$2:$B$226,0))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ETERNAL</t>
        </is>
      </c>
      <c r="D126" s="30" t="inlineStr">
        <is>
          <t>Eternal Ltd</t>
        </is>
      </c>
      <c r="E126" s="30" t="inlineStr">
        <is>
          <t>i.t</t>
        </is>
      </c>
      <c r="F126" s="30" t="inlineStr">
        <is>
          <t>miscellaneous</t>
        </is>
      </c>
      <c r="G126" s="30" t="inlineStr">
        <is>
          <t>largecap</t>
        </is>
      </c>
      <c r="H126" s="31" t="n">
        <v>323286.75</v>
      </c>
      <c r="I126" s="31" t="n">
        <v>330.95</v>
      </c>
      <c r="J126" s="31" t="n">
        <v>-1.21</v>
      </c>
      <c r="K126" s="31" t="n">
        <v>19560239</v>
      </c>
      <c r="L126" s="30" t="n">
        <v>22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68.95999999999999</v>
      </c>
      <c r="P126" s="31" t="n">
        <v>31.49</v>
      </c>
      <c r="Q126" s="31" t="inlineStr"/>
      <c r="R126" s="30" t="inlineStr">
        <is>
          <t>Earnings / Momentum Support</t>
        </is>
      </c>
      <c r="S126" s="30" t="inlineStr">
        <is>
          <t>Nifty IT</t>
        </is>
      </c>
      <c r="T126" s="31" t="n">
        <v>-16.44</v>
      </c>
      <c r="U126" s="31" t="n">
        <v>4.36</v>
      </c>
      <c r="V126" s="31" t="n">
        <v>24.9</v>
      </c>
      <c r="W126" s="31" t="n">
        <v>8.51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Headwind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3</t>
        </is>
      </c>
      <c r="BC126" s="30">
        <f>IF(BB126="Stage 2",20,IF(BB126="Stage 1",0,IF(BB126="Stage 3",5,IF(BB126="Stage 4",-5,0))))</f>
        <v/>
      </c>
      <c r="BD126" s="30" t="inlineStr">
        <is>
          <t>Negative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IF(B127=0,"",RANK(B127,$B$2:$B$226,0))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RAYMOND</t>
        </is>
      </c>
      <c r="D127" s="30" t="inlineStr">
        <is>
          <t>Raymond Limited</t>
        </is>
      </c>
      <c r="E127" s="30" t="inlineStr">
        <is>
          <t>transportation</t>
        </is>
      </c>
      <c r="F127" s="30" t="inlineStr">
        <is>
          <t>transport - airlines</t>
        </is>
      </c>
      <c r="G127" s="30" t="inlineStr">
        <is>
          <t>midcap</t>
        </is>
      </c>
      <c r="H127" s="31" t="n">
        <v>7966.55</v>
      </c>
      <c r="I127" s="31" t="n">
        <v>1179.95</v>
      </c>
      <c r="J127" s="31" t="n">
        <v>-1.4</v>
      </c>
      <c r="K127" s="31" t="n">
        <v>4864233</v>
      </c>
      <c r="L127" s="30" t="n">
        <v>93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85.13</v>
      </c>
      <c r="P127" s="31" t="n">
        <v>55.71</v>
      </c>
      <c r="Q127" s="31" t="inlineStr"/>
      <c r="R127" s="30" t="inlineStr">
        <is>
          <t>Earnings / Momentum Support</t>
        </is>
      </c>
      <c r="S127" s="30" t="inlineStr">
        <is>
          <t>Nifty 50</t>
        </is>
      </c>
      <c r="T127" s="31" t="n">
        <v>-6.14</v>
      </c>
      <c r="U127" s="31" t="n">
        <v>97.09</v>
      </c>
      <c r="V127" s="31" t="n">
        <v>109.99</v>
      </c>
      <c r="W127" s="31" t="n">
        <v>45.53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Headwind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No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3</t>
        </is>
      </c>
      <c r="BC127" s="30">
        <f>IF(BB127="Stage 2",20,IF(BB127="Stage 1",0,IF(BB127="Stage 3",5,IF(BB127="Stage 4",-5,0))))</f>
        <v/>
      </c>
      <c r="BD127" s="30" t="inlineStr">
        <is>
          <t>Negative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IF(B128=0,"",RANK(B128,$B$2:$B$226,0))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EIMCOELECO</t>
        </is>
      </c>
      <c r="D128" s="30" t="inlineStr">
        <is>
          <t>Eimco Elecon (india) Limited</t>
        </is>
      </c>
      <c r="E128" s="30" t="inlineStr">
        <is>
          <t>industrials</t>
        </is>
      </c>
      <c r="F128" s="30" t="inlineStr">
        <is>
          <t>engineering</t>
        </is>
      </c>
      <c r="G128" s="30" t="inlineStr">
        <is>
          <t>smallcap</t>
        </is>
      </c>
      <c r="H128" s="31" t="n">
        <v>1327.65</v>
      </c>
      <c r="I128" s="31" t="n">
        <v>2268.9</v>
      </c>
      <c r="J128" s="31" t="n">
        <v>-1.42</v>
      </c>
      <c r="K128" s="31" t="n">
        <v>16841</v>
      </c>
      <c r="L128" s="30" t="n">
        <v>39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71.27</v>
      </c>
      <c r="P128" s="31" t="n">
        <v>58.46</v>
      </c>
      <c r="Q128" s="31" t="inlineStr"/>
      <c r="R128" s="30" t="inlineStr">
        <is>
          <t>Earnings / Momentum Support</t>
        </is>
      </c>
      <c r="S128" s="30" t="inlineStr">
        <is>
          <t>Nifty 50</t>
        </is>
      </c>
      <c r="T128" s="31" t="n">
        <v>-6.14</v>
      </c>
      <c r="U128" s="31" t="n">
        <v>30.57</v>
      </c>
      <c r="V128" s="31" t="n">
        <v>39.11</v>
      </c>
      <c r="W128" s="31" t="n">
        <v>13.23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Headwind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3</t>
        </is>
      </c>
      <c r="BC128" s="30">
        <f>IF(BB128="Stage 2",20,IF(BB128="Stage 1",0,IF(BB128="Stage 3",5,IF(BB128="Stage 4",-5,0))))</f>
        <v/>
      </c>
      <c r="BD128" s="30" t="inlineStr">
        <is>
          <t>Negative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Less than 12%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IF(B129=0,"",RANK(B129,$B$2:$B$226,0))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TATVA</t>
        </is>
      </c>
      <c r="D129" s="30" t="inlineStr">
        <is>
          <t>Tatva Chintan Pharma Chem Ltd</t>
        </is>
      </c>
      <c r="E129" s="30" t="inlineStr">
        <is>
          <t>chemicals</t>
        </is>
      </c>
      <c r="F129" s="30" t="inlineStr">
        <is>
          <t>chemicals</t>
        </is>
      </c>
      <c r="G129" s="30" t="inlineStr">
        <is>
          <t>smallcap</t>
        </is>
      </c>
      <c r="H129" s="31" t="n">
        <v>4194.66</v>
      </c>
      <c r="I129" s="31" t="n">
        <v>1760.2</v>
      </c>
      <c r="J129" s="31" t="n">
        <v>-1.84</v>
      </c>
      <c r="K129" s="31" t="n">
        <v>210374</v>
      </c>
      <c r="L129" s="30" t="n">
        <v>68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67.78</v>
      </c>
      <c r="P129" s="31" t="n">
        <v>39.56</v>
      </c>
      <c r="Q129" s="31" t="inlineStr"/>
      <c r="R129" s="30" t="inlineStr">
        <is>
          <t>Earnings / Momentum Support</t>
        </is>
      </c>
      <c r="S129" s="30" t="inlineStr">
        <is>
          <t>Nifty 50</t>
        </is>
      </c>
      <c r="T129" s="31" t="n">
        <v>-6.14</v>
      </c>
      <c r="U129" s="31" t="n">
        <v>77.65000000000001</v>
      </c>
      <c r="V129" s="31" t="n">
        <v>89.28</v>
      </c>
      <c r="W129" s="31" t="n">
        <v>25.02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Headwind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3</t>
        </is>
      </c>
      <c r="BC129" s="30">
        <f>IF(BB129="Stage 2",20,IF(BB129="Stage 1",0,IF(BB129="Stage 3",5,IF(BB129="Stage 4",-5,0))))</f>
        <v/>
      </c>
      <c r="BD129" s="30" t="inlineStr">
        <is>
          <t>Negative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IF(B130=0,"",RANK(B130,$B$2:$B$226,0))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TIRUPATIFL</t>
        </is>
      </c>
      <c r="D130" s="30" t="inlineStr">
        <is>
          <t>Tirupati Forge Ltd</t>
        </is>
      </c>
      <c r="E130" s="30" t="inlineStr">
        <is>
          <t>castings, forgings &amp; fasteners</t>
        </is>
      </c>
      <c r="F130" s="30" t="inlineStr">
        <is>
          <t>castings &amp; forgings</t>
        </is>
      </c>
      <c r="G130" s="30" t="inlineStr">
        <is>
          <t>smallcap</t>
        </is>
      </c>
      <c r="H130" s="31" t="n">
        <v>1017.95</v>
      </c>
      <c r="I130" s="31" t="n">
        <v>76.72</v>
      </c>
      <c r="J130" s="31" t="n">
        <v>-1.99</v>
      </c>
      <c r="K130" s="31" t="n">
        <v>79804</v>
      </c>
      <c r="L130" s="30" t="n">
        <v>79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72.8</v>
      </c>
      <c r="P130" s="31" t="n">
        <v>57.98</v>
      </c>
      <c r="Q130" s="31" t="inlineStr"/>
      <c r="R130" s="30" t="inlineStr">
        <is>
          <t>Earnings / Momentum Support</t>
        </is>
      </c>
      <c r="S130" s="30" t="inlineStr">
        <is>
          <t>Nifty 50</t>
        </is>
      </c>
      <c r="T130" s="31" t="n">
        <v>-6.14</v>
      </c>
      <c r="U130" s="31" t="n">
        <v>109.59</v>
      </c>
      <c r="V130" s="31" t="n">
        <v>123.3</v>
      </c>
      <c r="W130" s="31" t="n">
        <v>30.68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Headwind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3</t>
        </is>
      </c>
      <c r="BC130" s="30">
        <f>IF(BB130="Stage 2",20,IF(BB130="Stage 1",0,IF(BB130="Stage 3",5,IF(BB130="Stage 4",-5,0))))</f>
        <v/>
      </c>
      <c r="BD130" s="30" t="inlineStr">
        <is>
          <t>Negative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Less than 12%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IF(B131=0,"",RANK(B131,$B$2:$B$226,0))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UNIMECH</t>
        </is>
      </c>
      <c r="D131" s="30" t="inlineStr">
        <is>
          <t>Unimech Aerospace and Manufacturing Ltd</t>
        </is>
      </c>
      <c r="E131" s="30" t="inlineStr">
        <is>
          <t>aerospace &amp; defence</t>
        </is>
      </c>
      <c r="F131" s="30" t="inlineStr">
        <is>
          <t>engineering</t>
        </is>
      </c>
      <c r="G131" s="30" t="inlineStr">
        <is>
          <t>midcap</t>
        </is>
      </c>
      <c r="H131" s="31" t="n">
        <v>8468.18</v>
      </c>
      <c r="I131" s="31" t="n">
        <v>1616.2</v>
      </c>
      <c r="J131" s="31" t="n">
        <v>-2.94</v>
      </c>
      <c r="K131" s="31" t="n">
        <v>154746</v>
      </c>
      <c r="L131" s="30" t="n">
        <v>63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77.45</v>
      </c>
      <c r="P131" s="31" t="n">
        <v>47.53</v>
      </c>
      <c r="Q131" s="31" t="inlineStr"/>
      <c r="R131" s="30" t="inlineStr">
        <is>
          <t>Earnings / Momentum Support</t>
        </is>
      </c>
      <c r="S131" s="30" t="inlineStr">
        <is>
          <t>Nifty 50</t>
        </is>
      </c>
      <c r="T131" s="31" t="n">
        <v>-6.14</v>
      </c>
      <c r="U131" s="31" t="n">
        <v>59.65</v>
      </c>
      <c r="V131" s="31" t="n">
        <v>70.09</v>
      </c>
      <c r="W131" s="31" t="n">
        <v>23.24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Headwind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3</t>
        </is>
      </c>
      <c r="BC131" s="30">
        <f>IF(BB131="Stage 2",20,IF(BB131="Stage 1",0,IF(BB131="Stage 3",5,IF(BB131="Stage 4",-5,0))))</f>
        <v/>
      </c>
      <c r="BD131" s="30" t="inlineStr">
        <is>
          <t>Negative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IF(B132=0,"",RANK(B132,$B$2:$B$226,0))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WELCORP</t>
        </is>
      </c>
      <c r="D132" s="30" t="inlineStr">
        <is>
          <t>Welspun Corp Limited</t>
        </is>
      </c>
      <c r="E132" s="30" t="inlineStr">
        <is>
          <t>industrials</t>
        </is>
      </c>
      <c r="F132" s="30" t="inlineStr">
        <is>
          <t>steel - large</t>
        </is>
      </c>
      <c r="G132" s="30" t="inlineStr">
        <is>
          <t>largecap</t>
        </is>
      </c>
      <c r="H132" s="31" t="n">
        <v>74716.06</v>
      </c>
      <c r="I132" s="31" t="n">
        <v>2739.7</v>
      </c>
      <c r="J132" s="31" t="n">
        <v>-3.27</v>
      </c>
      <c r="K132" s="31" t="n">
        <v>1348785</v>
      </c>
      <c r="L132" s="30" t="inlineStr"/>
      <c r="M132" s="30" t="inlineStr"/>
      <c r="N132" s="31">
        <f>IF(M132="Underperforming",-5,IF(L132&gt;=95,15,IF(L132&gt;=90,10,IF(L132&gt;=80,5,0))))</f>
        <v/>
      </c>
      <c r="O132" s="31" t="n">
        <v>94.56999999999999</v>
      </c>
      <c r="P132" s="31" t="n">
        <v>75.94</v>
      </c>
      <c r="Q132" s="31" t="inlineStr"/>
      <c r="R132" s="30" t="inlineStr">
        <is>
          <t>Earnings / Momentum Support</t>
        </is>
      </c>
      <c r="S132" s="30" t="inlineStr">
        <is>
          <t>Nifty Metal</t>
        </is>
      </c>
      <c r="T132" s="31" t="inlineStr"/>
      <c r="U132" s="31" t="inlineStr"/>
      <c r="V132" s="31" t="inlineStr"/>
      <c r="W132" s="31" t="inlineStr"/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Headwind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3</t>
        </is>
      </c>
      <c r="BC132" s="30">
        <f>IF(BB132="Stage 2",20,IF(BB132="Stage 1",0,IF(BB132="Stage 3",5,IF(BB132="Stage 4",-5,0))))</f>
        <v/>
      </c>
      <c r="BD132" s="30" t="inlineStr">
        <is>
          <t>Negative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IF(B133=0,"",RANK(B133,$B$2:$B$226,0))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SANSERA</t>
        </is>
      </c>
      <c r="D133" s="30" t="inlineStr">
        <is>
          <t>Sansera Engineering Ltd</t>
        </is>
      </c>
      <c r="E133" s="30" t="inlineStr">
        <is>
          <t>auto</t>
        </is>
      </c>
      <c r="F133" s="30" t="inlineStr">
        <is>
          <t>auto ancillaries</t>
        </is>
      </c>
      <c r="G133" s="30" t="inlineStr">
        <is>
          <t>largecap</t>
        </is>
      </c>
      <c r="H133" s="31" t="n">
        <v>29095.04</v>
      </c>
      <c r="I133" s="31" t="n">
        <v>4457.2</v>
      </c>
      <c r="J133" s="31" t="n">
        <v>-4.4</v>
      </c>
      <c r="K133" s="31" t="n">
        <v>272710</v>
      </c>
      <c r="L133" s="30" t="inlineStr"/>
      <c r="M133" s="30" t="inlineStr"/>
      <c r="N133" s="31">
        <f>IF(M133="Underperforming",-5,IF(L133&gt;=95,15,IF(L133&gt;=90,10,IF(L133&gt;=80,5,0))))</f>
        <v/>
      </c>
      <c r="O133" s="31" t="n">
        <v>85.7</v>
      </c>
      <c r="P133" s="31" t="n">
        <v>69.36</v>
      </c>
      <c r="Q133" s="31" t="inlineStr"/>
      <c r="R133" s="30" t="inlineStr">
        <is>
          <t>Earnings / Momentum Support</t>
        </is>
      </c>
      <c r="S133" s="30" t="inlineStr">
        <is>
          <t>Nifty Auto</t>
        </is>
      </c>
      <c r="T133" s="31" t="inlineStr"/>
      <c r="U133" s="31" t="inlineStr"/>
      <c r="V133" s="31" t="inlineStr"/>
      <c r="W133" s="31" t="inlineStr"/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Headwind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Above 75</t>
        </is>
      </c>
      <c r="BA133" s="30">
        <f>IF(AZ133="Between 50 to 75",10,IF(AZ133="Above 75",0,0))</f>
        <v/>
      </c>
      <c r="BB133" s="30" t="inlineStr">
        <is>
          <t>Stage 3</t>
        </is>
      </c>
      <c r="BC133" s="30">
        <f>IF(BB133="Stage 2",20,IF(BB133="Stage 1",0,IF(BB133="Stage 3",5,IF(BB133="Stage 4",-5,0))))</f>
        <v/>
      </c>
      <c r="BD133" s="30" t="inlineStr">
        <is>
          <t>Negative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IF(B134=0,"",RANK(B134,$B$2:$B$226,0))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STLNETWORK</t>
        </is>
      </c>
      <c r="D134" s="30" t="inlineStr">
        <is>
          <t>STL Networks Ltd</t>
        </is>
      </c>
      <c r="E134" s="30" t="inlineStr">
        <is>
          <t>telecom-service</t>
        </is>
      </c>
      <c r="F134" s="30" t="inlineStr">
        <is>
          <t>telecommunications - service provider</t>
        </is>
      </c>
      <c r="G134" s="30" t="inlineStr">
        <is>
          <t>smallcap</t>
        </is>
      </c>
      <c r="H134" s="31" t="n">
        <v>2665.39</v>
      </c>
      <c r="I134" s="31" t="n">
        <v>52.06</v>
      </c>
      <c r="J134" s="31" t="n">
        <v>-4.67</v>
      </c>
      <c r="K134" s="31" t="n">
        <v>18589690</v>
      </c>
      <c r="L134" s="30" t="n">
        <v>90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85.86</v>
      </c>
      <c r="P134" s="31" t="n">
        <v>34.85</v>
      </c>
      <c r="Q134" s="31" t="inlineStr"/>
      <c r="R134" s="30" t="inlineStr">
        <is>
          <t>Earnings / Momentum Support</t>
        </is>
      </c>
      <c r="S134" s="30" t="inlineStr">
        <is>
          <t>Nifty 50</t>
        </is>
      </c>
      <c r="T134" s="31" t="n">
        <v>-6.14</v>
      </c>
      <c r="U134" s="31" t="n">
        <v>81.43000000000001</v>
      </c>
      <c r="V134" s="31" t="n">
        <v>93.3</v>
      </c>
      <c r="W134" s="31" t="n">
        <v>42.65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Oligopoly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Yes</t>
        </is>
      </c>
      <c r="AC134" s="30">
        <f>IF(AB134="No",5,0)</f>
        <v/>
      </c>
      <c r="AD134" s="30" t="inlineStr">
        <is>
          <t>Headwind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No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Above 75</t>
        </is>
      </c>
      <c r="BA134" s="30">
        <f>IF(AZ134="Between 50 to 75",10,IF(AZ134="Above 75",0,0))</f>
        <v/>
      </c>
      <c r="BB134" s="30" t="inlineStr">
        <is>
          <t>Stage 3</t>
        </is>
      </c>
      <c r="BC134" s="30">
        <f>IF(BB134="Stage 2",20,IF(BB134="Stage 1",0,IF(BB134="Stage 3",5,IF(BB134="Stage 4",-5,0))))</f>
        <v/>
      </c>
      <c r="BD134" s="30" t="inlineStr">
        <is>
          <t>Negative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Between 0.7 to 1.2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IF(B135=0,"",RANK(B135,$B$2:$B$226,0))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CENTUM</t>
        </is>
      </c>
      <c r="D135" s="30" t="inlineStr">
        <is>
          <t>Centum Electronics Limited</t>
        </is>
      </c>
      <c r="E135" s="30" t="inlineStr">
        <is>
          <t>aerospace &amp; defence</t>
        </is>
      </c>
      <c r="F135" s="30" t="inlineStr">
        <is>
          <t>electronics - components</t>
        </is>
      </c>
      <c r="G135" s="30" t="inlineStr">
        <is>
          <t>midcap</t>
        </is>
      </c>
      <c r="H135" s="31" t="n">
        <v>7087.72</v>
      </c>
      <c r="I135" s="31" t="n">
        <v>4571.2</v>
      </c>
      <c r="J135" s="31" t="n">
        <v>-4.81</v>
      </c>
      <c r="K135" s="31" t="n">
        <v>62217</v>
      </c>
      <c r="L135" s="30" t="n">
        <v>59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76.90000000000001</v>
      </c>
      <c r="P135" s="31" t="n">
        <v>53.07</v>
      </c>
      <c r="Q135" s="31" t="inlineStr"/>
      <c r="R135" s="30" t="inlineStr">
        <is>
          <t>Earnings / Momentum Support</t>
        </is>
      </c>
      <c r="S135" s="30" t="inlineStr">
        <is>
          <t>Nifty 50</t>
        </is>
      </c>
      <c r="T135" s="31" t="n">
        <v>-6.14</v>
      </c>
      <c r="U135" s="31" t="n">
        <v>83.70999999999999</v>
      </c>
      <c r="V135" s="31" t="n">
        <v>95.73</v>
      </c>
      <c r="W135" s="31" t="n">
        <v>21.01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Headwind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No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Above 75</t>
        </is>
      </c>
      <c r="BA135" s="30">
        <f>IF(AZ135="Between 50 to 75",10,IF(AZ135="Above 75",0,0))</f>
        <v/>
      </c>
      <c r="BB135" s="30" t="inlineStr">
        <is>
          <t>Stage 3</t>
        </is>
      </c>
      <c r="BC135" s="30">
        <f>IF(BB135="Stage 2",20,IF(BB135="Stage 1",0,IF(BB135="Stage 3",5,IF(BB135="Stage 4",-5,0))))</f>
        <v/>
      </c>
      <c r="BD135" s="30" t="inlineStr">
        <is>
          <t>Negative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IF(B136=0,"",RANK(B136,$B$2:$B$226,0))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ABDL</t>
        </is>
      </c>
      <c r="D136" s="30" t="inlineStr">
        <is>
          <t>Allied Blenders &amp; Distillers Ltd</t>
        </is>
      </c>
      <c r="E136" s="30" t="inlineStr">
        <is>
          <t>fmcg</t>
        </is>
      </c>
      <c r="F136" s="30" t="inlineStr">
        <is>
          <t>breweries &amp; distilleries</t>
        </is>
      </c>
      <c r="G136" s="30" t="inlineStr">
        <is>
          <t>largecap</t>
        </is>
      </c>
      <c r="H136" s="31" t="n">
        <v>20000.67</v>
      </c>
      <c r="I136" s="31" t="n">
        <v>723.45</v>
      </c>
      <c r="J136" s="31" t="n">
        <v>1.17</v>
      </c>
      <c r="K136" s="31" t="n">
        <v>1807712</v>
      </c>
      <c r="L136" s="30" t="inlineStr"/>
      <c r="M136" s="30" t="inlineStr"/>
      <c r="N136" s="31">
        <f>IF(M136="Underperforming",-5,IF(L136&gt;=95,15,IF(L136&gt;=90,10,IF(L136&gt;=80,5,0))))</f>
        <v/>
      </c>
      <c r="O136" s="31" t="n">
        <v>70.16</v>
      </c>
      <c r="P136" s="31" t="n">
        <v>26.13</v>
      </c>
      <c r="Q136" s="31" t="inlineStr"/>
      <c r="R136" s="30" t="inlineStr">
        <is>
          <t>Earnings / Momentum Support</t>
        </is>
      </c>
      <c r="S136" s="30" t="inlineStr">
        <is>
          <t>Nifty FMCG</t>
        </is>
      </c>
      <c r="T136" s="31" t="inlineStr"/>
      <c r="U136" s="31" t="inlineStr"/>
      <c r="V136" s="31" t="inlineStr"/>
      <c r="W136" s="31" t="inlineStr"/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Headwind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B2C</t>
        </is>
      </c>
      <c r="AO136" s="30">
        <f>IF(AN136="B2C",10,IF(AN136="B2B",5,0))</f>
        <v/>
      </c>
      <c r="AP136" s="30" t="inlineStr">
        <is>
          <t>No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3</t>
        </is>
      </c>
      <c r="BC136" s="30">
        <f>IF(BB136="Stage 2",20,IF(BB136="Stage 1",0,IF(BB136="Stage 3",5,IF(BB136="Stage 4",-5,0))))</f>
        <v/>
      </c>
      <c r="BD136" s="30" t="inlineStr">
        <is>
          <t>Negative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IF(B137=0,"",RANK(B137,$B$2:$B$226,0))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2" t="inlineStr">
        <is>
          <t>ZYDUSLIFE</t>
        </is>
      </c>
      <c r="D137" s="32" t="inlineStr">
        <is>
          <t>Zydus Lifesciences Ltd</t>
        </is>
      </c>
      <c r="E137" s="30" t="inlineStr">
        <is>
          <t>healthcare</t>
        </is>
      </c>
      <c r="F137" s="30" t="inlineStr">
        <is>
          <t>pharmaceuticals - indian - bulk drugs &amp; formln</t>
        </is>
      </c>
      <c r="G137" s="30" t="inlineStr">
        <is>
          <t>largecap</t>
        </is>
      </c>
      <c r="H137" s="31" t="n">
        <v>120089.49</v>
      </c>
      <c r="I137" s="31" t="n">
        <v>1215</v>
      </c>
      <c r="J137" s="31" t="n">
        <v>0.92</v>
      </c>
      <c r="K137" s="31" t="n">
        <v>3986338</v>
      </c>
      <c r="L137" s="30" t="n">
        <v>18</v>
      </c>
      <c r="M137" s="30" t="inlineStr">
        <is>
          <t>Underperforming</t>
        </is>
      </c>
      <c r="N137" s="31">
        <f>IF(M137="Underperforming",-5,IF(L137&gt;=95,15,IF(L137&gt;=90,10,IF(L137&gt;=80,5,0))))</f>
        <v/>
      </c>
      <c r="O137" s="31" t="n">
        <v>66.01000000000001</v>
      </c>
      <c r="P137" s="31" t="n">
        <v>41.94</v>
      </c>
      <c r="Q137" s="31" t="inlineStr"/>
      <c r="R137" s="30" t="inlineStr">
        <is>
          <t>Earnings / Momentum Support</t>
        </is>
      </c>
      <c r="S137" s="30" t="inlineStr">
        <is>
          <t>Nifty Pharma</t>
        </is>
      </c>
      <c r="T137" s="31" t="n">
        <v>25.55</v>
      </c>
      <c r="U137" s="31" t="n">
        <v>23.59</v>
      </c>
      <c r="V137" s="31" t="n">
        <v>-1.57</v>
      </c>
      <c r="W137" s="31" t="n">
        <v>6.7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Yes</t>
        </is>
      </c>
      <c r="AC137" s="30">
        <f>IF(AB137="No",5,0)</f>
        <v/>
      </c>
      <c r="AD137" s="30" t="inlineStr">
        <is>
          <t>Headwind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3</t>
        </is>
      </c>
      <c r="BC137" s="30">
        <f>IF(BB137="Stage 2",20,IF(BB137="Stage 1",0,IF(BB137="Stage 3",5,IF(BB137="Stage 4",-5,0))))</f>
        <v/>
      </c>
      <c r="BD137" s="30" t="inlineStr">
        <is>
          <t>Negative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IF(B138=0,"",RANK(B138,$B$2:$B$226,0))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CAPLIPOINT</t>
        </is>
      </c>
      <c r="D138" s="30" t="inlineStr">
        <is>
          <t>Caplin Point Laboratories Limited</t>
        </is>
      </c>
      <c r="E138" s="30" t="inlineStr">
        <is>
          <t>healthcare</t>
        </is>
      </c>
      <c r="F138" s="30" t="inlineStr">
        <is>
          <t>pharmaceuticals - indian - formulations</t>
        </is>
      </c>
      <c r="G138" s="30" t="inlineStr">
        <is>
          <t>largecap</t>
        </is>
      </c>
      <c r="H138" s="31" t="n">
        <v>21550.08</v>
      </c>
      <c r="I138" s="31" t="n">
        <v>2854</v>
      </c>
      <c r="J138" s="31" t="n">
        <v>0.67</v>
      </c>
      <c r="K138" s="31" t="n">
        <v>121333</v>
      </c>
      <c r="L138" s="30" t="n">
        <v>37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72.45</v>
      </c>
      <c r="P138" s="31" t="n">
        <v>37.06</v>
      </c>
      <c r="Q138" s="31" t="inlineStr"/>
      <c r="R138" s="30" t="inlineStr">
        <is>
          <t>Earnings / Momentum Support</t>
        </is>
      </c>
      <c r="S138" s="30" t="inlineStr">
        <is>
          <t>Nifty Pharma</t>
        </is>
      </c>
      <c r="T138" s="31" t="n">
        <v>25.55</v>
      </c>
      <c r="U138" s="31" t="n">
        <v>39.68</v>
      </c>
      <c r="V138" s="31" t="n">
        <v>11.25</v>
      </c>
      <c r="W138" s="31" t="n">
        <v>12.63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Yes</t>
        </is>
      </c>
      <c r="AC138" s="30">
        <f>IF(AB138="No",5,0)</f>
        <v/>
      </c>
      <c r="AD138" s="30" t="inlineStr">
        <is>
          <t>Headwind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3</t>
        </is>
      </c>
      <c r="BC138" s="30">
        <f>IF(BB138="Stage 2",20,IF(BB138="Stage 1",0,IF(BB138="Stage 3",5,IF(BB138="Stage 4",-5,0))))</f>
        <v/>
      </c>
      <c r="BD138" s="30" t="inlineStr">
        <is>
          <t>Negative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Between 12 to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IF(B139=0,"",RANK(B139,$B$2:$B$226,0))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LAURUSLABS</t>
        </is>
      </c>
      <c r="D139" s="30" t="inlineStr">
        <is>
          <t>Laurus Labs Limited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largecap</t>
        </is>
      </c>
      <c r="H139" s="31" t="n">
        <v>108428.09</v>
      </c>
      <c r="I139" s="31" t="n">
        <v>2010.7</v>
      </c>
      <c r="J139" s="31" t="n">
        <v>0.18</v>
      </c>
      <c r="K139" s="31" t="n">
        <v>950451</v>
      </c>
      <c r="L139" s="30" t="n">
        <v>75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77.54000000000001</v>
      </c>
      <c r="P139" s="31" t="n">
        <v>76.51000000000001</v>
      </c>
      <c r="Q139" s="31" t="inlineStr"/>
      <c r="R139" s="30" t="inlineStr">
        <is>
          <t>Earnings / Momentum Support</t>
        </is>
      </c>
      <c r="S139" s="30" t="inlineStr">
        <is>
          <t>Nifty Pharma</t>
        </is>
      </c>
      <c r="T139" s="31" t="n">
        <v>25.55</v>
      </c>
      <c r="U139" s="31" t="n">
        <v>141.58</v>
      </c>
      <c r="V139" s="31" t="n">
        <v>92.41</v>
      </c>
      <c r="W139" s="31" t="n">
        <v>28.83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Headwind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No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3</t>
        </is>
      </c>
      <c r="BC139" s="30">
        <f>IF(BB139="Stage 2",20,IF(BB139="Stage 1",0,IF(BB139="Stage 3",5,IF(BB139="Stage 4",-5,0))))</f>
        <v/>
      </c>
      <c r="BD139" s="30" t="inlineStr">
        <is>
          <t>Negative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IF(B140=0,"",RANK(B140,$B$2:$B$226,0))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ONEPOINT</t>
        </is>
      </c>
      <c r="D140" s="30" t="inlineStr">
        <is>
          <t>One Point One Solutions Ltd</t>
        </is>
      </c>
      <c r="E140" s="30" t="inlineStr">
        <is>
          <t>i.t</t>
        </is>
      </c>
      <c r="F140" s="30" t="inlineStr">
        <is>
          <t>computers - software - medium / small</t>
        </is>
      </c>
      <c r="G140" s="30" t="inlineStr">
        <is>
          <t>smallcap</t>
        </is>
      </c>
      <c r="H140" s="31" t="n">
        <v>1830.04</v>
      </c>
      <c r="I140" s="31" t="n">
        <v>69.43000000000001</v>
      </c>
      <c r="J140" s="31" t="n">
        <v>-0.24</v>
      </c>
      <c r="K140" s="31" t="n">
        <v>2560171</v>
      </c>
      <c r="L140" s="30" t="n">
        <v>48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68.75</v>
      </c>
      <c r="P140" s="31" t="n">
        <v>15.84</v>
      </c>
      <c r="Q140" s="31" t="inlineStr"/>
      <c r="R140" s="30" t="inlineStr">
        <is>
          <t>Earnings / Momentum Support</t>
        </is>
      </c>
      <c r="S140" s="30" t="inlineStr">
        <is>
          <t>Nifty IT</t>
        </is>
      </c>
      <c r="T140" s="31" t="n">
        <v>-16.44</v>
      </c>
      <c r="U140" s="31" t="n">
        <v>58.72</v>
      </c>
      <c r="V140" s="31" t="n">
        <v>89.95</v>
      </c>
      <c r="W140" s="31" t="n">
        <v>16.48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Headwind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3</t>
        </is>
      </c>
      <c r="BC140" s="30">
        <f>IF(BB140="Stage 2",20,IF(BB140="Stage 1",0,IF(BB140="Stage 3",5,IF(BB140="Stage 4",-5,0))))</f>
        <v/>
      </c>
      <c r="BD140" s="30" t="inlineStr">
        <is>
          <t>Negative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Less than 1.5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IF(B141=0,"",RANK(B141,$B$2:$B$226,0))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SAILIFE</t>
        </is>
      </c>
      <c r="D141" s="30" t="inlineStr">
        <is>
          <t>Sai Life Sciences Ltd</t>
        </is>
      </c>
      <c r="E141" s="30" t="inlineStr">
        <is>
          <t>healthcare</t>
        </is>
      </c>
      <c r="F141" s="30" t="inlineStr">
        <is>
          <t>pharmaceuticals - indian - bulk drugs &amp; formln</t>
        </is>
      </c>
      <c r="G141" s="30" t="inlineStr">
        <is>
          <t>largecap</t>
        </is>
      </c>
      <c r="H141" s="31" t="n">
        <v>33800.18</v>
      </c>
      <c r="I141" s="31" t="n">
        <v>1582.8</v>
      </c>
      <c r="J141" s="31" t="n">
        <v>-0.59</v>
      </c>
      <c r="K141" s="31" t="n">
        <v>273968</v>
      </c>
      <c r="L141" s="30" t="n">
        <v>56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83.94</v>
      </c>
      <c r="P141" s="31" t="n">
        <v>48.83</v>
      </c>
      <c r="Q141" s="31" t="inlineStr"/>
      <c r="R141" s="30" t="inlineStr">
        <is>
          <t>Earnings / Momentum Support</t>
        </is>
      </c>
      <c r="S141" s="30" t="inlineStr">
        <is>
          <t>Nifty Pharma</t>
        </is>
      </c>
      <c r="T141" s="31" t="n">
        <v>25.55</v>
      </c>
      <c r="U141" s="31" t="n">
        <v>85.48</v>
      </c>
      <c r="V141" s="31" t="n">
        <v>47.73</v>
      </c>
      <c r="W141" s="31" t="n">
        <v>19.81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Headwind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Above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3</t>
        </is>
      </c>
      <c r="BC141" s="30">
        <f>IF(BB141="Stage 2",20,IF(BB141="Stage 1",0,IF(BB141="Stage 3",5,IF(BB141="Stage 4",-5,0))))</f>
        <v/>
      </c>
      <c r="BD141" s="30" t="inlineStr">
        <is>
          <t>Negative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IF(B142=0,"",RANK(B142,$B$2:$B$226,0))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CYIENT</t>
        </is>
      </c>
      <c r="D142" s="30" t="inlineStr">
        <is>
          <t>Cyient Limited</t>
        </is>
      </c>
      <c r="E142" s="30" t="inlineStr">
        <is>
          <t>i.t</t>
        </is>
      </c>
      <c r="F142" s="30" t="inlineStr">
        <is>
          <t>computers - software - medium / small</t>
        </is>
      </c>
      <c r="G142" s="30" t="inlineStr">
        <is>
          <t>midcap</t>
        </is>
      </c>
      <c r="H142" s="31" t="n">
        <v>11466.09</v>
      </c>
      <c r="I142" s="31" t="n">
        <v>1082.3</v>
      </c>
      <c r="J142" s="31" t="n">
        <v>-1.13</v>
      </c>
      <c r="K142" s="31" t="n">
        <v>246850</v>
      </c>
      <c r="L142" s="30" t="n">
        <v>15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64.31</v>
      </c>
      <c r="P142" s="31" t="n">
        <v>23.46</v>
      </c>
      <c r="Q142" s="31" t="inlineStr"/>
      <c r="R142" s="30" t="inlineStr">
        <is>
          <t>Earnings / Momentum Support</t>
        </is>
      </c>
      <c r="S142" s="30" t="inlineStr">
        <is>
          <t>Nifty IT</t>
        </is>
      </c>
      <c r="T142" s="31" t="n">
        <v>-16.44</v>
      </c>
      <c r="U142" s="31" t="n">
        <v>-2.18</v>
      </c>
      <c r="V142" s="31" t="n">
        <v>17.06</v>
      </c>
      <c r="W142" s="31" t="n">
        <v>6.02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Headwind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3</t>
        </is>
      </c>
      <c r="BC142" s="30">
        <f>IF(BB142="Stage 2",20,IF(BB142="Stage 1",0,IF(BB142="Stage 3",5,IF(BB142="Stage 4",-5,0))))</f>
        <v/>
      </c>
      <c r="BD142" s="30" t="inlineStr">
        <is>
          <t>Negative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IF(B143=0,"",RANK(B143,$B$2:$B$226,0))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2" t="inlineStr">
        <is>
          <t>MANKIND</t>
        </is>
      </c>
      <c r="D143" s="32" t="inlineStr">
        <is>
          <t>Mankind Pharma Ltd</t>
        </is>
      </c>
      <c r="E143" s="30" t="inlineStr">
        <is>
          <t>healthcare</t>
        </is>
      </c>
      <c r="F143" s="30" t="inlineStr">
        <is>
          <t>pharmaceuticals - indian - bulk drugs &amp; formln</t>
        </is>
      </c>
      <c r="G143" s="30" t="inlineStr">
        <is>
          <t>largecap</t>
        </is>
      </c>
      <c r="H143" s="31" t="n">
        <v>102212.37</v>
      </c>
      <c r="I143" s="31" t="n">
        <v>2435.6</v>
      </c>
      <c r="J143" s="31" t="n">
        <v>-1.59</v>
      </c>
      <c r="K143" s="31" t="n">
        <v>388832</v>
      </c>
      <c r="L143" s="30" t="n">
        <v>2</v>
      </c>
      <c r="M143" s="30" t="inlineStr">
        <is>
          <t>Underperforming</t>
        </is>
      </c>
      <c r="N143" s="31">
        <f>IF(M143="Underperforming",-5,IF(L143&gt;=95,15,IF(L143&gt;=90,10,IF(L143&gt;=80,5,0))))</f>
        <v/>
      </c>
      <c r="O143" s="31" t="n">
        <v>57.94</v>
      </c>
      <c r="P143" s="31" t="n">
        <v>21.88</v>
      </c>
      <c r="Q143" s="31" t="inlineStr"/>
      <c r="R143" s="30" t="inlineStr">
        <is>
          <t>Earnings / Momentum Support</t>
        </is>
      </c>
      <c r="S143" s="30" t="inlineStr">
        <is>
          <t>Nifty Pharma</t>
        </is>
      </c>
      <c r="T143" s="31" t="n">
        <v>25.55</v>
      </c>
      <c r="U143" s="31" t="n">
        <v>-0.32</v>
      </c>
      <c r="V143" s="31" t="n">
        <v>-20.61</v>
      </c>
      <c r="W143" s="31" t="n">
        <v>0.62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Yes</t>
        </is>
      </c>
      <c r="AC143" s="30">
        <f>IF(AB143="No",5,0)</f>
        <v/>
      </c>
      <c r="AD143" s="30" t="inlineStr">
        <is>
          <t>Headwind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3</t>
        </is>
      </c>
      <c r="BC143" s="30">
        <f>IF(BB143="Stage 2",20,IF(BB143="Stage 1",0,IF(BB143="Stage 3",5,IF(BB143="Stage 4",-5,0))))</f>
        <v/>
      </c>
      <c r="BD143" s="30" t="inlineStr">
        <is>
          <t>Negative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Between 1.5 to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IF(B144=0,"",RANK(B144,$B$2:$B$226,0))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YATHARTH</t>
        </is>
      </c>
      <c r="D144" s="30" t="inlineStr">
        <is>
          <t>Yatharth Hospital &amp; Trauma Care Services Ltd</t>
        </is>
      </c>
      <c r="E144" s="30" t="inlineStr">
        <is>
          <t>healthcare</t>
        </is>
      </c>
      <c r="F144" s="30" t="inlineStr">
        <is>
          <t>healthcare</t>
        </is>
      </c>
      <c r="G144" s="30" t="inlineStr">
        <is>
          <t>midcap</t>
        </is>
      </c>
      <c r="H144" s="31" t="n">
        <v>10805.18</v>
      </c>
      <c r="I144" s="31" t="n">
        <v>1100.4</v>
      </c>
      <c r="J144" s="31" t="n">
        <v>-1.87</v>
      </c>
      <c r="K144" s="31" t="n">
        <v>325159</v>
      </c>
      <c r="L144" s="30" t="n">
        <v>45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73.27</v>
      </c>
      <c r="P144" s="31" t="n">
        <v>47.85</v>
      </c>
      <c r="Q144" s="31" t="inlineStr"/>
      <c r="R144" s="30" t="inlineStr">
        <is>
          <t>Earnings / Momentum Support</t>
        </is>
      </c>
      <c r="S144" s="30" t="inlineStr">
        <is>
          <t>Nifty Pharma</t>
        </is>
      </c>
      <c r="T144" s="31" t="n">
        <v>25.55</v>
      </c>
      <c r="U144" s="31" t="n">
        <v>43.61</v>
      </c>
      <c r="V144" s="31" t="n">
        <v>14.38</v>
      </c>
      <c r="W144" s="31" t="n">
        <v>15.97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Yes</t>
        </is>
      </c>
      <c r="AC144" s="30">
        <f>IF(AB144="No",5,0)</f>
        <v/>
      </c>
      <c r="AD144" s="30" t="inlineStr">
        <is>
          <t>Headwind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3</t>
        </is>
      </c>
      <c r="BC144" s="30">
        <f>IF(BB144="Stage 2",20,IF(BB144="Stage 1",0,IF(BB144="Stage 3",5,IF(BB144="Stage 4",-5,0))))</f>
        <v/>
      </c>
      <c r="BD144" s="30" t="inlineStr">
        <is>
          <t>Negative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IF(B145=0,"",RANK(B145,$B$2:$B$226,0))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GANESHBE</t>
        </is>
      </c>
      <c r="D145" s="30" t="inlineStr">
        <is>
          <t>Ganesh Benzoplast Ltd</t>
        </is>
      </c>
      <c r="E145" s="30" t="inlineStr">
        <is>
          <t>miscellaneous</t>
        </is>
      </c>
      <c r="F145" s="30" t="inlineStr">
        <is>
          <t>miscellaneous</t>
        </is>
      </c>
      <c r="G145" s="30" t="inlineStr">
        <is>
          <t>smallcap</t>
        </is>
      </c>
      <c r="H145" s="31" t="n">
        <v>941.91</v>
      </c>
      <c r="I145" s="31" t="n">
        <v>137.32</v>
      </c>
      <c r="J145" s="31" t="n">
        <v>4.95</v>
      </c>
      <c r="K145" s="31" t="n">
        <v>583964</v>
      </c>
      <c r="L145" s="30" t="n">
        <v>42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67.40000000000001</v>
      </c>
      <c r="P145" s="31" t="n">
        <v>31.74</v>
      </c>
      <c r="Q145" s="31" t="inlineStr"/>
      <c r="R145" s="30" t="inlineStr">
        <is>
          <t>Earnings / Momentum Support</t>
        </is>
      </c>
      <c r="S145" s="30" t="inlineStr">
        <is>
          <t>Nifty 50</t>
        </is>
      </c>
      <c r="T145" s="31" t="n">
        <v>-6.14</v>
      </c>
      <c r="U145" s="31" t="n">
        <v>47.03</v>
      </c>
      <c r="V145" s="31" t="n">
        <v>56.65</v>
      </c>
      <c r="W145" s="31" t="n">
        <v>14.67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Headwind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3</t>
        </is>
      </c>
      <c r="BC145" s="30">
        <f>IF(BB145="Stage 2",20,IF(BB145="Stage 1",0,IF(BB145="Stage 3",5,IF(BB145="Stage 4",-5,0))))</f>
        <v/>
      </c>
      <c r="BD145" s="30" t="inlineStr">
        <is>
          <t>Negative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Less than 12%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IF(B146=0,"",RANK(B146,$B$2:$B$226,0))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EMAMIPAP</t>
        </is>
      </c>
      <c r="D146" s="30" t="inlineStr">
        <is>
          <t>Emami Paper Mills Ltd</t>
        </is>
      </c>
      <c r="E146" s="30" t="inlineStr">
        <is>
          <t>building materials</t>
        </is>
      </c>
      <c r="F146" s="30" t="inlineStr">
        <is>
          <t>paper</t>
        </is>
      </c>
      <c r="G146" s="30" t="inlineStr">
        <is>
          <t>smallcap</t>
        </is>
      </c>
      <c r="H146" s="31" t="n">
        <v>676.8</v>
      </c>
      <c r="I146" s="31" t="n">
        <v>117.4</v>
      </c>
      <c r="J146" s="31" t="n">
        <v>4.94</v>
      </c>
      <c r="K146" s="31" t="n">
        <v>65773</v>
      </c>
      <c r="L146" s="30" t="inlineStr"/>
      <c r="M146" s="30" t="inlineStr"/>
      <c r="N146" s="31">
        <f>IF(M146="Underperforming",-5,IF(L146&gt;=95,15,IF(L146&gt;=90,10,IF(L146&gt;=80,5,0))))</f>
        <v/>
      </c>
      <c r="O146" s="31" t="n">
        <v>64.8</v>
      </c>
      <c r="P146" s="31" t="n">
        <v>38.92</v>
      </c>
      <c r="Q146" s="31" t="inlineStr"/>
      <c r="R146" s="30" t="inlineStr">
        <is>
          <t>Earnings / Momentum Support</t>
        </is>
      </c>
      <c r="S146" s="30" t="inlineStr">
        <is>
          <t>Nifty Infra</t>
        </is>
      </c>
      <c r="T146" s="31" t="inlineStr"/>
      <c r="U146" s="31" t="inlineStr"/>
      <c r="V146" s="31" t="inlineStr"/>
      <c r="W146" s="31" t="inlineStr"/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Headwind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3</t>
        </is>
      </c>
      <c r="BC146" s="30">
        <f>IF(BB146="Stage 2",20,IF(BB146="Stage 1",0,IF(BB146="Stage 3",5,IF(BB146="Stage 4",-5,0))))</f>
        <v/>
      </c>
      <c r="BD146" s="30" t="inlineStr">
        <is>
          <t>Negative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More than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IF(B147=0,"",RANK(B147,$B$2:$B$226,0))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SPECTRUM</t>
        </is>
      </c>
      <c r="D147" s="30" t="inlineStr">
        <is>
          <t>Spectrum Electrical Industries Ltd</t>
        </is>
      </c>
      <c r="E147" s="30" t="inlineStr">
        <is>
          <t>industrials</t>
        </is>
      </c>
      <c r="F147" s="30" t="inlineStr">
        <is>
          <t>electric equipment</t>
        </is>
      </c>
      <c r="G147" s="30" t="inlineStr">
        <is>
          <t>midcap</t>
        </is>
      </c>
      <c r="H147" s="31" t="n">
        <v>6012.74</v>
      </c>
      <c r="I147" s="31" t="n">
        <v>3578.7</v>
      </c>
      <c r="J147" s="31" t="n">
        <v>1.7</v>
      </c>
      <c r="K147" s="31" t="n">
        <v>7291</v>
      </c>
      <c r="L147" s="30" t="n">
        <v>92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82.53</v>
      </c>
      <c r="P147" s="31" t="n">
        <v>64.26000000000001</v>
      </c>
      <c r="Q147" s="31" t="inlineStr"/>
      <c r="R147" s="30" t="inlineStr">
        <is>
          <t>Earnings / Momentum Support</t>
        </is>
      </c>
      <c r="S147" s="30" t="inlineStr">
        <is>
          <t>Nifty 50</t>
        </is>
      </c>
      <c r="T147" s="31" t="n">
        <v>-6.14</v>
      </c>
      <c r="U147" s="31" t="n">
        <v>156.12</v>
      </c>
      <c r="V147" s="31" t="n">
        <v>172.88</v>
      </c>
      <c r="W147" s="31" t="n">
        <v>44.93</v>
      </c>
      <c r="X147" s="30" t="inlineStr">
        <is>
          <t>Cyclical in an Upturn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Headwind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Above 75</t>
        </is>
      </c>
      <c r="BA147" s="30">
        <f>IF(AZ147="Between 50 to 75",10,IF(AZ147="Above 75",0,0))</f>
        <v/>
      </c>
      <c r="BB147" s="30" t="inlineStr">
        <is>
          <t>Stage 3</t>
        </is>
      </c>
      <c r="BC147" s="30">
        <f>IF(BB147="Stage 2",20,IF(BB147="Stage 1",0,IF(BB147="Stage 3",5,IF(BB147="Stage 4",-5,0))))</f>
        <v/>
      </c>
      <c r="BD147" s="30" t="inlineStr">
        <is>
          <t>Negative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IF(B148=0,"",RANK(B148,$B$2:$B$226,0))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SGIL</t>
        </is>
      </c>
      <c r="D148" s="30" t="inlineStr">
        <is>
          <t>Synergy Green Industries Ltd</t>
        </is>
      </c>
      <c r="E148" s="30" t="inlineStr">
        <is>
          <t>castings, forgings &amp; fasteners</t>
        </is>
      </c>
      <c r="F148" s="30" t="inlineStr">
        <is>
          <t>castings &amp; forgings</t>
        </is>
      </c>
      <c r="G148" s="30" t="inlineStr">
        <is>
          <t>smallcap</t>
        </is>
      </c>
      <c r="H148" s="31" t="n">
        <v>998.64</v>
      </c>
      <c r="I148" s="31" t="n">
        <v>650.75</v>
      </c>
      <c r="J148" s="31" t="n">
        <v>1.28</v>
      </c>
      <c r="K148" s="31" t="n">
        <v>7433</v>
      </c>
      <c r="L148" s="30" t="n">
        <v>15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63.43</v>
      </c>
      <c r="P148" s="31" t="n">
        <v>23.74</v>
      </c>
      <c r="Q148" s="31" t="inlineStr"/>
      <c r="R148" s="30" t="inlineStr">
        <is>
          <t>Earnings / Momentum Support</t>
        </is>
      </c>
      <c r="S148" s="30" t="inlineStr">
        <is>
          <t>Nifty 50</t>
        </is>
      </c>
      <c r="T148" s="31" t="n">
        <v>-6.14</v>
      </c>
      <c r="U148" s="31" t="n">
        <v>19.88</v>
      </c>
      <c r="V148" s="31" t="n">
        <v>27.72</v>
      </c>
      <c r="W148" s="31" t="n">
        <v>6.12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Headwind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No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3</t>
        </is>
      </c>
      <c r="BC148" s="30">
        <f>IF(BB148="Stage 2",20,IF(BB148="Stage 1",0,IF(BB148="Stage 3",5,IF(BB148="Stage 4",-5,0))))</f>
        <v/>
      </c>
      <c r="BD148" s="30" t="inlineStr">
        <is>
          <t>Negative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Less than 1.5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More than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IF(B149=0,"",RANK(B149,$B$2:$B$226,0))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JAMNAAUTO</t>
        </is>
      </c>
      <c r="D149" s="30" t="inlineStr">
        <is>
          <t>Jamna Auto Industries Limited</t>
        </is>
      </c>
      <c r="E149" s="30" t="inlineStr">
        <is>
          <t>auto</t>
        </is>
      </c>
      <c r="F149" s="30" t="inlineStr">
        <is>
          <t>auto ancillaries</t>
        </is>
      </c>
      <c r="G149" s="30" t="inlineStr">
        <is>
          <t>midcap</t>
        </is>
      </c>
      <c r="H149" s="31" t="n">
        <v>5525.05</v>
      </c>
      <c r="I149" s="31" t="n">
        <v>139.68</v>
      </c>
      <c r="J149" s="31" t="n">
        <v>1.07</v>
      </c>
      <c r="K149" s="31" t="n">
        <v>3679842</v>
      </c>
      <c r="L149" s="30" t="inlineStr"/>
      <c r="M149" s="30" t="inlineStr"/>
      <c r="N149" s="31">
        <f>IF(M149="Underperforming",-5,IF(L149&gt;=95,15,IF(L149&gt;=90,10,IF(L149&gt;=80,5,0))))</f>
        <v/>
      </c>
      <c r="O149" s="31" t="n">
        <v>56.73</v>
      </c>
      <c r="P149" s="31" t="n">
        <v>33.19</v>
      </c>
      <c r="Q149" s="31" t="inlineStr"/>
      <c r="R149" s="30" t="inlineStr">
        <is>
          <t>Earnings / Momentum Support</t>
        </is>
      </c>
      <c r="S149" s="30" t="inlineStr">
        <is>
          <t>Nifty Auto</t>
        </is>
      </c>
      <c r="T149" s="31" t="inlineStr"/>
      <c r="U149" s="31" t="inlineStr"/>
      <c r="V149" s="31" t="inlineStr"/>
      <c r="W149" s="31" t="inlineStr"/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Headwind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No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3</t>
        </is>
      </c>
      <c r="BC149" s="30">
        <f>IF(BB149="Stage 2",20,IF(BB149="Stage 1",0,IF(BB149="Stage 3",5,IF(BB149="Stage 4",-5,0))))</f>
        <v/>
      </c>
      <c r="BD149" s="30" t="inlineStr">
        <is>
          <t>Negative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IF(B150=0,"",RANK(B150,$B$2:$B$226,0))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INDOAMIN</t>
        </is>
      </c>
      <c r="D150" s="30" t="inlineStr">
        <is>
          <t>Indo Amines Ltd</t>
        </is>
      </c>
      <c r="E150" s="30" t="inlineStr">
        <is>
          <t>chemicals</t>
        </is>
      </c>
      <c r="F150" s="30" t="inlineStr">
        <is>
          <t>chemicals</t>
        </is>
      </c>
      <c r="G150" s="30" t="inlineStr">
        <is>
          <t>smallcap</t>
        </is>
      </c>
      <c r="H150" s="31" t="n">
        <v>990.8200000000001</v>
      </c>
      <c r="I150" s="31" t="n">
        <v>137.47</v>
      </c>
      <c r="J150" s="31" t="n">
        <v>0.71</v>
      </c>
      <c r="K150" s="31" t="n">
        <v>1045793</v>
      </c>
      <c r="L150" s="30" t="n">
        <v>6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59.18</v>
      </c>
      <c r="P150" s="31" t="n">
        <v>21.91</v>
      </c>
      <c r="Q150" s="31" t="inlineStr"/>
      <c r="R150" s="30" t="inlineStr">
        <is>
          <t>Volume Spike / Accumulation</t>
        </is>
      </c>
      <c r="S150" s="30" t="inlineStr">
        <is>
          <t>Nifty 50</t>
        </is>
      </c>
      <c r="T150" s="31" t="n">
        <v>-6.14</v>
      </c>
      <c r="U150" s="31" t="n">
        <v>0.28</v>
      </c>
      <c r="V150" s="31" t="n">
        <v>6.85</v>
      </c>
      <c r="W150" s="31" t="n">
        <v>3.03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Headwind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3</t>
        </is>
      </c>
      <c r="BC150" s="30">
        <f>IF(BB150="Stage 2",20,IF(BB150="Stage 1",0,IF(BB150="Stage 3",5,IF(BB150="Stage 4",-5,0))))</f>
        <v/>
      </c>
      <c r="BD150" s="30" t="inlineStr">
        <is>
          <t>Negative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IF(B151=0,"",RANK(B151,$B$2:$B$226,0))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2" t="inlineStr">
        <is>
          <t>AGI</t>
        </is>
      </c>
      <c r="D151" s="32" t="inlineStr">
        <is>
          <t>AGI Greenpac Ltd</t>
        </is>
      </c>
      <c r="E151" s="30" t="inlineStr">
        <is>
          <t>industrials</t>
        </is>
      </c>
      <c r="F151" s="30" t="inlineStr">
        <is>
          <t>packaging</t>
        </is>
      </c>
      <c r="G151" s="30" t="inlineStr">
        <is>
          <t>midcap</t>
        </is>
      </c>
      <c r="H151" s="31" t="n">
        <v>5197.46</v>
      </c>
      <c r="I151" s="31" t="n">
        <v>804.8</v>
      </c>
      <c r="J151" s="31" t="n">
        <v>0.18</v>
      </c>
      <c r="K151" s="31" t="n">
        <v>141280</v>
      </c>
      <c r="L151" s="30" t="n">
        <v>13</v>
      </c>
      <c r="M151" s="30" t="inlineStr">
        <is>
          <t>Underperforming</t>
        </is>
      </c>
      <c r="N151" s="31">
        <f>IF(M151="Underperforming",-5,IF(L151&gt;=95,15,IF(L151&gt;=90,10,IF(L151&gt;=80,5,0))))</f>
        <v/>
      </c>
      <c r="O151" s="31" t="n">
        <v>65.2</v>
      </c>
      <c r="P151" s="31" t="n">
        <v>35.15</v>
      </c>
      <c r="Q151" s="31" t="inlineStr"/>
      <c r="R151" s="30" t="inlineStr">
        <is>
          <t>Earnings / Momentum Support</t>
        </is>
      </c>
      <c r="S151" s="30" t="inlineStr">
        <is>
          <t>Nifty 50</t>
        </is>
      </c>
      <c r="T151" s="31" t="n">
        <v>-6.14</v>
      </c>
      <c r="U151" s="31" t="n">
        <v>-6.91</v>
      </c>
      <c r="V151" s="31" t="n">
        <v>-0.82</v>
      </c>
      <c r="W151" s="31" t="n">
        <v>5.37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Headwind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3</t>
        </is>
      </c>
      <c r="BC151" s="30">
        <f>IF(BB151="Stage 2",20,IF(BB151="Stage 1",0,IF(BB151="Stage 3",5,IF(BB151="Stage 4",-5,0))))</f>
        <v/>
      </c>
      <c r="BD151" s="30" t="inlineStr">
        <is>
          <t>Negative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Less than 1.5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IF(B152=0,"",RANK(B152,$B$2:$B$226,0))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SHREEJISPG</t>
        </is>
      </c>
      <c r="D152" s="30" t="inlineStr">
        <is>
          <t>Shreeji Shipping Global Ltd</t>
        </is>
      </c>
      <c r="E152" s="30" t="inlineStr">
        <is>
          <t>transportation</t>
        </is>
      </c>
      <c r="F152" s="30" t="inlineStr">
        <is>
          <t>shipping</t>
        </is>
      </c>
      <c r="G152" s="30" t="inlineStr">
        <is>
          <t>midcap</t>
        </is>
      </c>
      <c r="H152" s="31" t="n">
        <v>12258.78</v>
      </c>
      <c r="I152" s="31" t="n">
        <v>752.8</v>
      </c>
      <c r="J152" s="31" t="n">
        <v>0.05</v>
      </c>
      <c r="K152" s="31" t="n">
        <v>798667</v>
      </c>
      <c r="L152" s="30" t="n">
        <v>87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82.17</v>
      </c>
      <c r="P152" s="31" t="n">
        <v>56.32</v>
      </c>
      <c r="Q152" s="31" t="inlineStr"/>
      <c r="R152" s="30" t="inlineStr">
        <is>
          <t>Earnings / Momentum Support</t>
        </is>
      </c>
      <c r="S152" s="30" t="inlineStr">
        <is>
          <t>Nifty 50</t>
        </is>
      </c>
      <c r="T152" s="31" t="n">
        <v>-6.14</v>
      </c>
      <c r="U152" s="31" t="n">
        <v>206.27</v>
      </c>
      <c r="V152" s="31" t="n">
        <v>226.31</v>
      </c>
      <c r="W152" s="31" t="n">
        <v>38.64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Headwind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Above 75</t>
        </is>
      </c>
      <c r="BA152" s="30">
        <f>IF(AZ152="Between 50 to 75",10,IF(AZ152="Above 75",0,0))</f>
        <v/>
      </c>
      <c r="BB152" s="30" t="inlineStr">
        <is>
          <t>Stage 3</t>
        </is>
      </c>
      <c r="BC152" s="30">
        <f>IF(BB152="Stage 2",20,IF(BB152="Stage 1",0,IF(BB152="Stage 3",5,IF(BB152="Stage 4",-5,0))))</f>
        <v/>
      </c>
      <c r="BD152" s="30" t="inlineStr">
        <is>
          <t>Negative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IF(B153=0,"",RANK(B153,$B$2:$B$226,0))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ASHIANA</t>
        </is>
      </c>
      <c r="D153" s="30" t="inlineStr">
        <is>
          <t>Ashiana Housing Limited</t>
        </is>
      </c>
      <c r="E153" s="30" t="inlineStr">
        <is>
          <t>realty</t>
        </is>
      </c>
      <c r="F153" s="30" t="inlineStr">
        <is>
          <t>construction</t>
        </is>
      </c>
      <c r="G153" s="30" t="inlineStr">
        <is>
          <t>smallcap</t>
        </is>
      </c>
      <c r="H153" s="31" t="n">
        <v>3917.45</v>
      </c>
      <c r="I153" s="31" t="n">
        <v>388.8</v>
      </c>
      <c r="J153" s="31" t="n">
        <v>-0.23</v>
      </c>
      <c r="K153" s="31" t="n">
        <v>31231</v>
      </c>
      <c r="L153" s="30" t="inlineStr"/>
      <c r="M153" s="30" t="inlineStr"/>
      <c r="N153" s="31">
        <f>IF(M153="Underperforming",-5,IF(L153&gt;=95,15,IF(L153&gt;=90,10,IF(L153&gt;=80,5,0))))</f>
        <v/>
      </c>
      <c r="O153" s="31" t="n">
        <v>60.82</v>
      </c>
      <c r="P153" s="31" t="n">
        <v>33.42</v>
      </c>
      <c r="Q153" s="31" t="inlineStr"/>
      <c r="R153" s="30" t="inlineStr">
        <is>
          <t>Earnings / Momentum Support</t>
        </is>
      </c>
      <c r="S153" s="30" t="inlineStr">
        <is>
          <t>Nifty Realty</t>
        </is>
      </c>
      <c r="T153" s="31" t="inlineStr"/>
      <c r="U153" s="31" t="inlineStr"/>
      <c r="V153" s="31" t="inlineStr"/>
      <c r="W153" s="31" t="inlineStr"/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Headwind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3</t>
        </is>
      </c>
      <c r="BC153" s="30">
        <f>IF(BB153="Stage 2",20,IF(BB153="Stage 1",0,IF(BB153="Stage 3",5,IF(BB153="Stage 4",-5,0))))</f>
        <v/>
      </c>
      <c r="BD153" s="30" t="inlineStr">
        <is>
          <t>Negative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IF(B154=0,"",RANK(B154,$B$2:$B$226,0))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JASH</t>
        </is>
      </c>
      <c r="D154" s="30" t="inlineStr">
        <is>
          <t>Jash Engineering Ltd</t>
        </is>
      </c>
      <c r="E154" s="30" t="inlineStr">
        <is>
          <t>industrials</t>
        </is>
      </c>
      <c r="F154" s="30" t="inlineStr">
        <is>
          <t>engineering</t>
        </is>
      </c>
      <c r="G154" s="30" t="inlineStr">
        <is>
          <t>smallcap</t>
        </is>
      </c>
      <c r="H154" s="31" t="n">
        <v>3752.76</v>
      </c>
      <c r="I154" s="31" t="n">
        <v>588.75</v>
      </c>
      <c r="J154" s="31" t="n">
        <v>-0.86</v>
      </c>
      <c r="K154" s="31" t="n">
        <v>241237</v>
      </c>
      <c r="L154" s="30" t="n">
        <v>22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69.98999999999999</v>
      </c>
      <c r="P154" s="31" t="n">
        <v>20.85</v>
      </c>
      <c r="Q154" s="31" t="inlineStr"/>
      <c r="R154" s="30" t="inlineStr">
        <is>
          <t>Earnings / Momentum Support</t>
        </is>
      </c>
      <c r="S154" s="30" t="inlineStr">
        <is>
          <t>Nifty 50</t>
        </is>
      </c>
      <c r="T154" s="31" t="n">
        <v>-6.14</v>
      </c>
      <c r="U154" s="31" t="n">
        <v>18.76</v>
      </c>
      <c r="V154" s="31" t="n">
        <v>26.53</v>
      </c>
      <c r="W154" s="31" t="n">
        <v>8.630000000000001</v>
      </c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Headwind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3</t>
        </is>
      </c>
      <c r="BC154" s="30">
        <f>IF(BB154="Stage 2",20,IF(BB154="Stage 1",0,IF(BB154="Stage 3",5,IF(BB154="Stage 4",-5,0))))</f>
        <v/>
      </c>
      <c r="BD154" s="30" t="inlineStr">
        <is>
          <t>Negative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IF(B155=0,"",RANK(B155,$B$2:$B$226,0))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STLTECH</t>
        </is>
      </c>
      <c r="D155" s="30" t="inlineStr">
        <is>
          <t>Sterlite Technologies Limited</t>
        </is>
      </c>
      <c r="E155" s="30" t="inlineStr">
        <is>
          <t>industrials</t>
        </is>
      </c>
      <c r="F155" s="30" t="inlineStr">
        <is>
          <t>cables - telephone</t>
        </is>
      </c>
      <c r="G155" s="30" t="inlineStr">
        <is>
          <t>largecap</t>
        </is>
      </c>
      <c r="H155" s="31" t="n">
        <v>43023.38</v>
      </c>
      <c r="I155" s="31" t="n">
        <v>825.35</v>
      </c>
      <c r="J155" s="31" t="n">
        <v>-1.42</v>
      </c>
      <c r="K155" s="31" t="n">
        <v>1026777</v>
      </c>
      <c r="L155" s="30" t="inlineStr"/>
      <c r="M155" s="30" t="inlineStr"/>
      <c r="N155" s="31">
        <f>IF(M155="Underperforming",-5,IF(L155&gt;=95,15,IF(L155&gt;=90,10,IF(L155&gt;=80,5,0))))</f>
        <v/>
      </c>
      <c r="O155" s="31" t="n">
        <v>73.72</v>
      </c>
      <c r="P155" s="31" t="n">
        <v>70.64</v>
      </c>
      <c r="Q155" s="31" t="inlineStr"/>
      <c r="R155" s="30" t="inlineStr">
        <is>
          <t>Earnings / Momentum Support</t>
        </is>
      </c>
      <c r="S155" s="30" t="inlineStr">
        <is>
          <t>Nifty Infra</t>
        </is>
      </c>
      <c r="T155" s="31" t="inlineStr"/>
      <c r="U155" s="31" t="inlineStr"/>
      <c r="V155" s="31" t="inlineStr"/>
      <c r="W155" s="31" t="inlineStr"/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Headwind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3</t>
        </is>
      </c>
      <c r="BC155" s="30">
        <f>IF(BB155="Stage 2",20,IF(BB155="Stage 1",0,IF(BB155="Stage 3",5,IF(BB155="Stage 4",-5,0))))</f>
        <v/>
      </c>
      <c r="BD155" s="30" t="inlineStr">
        <is>
          <t>Negative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Between 0.7 to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IF(B156=0,"",RANK(B156,$B$2:$B$226,0))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SVLL</t>
        </is>
      </c>
      <c r="D156" s="30" t="inlineStr">
        <is>
          <t>Shree Vasu Logistics Ltd</t>
        </is>
      </c>
      <c r="E156" s="30" t="inlineStr">
        <is>
          <t>transportation</t>
        </is>
      </c>
      <c r="F156" s="30" t="inlineStr">
        <is>
          <t>miscellaneous</t>
        </is>
      </c>
      <c r="G156" s="30" t="inlineStr">
        <is>
          <t>smallcap</t>
        </is>
      </c>
      <c r="H156" s="31" t="n">
        <v>959.38</v>
      </c>
      <c r="I156" s="31" t="n">
        <v>821.35</v>
      </c>
      <c r="J156" s="31" t="n">
        <v>-1.6</v>
      </c>
      <c r="K156" s="31" t="n">
        <v>1758</v>
      </c>
      <c r="L156" s="30" t="n">
        <v>21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65.83</v>
      </c>
      <c r="P156" s="31" t="n">
        <v>40.93</v>
      </c>
      <c r="Q156" s="31" t="inlineStr"/>
      <c r="R156" s="30" t="inlineStr">
        <is>
          <t>Earnings / Momentum Support</t>
        </is>
      </c>
      <c r="S156" s="30" t="inlineStr">
        <is>
          <t>Nifty 50</t>
        </is>
      </c>
      <c r="T156" s="31" t="n">
        <v>-6.14</v>
      </c>
      <c r="U156" s="31" t="n">
        <v>10.34</v>
      </c>
      <c r="V156" s="31" t="n">
        <v>17.56</v>
      </c>
      <c r="W156" s="31" t="n">
        <v>8.49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Headwind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3</t>
        </is>
      </c>
      <c r="BC156" s="30">
        <f>IF(BB156="Stage 2",20,IF(BB156="Stage 1",0,IF(BB156="Stage 3",5,IF(BB156="Stage 4",-5,0))))</f>
        <v/>
      </c>
      <c r="BD156" s="30" t="inlineStr">
        <is>
          <t>Negative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IF(B157=0,"",RANK(B157,$B$2:$B$226,0))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SIGMAADV</t>
        </is>
      </c>
      <c r="D157" s="30" t="inlineStr">
        <is>
          <t>Sigma Advanced System Ltd</t>
        </is>
      </c>
      <c r="E157" s="30" t="inlineStr">
        <is>
          <t>aerospace &amp; defence</t>
        </is>
      </c>
      <c r="F157" s="30" t="inlineStr">
        <is>
          <t>electronics - components</t>
        </is>
      </c>
      <c r="G157" s="30" t="inlineStr">
        <is>
          <t>midcap</t>
        </is>
      </c>
      <c r="H157" s="31" t="n">
        <v>17926.34</v>
      </c>
      <c r="I157" s="31" t="n">
        <v>930.4</v>
      </c>
      <c r="J157" s="31" t="n">
        <v>-1.65</v>
      </c>
      <c r="K157" s="31" t="n">
        <v>304695</v>
      </c>
      <c r="L157" s="30" t="n">
        <v>97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82.45999999999999</v>
      </c>
      <c r="P157" s="31" t="n">
        <v>62.85</v>
      </c>
      <c r="Q157" s="31" t="inlineStr"/>
      <c r="R157" s="30" t="inlineStr">
        <is>
          <t>Earnings / Momentum Support</t>
        </is>
      </c>
      <c r="S157" s="30" t="inlineStr">
        <is>
          <t>Nifty 50</t>
        </is>
      </c>
      <c r="T157" s="31" t="n">
        <v>-6.14</v>
      </c>
      <c r="U157" s="31" t="n">
        <v>500.33</v>
      </c>
      <c r="V157" s="31" t="n">
        <v>539.61</v>
      </c>
      <c r="W157" s="31" t="n">
        <v>81.91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Headwind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3</t>
        </is>
      </c>
      <c r="BC157" s="30">
        <f>IF(BB157="Stage 2",20,IF(BB157="Stage 1",0,IF(BB157="Stage 3",5,IF(BB157="Stage 4",-5,0))))</f>
        <v/>
      </c>
      <c r="BD157" s="30" t="inlineStr">
        <is>
          <t>Negative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IF(B158=0,"",RANK(B158,$B$2:$B$226,0))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RGL</t>
        </is>
      </c>
      <c r="D158" s="30" t="inlineStr">
        <is>
          <t>Renaissance Global Ltd</t>
        </is>
      </c>
      <c r="E158" s="30" t="inlineStr">
        <is>
          <t>consumer discretionary</t>
        </is>
      </c>
      <c r="F158" s="30" t="inlineStr">
        <is>
          <t>diamond cutting / jewellery</t>
        </is>
      </c>
      <c r="G158" s="30" t="inlineStr">
        <is>
          <t>smallcap</t>
        </is>
      </c>
      <c r="H158" s="31" t="n">
        <v>1798.1</v>
      </c>
      <c r="I158" s="31" t="n">
        <v>163.23</v>
      </c>
      <c r="J158" s="31" t="n">
        <v>-2.53</v>
      </c>
      <c r="K158" s="31" t="n">
        <v>337478</v>
      </c>
      <c r="L158" s="30" t="n">
        <v>55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77.28</v>
      </c>
      <c r="P158" s="31" t="n">
        <v>34.96</v>
      </c>
      <c r="Q158" s="31" t="inlineStr"/>
      <c r="R158" s="30" t="inlineStr">
        <is>
          <t>Earnings / Momentum Support</t>
        </is>
      </c>
      <c r="S158" s="30" t="inlineStr">
        <is>
          <t>Nifty 50</t>
        </is>
      </c>
      <c r="T158" s="31" t="n">
        <v>-6.14</v>
      </c>
      <c r="U158" s="31" t="n">
        <v>47.21</v>
      </c>
      <c r="V158" s="31" t="n">
        <v>56.85</v>
      </c>
      <c r="W158" s="31" t="n">
        <v>19.3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Headwind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3</t>
        </is>
      </c>
      <c r="BC158" s="30">
        <f>IF(BB158="Stage 2",20,IF(BB158="Stage 1",0,IF(BB158="Stage 3",5,IF(BB158="Stage 4",-5,0))))</f>
        <v/>
      </c>
      <c r="BD158" s="30" t="inlineStr">
        <is>
          <t>Negative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IF(B159=0,"",RANK(B159,$B$2:$B$226,0))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GRAPHITE</t>
        </is>
      </c>
      <c r="D159" s="30" t="inlineStr">
        <is>
          <t>Graphite India Limited</t>
        </is>
      </c>
      <c r="E159" s="30" t="inlineStr">
        <is>
          <t>industrials</t>
        </is>
      </c>
      <c r="F159" s="30" t="inlineStr">
        <is>
          <t>electrodes - graphites</t>
        </is>
      </c>
      <c r="G159" s="30" t="inlineStr">
        <is>
          <t>midcap</t>
        </is>
      </c>
      <c r="H159" s="31" t="n">
        <v>16034.48</v>
      </c>
      <c r="I159" s="31" t="n">
        <v>799</v>
      </c>
      <c r="J159" s="31" t="n">
        <v>-2.64</v>
      </c>
      <c r="K159" s="31" t="n">
        <v>1013536</v>
      </c>
      <c r="L159" s="30" t="n">
        <v>49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67.09</v>
      </c>
      <c r="P159" s="31" t="n">
        <v>20.97</v>
      </c>
      <c r="Q159" s="31" t="inlineStr"/>
      <c r="R159" s="30" t="inlineStr">
        <is>
          <t>Earnings / Momentum Support</t>
        </is>
      </c>
      <c r="S159" s="30" t="inlineStr">
        <is>
          <t>Nifty 50</t>
        </is>
      </c>
      <c r="T159" s="31" t="n">
        <v>-6.14</v>
      </c>
      <c r="U159" s="31" t="n">
        <v>49.89</v>
      </c>
      <c r="V159" s="31" t="n">
        <v>59.7</v>
      </c>
      <c r="W159" s="31" t="n">
        <v>16.74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Headwind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No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3</t>
        </is>
      </c>
      <c r="BC159" s="30">
        <f>IF(BB159="Stage 2",20,IF(BB159="Stage 1",0,IF(BB159="Stage 3",5,IF(BB159="Stage 4",-5,0))))</f>
        <v/>
      </c>
      <c r="BD159" s="30" t="inlineStr">
        <is>
          <t>Negative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IF(B160=0,"",RANK(B160,$B$2:$B$226,0))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EMIL</t>
        </is>
      </c>
      <c r="D160" s="30" t="inlineStr">
        <is>
          <t>Electronics Mart India Ltd</t>
        </is>
      </c>
      <c r="E160" s="30" t="inlineStr">
        <is>
          <t>consumer discretionary</t>
        </is>
      </c>
      <c r="F160" s="30" t="inlineStr">
        <is>
          <t>trading</t>
        </is>
      </c>
      <c r="G160" s="30" t="inlineStr">
        <is>
          <t>midcap</t>
        </is>
      </c>
      <c r="H160" s="31" t="n">
        <v>7703.44</v>
      </c>
      <c r="I160" s="31" t="n">
        <v>192.89</v>
      </c>
      <c r="J160" s="31" t="n">
        <v>-3.66</v>
      </c>
      <c r="K160" s="31" t="n">
        <v>4333655</v>
      </c>
      <c r="L160" s="30" t="n">
        <v>69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74.28</v>
      </c>
      <c r="P160" s="31" t="n">
        <v>44.29</v>
      </c>
      <c r="Q160" s="31" t="inlineStr"/>
      <c r="R160" s="30" t="inlineStr">
        <is>
          <t>Earnings / Momentum Support</t>
        </is>
      </c>
      <c r="S160" s="30" t="inlineStr">
        <is>
          <t>Nifty 50</t>
        </is>
      </c>
      <c r="T160" s="31" t="n">
        <v>-6.14</v>
      </c>
      <c r="U160" s="31" t="n">
        <v>36.67</v>
      </c>
      <c r="V160" s="31" t="n">
        <v>45.61</v>
      </c>
      <c r="W160" s="31" t="n">
        <v>25.1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Headwind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3</t>
        </is>
      </c>
      <c r="BC160" s="30">
        <f>IF(BB160="Stage 2",20,IF(BB160="Stage 1",0,IF(BB160="Stage 3",5,IF(BB160="Stage 4",-5,0))))</f>
        <v/>
      </c>
      <c r="BD160" s="30" t="inlineStr">
        <is>
          <t>Negative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More than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IF(B161=0,"",RANK(B161,$B$2:$B$226,0))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RAYMONDREL</t>
        </is>
      </c>
      <c r="D161" s="30" t="inlineStr">
        <is>
          <t>Raymond Realty Ltd</t>
        </is>
      </c>
      <c r="E161" s="30" t="inlineStr">
        <is>
          <t>realty</t>
        </is>
      </c>
      <c r="F161" s="30" t="inlineStr">
        <is>
          <t>construction</t>
        </is>
      </c>
      <c r="G161" s="30" t="inlineStr">
        <is>
          <t>smallcap</t>
        </is>
      </c>
      <c r="H161" s="31" t="n">
        <v>4735.39</v>
      </c>
      <c r="I161" s="31" t="n">
        <v>672.95</v>
      </c>
      <c r="J161" s="31" t="n">
        <v>-5.39</v>
      </c>
      <c r="K161" s="31" t="n">
        <v>1674907</v>
      </c>
      <c r="L161" s="30" t="inlineStr"/>
      <c r="M161" s="30" t="inlineStr"/>
      <c r="N161" s="31">
        <f>IF(M161="Underperforming",-5,IF(L161&gt;=95,15,IF(L161&gt;=90,10,IF(L161&gt;=80,5,0))))</f>
        <v/>
      </c>
      <c r="O161" s="31" t="n">
        <v>61.19</v>
      </c>
      <c r="P161" s="31" t="n">
        <v>31.46</v>
      </c>
      <c r="Q161" s="31" t="inlineStr"/>
      <c r="R161" s="30" t="inlineStr">
        <is>
          <t>Earnings / Momentum Support</t>
        </is>
      </c>
      <c r="S161" s="30" t="inlineStr">
        <is>
          <t>Nifty Realty</t>
        </is>
      </c>
      <c r="T161" s="31" t="inlineStr"/>
      <c r="U161" s="31" t="inlineStr"/>
      <c r="V161" s="31" t="inlineStr"/>
      <c r="W161" s="31" t="inlineStr"/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Headwind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3</t>
        </is>
      </c>
      <c r="BC161" s="30">
        <f>IF(BB161="Stage 2",20,IF(BB161="Stage 1",0,IF(BB161="Stage 3",5,IF(BB161="Stage 4",-5,0))))</f>
        <v/>
      </c>
      <c r="BD161" s="30" t="inlineStr">
        <is>
          <t>Negative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Less than 12%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IF(B162=0,"",RANK(B162,$B$2:$B$226,0))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SOFTTECH</t>
        </is>
      </c>
      <c r="D162" s="30" t="inlineStr">
        <is>
          <t>Softtech Engineers Ltd</t>
        </is>
      </c>
      <c r="E162" s="30" t="inlineStr">
        <is>
          <t>i.t</t>
        </is>
      </c>
      <c r="F162" s="30" t="inlineStr">
        <is>
          <t>computers - software - medium / small</t>
        </is>
      </c>
      <c r="G162" s="30" t="inlineStr">
        <is>
          <t>smallcap</t>
        </is>
      </c>
      <c r="H162" s="31" t="n">
        <v>664.15</v>
      </c>
      <c r="I162" s="31" t="n">
        <v>495</v>
      </c>
      <c r="J162" s="31" t="n">
        <v>3.17</v>
      </c>
      <c r="K162" s="31" t="n">
        <v>2982</v>
      </c>
      <c r="L162" s="30" t="n">
        <v>37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62.41</v>
      </c>
      <c r="P162" s="31" t="n">
        <v>30.62</v>
      </c>
      <c r="Q162" s="31" t="inlineStr"/>
      <c r="R162" s="30" t="inlineStr">
        <is>
          <t>Earnings / Momentum Support</t>
        </is>
      </c>
      <c r="S162" s="30" t="inlineStr">
        <is>
          <t>Nifty IT</t>
        </is>
      </c>
      <c r="T162" s="31" t="n">
        <v>-16.44</v>
      </c>
      <c r="U162" s="31" t="n">
        <v>29.48</v>
      </c>
      <c r="V162" s="31" t="n">
        <v>54.96</v>
      </c>
      <c r="W162" s="31" t="n">
        <v>12.93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Headwind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Annuity, Lower One Time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3</t>
        </is>
      </c>
      <c r="BC162" s="30">
        <f>IF(BB162="Stage 2",20,IF(BB162="Stage 1",0,IF(BB162="Stage 3",5,IF(BB162="Stage 4",-5,0))))</f>
        <v/>
      </c>
      <c r="BD162" s="30" t="inlineStr">
        <is>
          <t>Negative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Less than 12%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IF(B163=0,"",RANK(B163,$B$2:$B$226,0))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BAFNAPH</t>
        </is>
      </c>
      <c r="D163" s="30" t="inlineStr">
        <is>
          <t>Bafna Pharmaceuticals Ltd</t>
        </is>
      </c>
      <c r="E163" s="30" t="inlineStr">
        <is>
          <t>healthcare</t>
        </is>
      </c>
      <c r="F163" s="30" t="inlineStr">
        <is>
          <t>pharmaceuticals - indian - formulations</t>
        </is>
      </c>
      <c r="G163" s="30" t="inlineStr">
        <is>
          <t>smallcap</t>
        </is>
      </c>
      <c r="H163" s="31" t="n">
        <v>828.09</v>
      </c>
      <c r="I163" s="31" t="n">
        <v>357.05</v>
      </c>
      <c r="J163" s="31" t="n">
        <v>2</v>
      </c>
      <c r="K163" s="31" t="n">
        <v>1073</v>
      </c>
      <c r="L163" s="30" t="n">
        <v>86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77.77</v>
      </c>
      <c r="P163" s="31" t="n">
        <v>62.15</v>
      </c>
      <c r="Q163" s="31" t="inlineStr"/>
      <c r="R163" s="30" t="inlineStr">
        <is>
          <t>Earnings / Momentum Support</t>
        </is>
      </c>
      <c r="S163" s="30" t="inlineStr">
        <is>
          <t>Nifty Pharma</t>
        </is>
      </c>
      <c r="T163" s="31" t="n">
        <v>25.55</v>
      </c>
      <c r="U163" s="31" t="n">
        <v>98.52</v>
      </c>
      <c r="V163" s="31" t="n">
        <v>58.12</v>
      </c>
      <c r="W163" s="31" t="n">
        <v>38.55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Yes</t>
        </is>
      </c>
      <c r="AC163" s="30">
        <f>IF(AB163="No",5,0)</f>
        <v/>
      </c>
      <c r="AD163" s="30" t="inlineStr">
        <is>
          <t>Headwind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No</t>
        </is>
      </c>
      <c r="AQ163" s="30">
        <f>IF(AP163="Yes",10,0)</f>
        <v/>
      </c>
      <c r="AR163" s="30" t="inlineStr">
        <is>
          <t>Higher Annuity, Lower One Time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Above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3</t>
        </is>
      </c>
      <c r="BC163" s="30">
        <f>IF(BB163="Stage 2",20,IF(BB163="Stage 1",0,IF(BB163="Stage 3",5,IF(BB163="Stage 4",-5,0))))</f>
        <v/>
      </c>
      <c r="BD163" s="30" t="inlineStr">
        <is>
          <t>Negative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Less than 12%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IF(B164=0,"",RANK(B164,$B$2:$B$226,0))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UTTAMSUGAR</t>
        </is>
      </c>
      <c r="D164" s="30" t="inlineStr">
        <is>
          <t>Uttam Sugar Mills Limited</t>
        </is>
      </c>
      <c r="E164" s="30" t="inlineStr">
        <is>
          <t>fmcg</t>
        </is>
      </c>
      <c r="F164" s="30" t="inlineStr">
        <is>
          <t>sugar</t>
        </is>
      </c>
      <c r="G164" s="30" t="inlineStr">
        <is>
          <t>smallcap</t>
        </is>
      </c>
      <c r="H164" s="31" t="n">
        <v>1118.02</v>
      </c>
      <c r="I164" s="31" t="n">
        <v>294.75</v>
      </c>
      <c r="J164" s="31" t="n">
        <v>0.55</v>
      </c>
      <c r="K164" s="31" t="n">
        <v>703248</v>
      </c>
      <c r="L164" s="30" t="inlineStr"/>
      <c r="M164" s="30" t="inlineStr"/>
      <c r="N164" s="31">
        <f>IF(M164="Underperforming",-5,IF(L164&gt;=95,15,IF(L164&gt;=90,10,IF(L164&gt;=80,5,0))))</f>
        <v/>
      </c>
      <c r="O164" s="31" t="n">
        <v>59.68</v>
      </c>
      <c r="P164" s="31" t="n">
        <v>27.6</v>
      </c>
      <c r="Q164" s="31" t="inlineStr"/>
      <c r="R164" s="30" t="inlineStr">
        <is>
          <t>Earnings / Momentum Support</t>
        </is>
      </c>
      <c r="S164" s="30" t="inlineStr">
        <is>
          <t>Nifty FMCG</t>
        </is>
      </c>
      <c r="T164" s="31" t="inlineStr"/>
      <c r="U164" s="31" t="inlineStr"/>
      <c r="V164" s="31" t="inlineStr"/>
      <c r="W164" s="31" t="inlineStr"/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Headwind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B2C</t>
        </is>
      </c>
      <c r="AO164" s="30">
        <f>IF(AN164="B2C",10,IF(AN164="B2B",5,0))</f>
        <v/>
      </c>
      <c r="AP164" s="30" t="inlineStr">
        <is>
          <t>No</t>
        </is>
      </c>
      <c r="AQ164" s="30">
        <f>IF(AP164="Yes",10,0)</f>
        <v/>
      </c>
      <c r="AR164" s="30" t="inlineStr">
        <is>
          <t>Higher Annuity, Lower One Time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3</t>
        </is>
      </c>
      <c r="BC164" s="30">
        <f>IF(BB164="Stage 2",20,IF(BB164="Stage 1",0,IF(BB164="Stage 3",5,IF(BB164="Stage 4",-5,0))))</f>
        <v/>
      </c>
      <c r="BD164" s="30" t="inlineStr">
        <is>
          <t>Negative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Less than 12%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Between 0.7 to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IF(B165=0,"",RANK(B165,$B$2:$B$226,0))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SUPRIYA</t>
        </is>
      </c>
      <c r="D165" s="30" t="inlineStr">
        <is>
          <t>Supriya Lifescience Ltd</t>
        </is>
      </c>
      <c r="E165" s="30" t="inlineStr">
        <is>
          <t>healthcare</t>
        </is>
      </c>
      <c r="F165" s="30" t="inlineStr">
        <is>
          <t>pharmaceuticals - indian - bulk drugs &amp; formln</t>
        </is>
      </c>
      <c r="G165" s="30" t="inlineStr">
        <is>
          <t>midcap</t>
        </is>
      </c>
      <c r="H165" s="31" t="n">
        <v>7929.17</v>
      </c>
      <c r="I165" s="31" t="n">
        <v>984.75</v>
      </c>
      <c r="J165" s="31" t="n">
        <v>-0.05</v>
      </c>
      <c r="K165" s="31" t="n">
        <v>441132</v>
      </c>
      <c r="L165" s="30" t="n">
        <v>31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64.27</v>
      </c>
      <c r="P165" s="31" t="n">
        <v>35.35</v>
      </c>
      <c r="Q165" s="31" t="inlineStr"/>
      <c r="R165" s="30" t="inlineStr">
        <is>
          <t>Earnings / Momentum Support</t>
        </is>
      </c>
      <c r="S165" s="30" t="inlineStr">
        <is>
          <t>Nifty Pharma</t>
        </is>
      </c>
      <c r="T165" s="31" t="n">
        <v>25.55</v>
      </c>
      <c r="U165" s="31" t="n">
        <v>40.51</v>
      </c>
      <c r="V165" s="31" t="n">
        <v>11.91</v>
      </c>
      <c r="W165" s="31" t="n">
        <v>11.05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Headwind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Annuity, Lower One Time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3</t>
        </is>
      </c>
      <c r="BC165" s="30">
        <f>IF(BB165="Stage 2",20,IF(BB165="Stage 1",0,IF(BB165="Stage 3",5,IF(BB165="Stage 4",-5,0))))</f>
        <v/>
      </c>
      <c r="BD165" s="30" t="inlineStr">
        <is>
          <t>Negative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IF(B166=0,"",RANK(B166,$B$2:$B$226,0))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2" t="inlineStr">
        <is>
          <t>APLLTD</t>
        </is>
      </c>
      <c r="D166" s="32" t="inlineStr">
        <is>
          <t>Alembic Pharmaceuticals Limited</t>
        </is>
      </c>
      <c r="E166" s="30" t="inlineStr">
        <is>
          <t>healthcare</t>
        </is>
      </c>
      <c r="F166" s="30" t="inlineStr">
        <is>
          <t>pharmaceuticals - indian - bulk drugs &amp; formln</t>
        </is>
      </c>
      <c r="G166" s="30" t="inlineStr">
        <is>
          <t>midcap</t>
        </is>
      </c>
      <c r="H166" s="31" t="n">
        <v>16978.14</v>
      </c>
      <c r="I166" s="31" t="n">
        <v>854.35</v>
      </c>
      <c r="J166" s="31" t="n">
        <v>-1.09</v>
      </c>
      <c r="K166" s="31" t="n">
        <v>211650</v>
      </c>
      <c r="L166" s="30" t="n">
        <v>5</v>
      </c>
      <c r="M166" s="30" t="inlineStr">
        <is>
          <t>Underperforming</t>
        </is>
      </c>
      <c r="N166" s="31">
        <f>IF(M166="Underperforming",-5,IF(L166&gt;=95,15,IF(L166&gt;=90,10,IF(L166&gt;=80,5,0))))</f>
        <v/>
      </c>
      <c r="O166" s="31" t="n">
        <v>63.96</v>
      </c>
      <c r="P166" s="31" t="n">
        <v>24.03</v>
      </c>
      <c r="Q166" s="31" t="inlineStr"/>
      <c r="R166" s="30" t="inlineStr">
        <is>
          <t>Earnings / Momentum Support</t>
        </is>
      </c>
      <c r="S166" s="30" t="inlineStr">
        <is>
          <t>Nifty Pharma</t>
        </is>
      </c>
      <c r="T166" s="31" t="n">
        <v>25.55</v>
      </c>
      <c r="U166" s="31" t="n">
        <v>-3.66</v>
      </c>
      <c r="V166" s="31" t="n">
        <v>-23.27</v>
      </c>
      <c r="W166" s="31" t="n">
        <v>2.9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Headwind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3</t>
        </is>
      </c>
      <c r="BC166" s="30">
        <f>IF(BB166="Stage 2",20,IF(BB166="Stage 1",0,IF(BB166="Stage 3",5,IF(BB166="Stage 4",-5,0))))</f>
        <v/>
      </c>
      <c r="BD166" s="30" t="inlineStr">
        <is>
          <t>Negative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IF(B167=0,"",RANK(B167,$B$2:$B$226,0))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DHAMPURSUG</t>
        </is>
      </c>
      <c r="D167" s="30" t="inlineStr">
        <is>
          <t>Dhampur Sugar Mills Limited</t>
        </is>
      </c>
      <c r="E167" s="30" t="inlineStr">
        <is>
          <t>fmcg</t>
        </is>
      </c>
      <c r="F167" s="30" t="inlineStr">
        <is>
          <t>sugar</t>
        </is>
      </c>
      <c r="G167" s="30" t="inlineStr">
        <is>
          <t>smallcap</t>
        </is>
      </c>
      <c r="H167" s="31" t="n">
        <v>1123.24</v>
      </c>
      <c r="I167" s="31" t="n">
        <v>172.42</v>
      </c>
      <c r="J167" s="31" t="n">
        <v>-1.29</v>
      </c>
      <c r="K167" s="31" t="n">
        <v>987937</v>
      </c>
      <c r="L167" s="30" t="inlineStr"/>
      <c r="M167" s="30" t="inlineStr"/>
      <c r="N167" s="31">
        <f>IF(M167="Underperforming",-5,IF(L167&gt;=95,15,IF(L167&gt;=90,10,IF(L167&gt;=80,5,0))))</f>
        <v/>
      </c>
      <c r="O167" s="31" t="n">
        <v>62.61</v>
      </c>
      <c r="P167" s="31" t="n">
        <v>23.64</v>
      </c>
      <c r="Q167" s="31" t="inlineStr"/>
      <c r="R167" s="30" t="inlineStr">
        <is>
          <t>Earnings / Momentum Support</t>
        </is>
      </c>
      <c r="S167" s="30" t="inlineStr">
        <is>
          <t>Nifty FMCG</t>
        </is>
      </c>
      <c r="T167" s="31" t="inlineStr"/>
      <c r="U167" s="31" t="inlineStr"/>
      <c r="V167" s="31" t="inlineStr"/>
      <c r="W167" s="31" t="inlineStr"/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Headwind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B2C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3</t>
        </is>
      </c>
      <c r="BC167" s="30">
        <f>IF(BB167="Stage 2",20,IF(BB167="Stage 1",0,IF(BB167="Stage 3",5,IF(BB167="Stage 4",-5,0))))</f>
        <v/>
      </c>
      <c r="BD167" s="30" t="inlineStr">
        <is>
          <t>Negative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Less than 12%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Between 0.7 to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IF(B168=0,"",RANK(B168,$B$2:$B$226,0))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UGARSUGAR</t>
        </is>
      </c>
      <c r="D168" s="30" t="inlineStr">
        <is>
          <t>The Ugar Sugar Works Limited</t>
        </is>
      </c>
      <c r="E168" s="30" t="inlineStr">
        <is>
          <t>fmcg</t>
        </is>
      </c>
      <c r="F168" s="30" t="inlineStr">
        <is>
          <t>sugar</t>
        </is>
      </c>
      <c r="G168" s="30" t="inlineStr">
        <is>
          <t>smallcap</t>
        </is>
      </c>
      <c r="H168" s="31" t="n">
        <v>720.34</v>
      </c>
      <c r="I168" s="31" t="n">
        <v>62.29</v>
      </c>
      <c r="J168" s="31" t="n">
        <v>-2.72</v>
      </c>
      <c r="K168" s="31" t="n">
        <v>3580364</v>
      </c>
      <c r="L168" s="30" t="inlineStr"/>
      <c r="M168" s="30" t="inlineStr"/>
      <c r="N168" s="31">
        <f>IF(M168="Underperforming",-5,IF(L168&gt;=95,15,IF(L168&gt;=90,10,IF(L168&gt;=80,5,0))))</f>
        <v/>
      </c>
      <c r="O168" s="31" t="n">
        <v>80.63</v>
      </c>
      <c r="P168" s="31" t="n">
        <v>35.96</v>
      </c>
      <c r="Q168" s="31" t="inlineStr"/>
      <c r="R168" s="30" t="inlineStr">
        <is>
          <t>Earnings / Momentum Support</t>
        </is>
      </c>
      <c r="S168" s="30" t="inlineStr">
        <is>
          <t>Nifty FMCG</t>
        </is>
      </c>
      <c r="T168" s="31" t="inlineStr"/>
      <c r="U168" s="31" t="inlineStr"/>
      <c r="V168" s="31" t="inlineStr"/>
      <c r="W168" s="31" t="inlineStr"/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Headwind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B2C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3</t>
        </is>
      </c>
      <c r="BC168" s="30">
        <f>IF(BB168="Stage 2",20,IF(BB168="Stage 1",0,IF(BB168="Stage 3",5,IF(BB168="Stage 4",-5,0))))</f>
        <v/>
      </c>
      <c r="BD168" s="30" t="inlineStr">
        <is>
          <t>Negative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More than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IF(B169=0,"",RANK(B169,$B$2:$B$226,0))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KILITCH</t>
        </is>
      </c>
      <c r="D169" s="30" t="inlineStr">
        <is>
          <t>Kilitch Drugs (india) Limited</t>
        </is>
      </c>
      <c r="E169" s="30" t="inlineStr">
        <is>
          <t>healthcare</t>
        </is>
      </c>
      <c r="F169" s="30" t="inlineStr">
        <is>
          <t>pharmaceuticals - indian - formulations</t>
        </is>
      </c>
      <c r="G169" s="30" t="inlineStr">
        <is>
          <t>smallcap</t>
        </is>
      </c>
      <c r="H169" s="31" t="n">
        <v>784.08</v>
      </c>
      <c r="I169" s="31" t="n">
        <v>217.05</v>
      </c>
      <c r="J169" s="31" t="n">
        <v>-3.22</v>
      </c>
      <c r="K169" s="31" t="n">
        <v>30944</v>
      </c>
      <c r="L169" s="30" t="n">
        <v>33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67.95999999999999</v>
      </c>
      <c r="P169" s="31" t="n">
        <v>27.48</v>
      </c>
      <c r="Q169" s="31" t="inlineStr"/>
      <c r="R169" s="30" t="inlineStr">
        <is>
          <t>Earnings / Momentum Support</t>
        </is>
      </c>
      <c r="S169" s="30" t="inlineStr">
        <is>
          <t>Nifty Pharma</t>
        </is>
      </c>
      <c r="T169" s="31" t="n">
        <v>25.55</v>
      </c>
      <c r="U169" s="31" t="n">
        <v>31.59</v>
      </c>
      <c r="V169" s="31" t="n">
        <v>4.81</v>
      </c>
      <c r="W169" s="31" t="n">
        <v>11.42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3</t>
        </is>
      </c>
      <c r="BC169" s="30">
        <f>IF(BB169="Stage 2",20,IF(BB169="Stage 1",0,IF(BB169="Stage 3",5,IF(BB169="Stage 4",-5,0))))</f>
        <v/>
      </c>
      <c r="BD169" s="30" t="inlineStr">
        <is>
          <t>Negative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Less than 12%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Above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IF(B170=0,"",RANK(B170,$B$2:$B$226,0))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VALIANTLAB</t>
        </is>
      </c>
      <c r="D170" s="30" t="inlineStr">
        <is>
          <t>Valiant Laboratories Ltd</t>
        </is>
      </c>
      <c r="E170" s="30" t="inlineStr">
        <is>
          <t>healthcare</t>
        </is>
      </c>
      <c r="F170" s="30" t="inlineStr">
        <is>
          <t>pharmaceuticals - indian - bulk drugs &amp; formln</t>
        </is>
      </c>
      <c r="G170" s="30" t="inlineStr">
        <is>
          <t>smallcap</t>
        </is>
      </c>
      <c r="H170" s="31" t="n">
        <v>678.2</v>
      </c>
      <c r="I170" s="31" t="n">
        <v>118.97</v>
      </c>
      <c r="J170" s="31" t="n">
        <v>-4.72</v>
      </c>
      <c r="K170" s="31" t="n">
        <v>89589</v>
      </c>
      <c r="L170" s="30" t="n">
        <v>80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77.90000000000001</v>
      </c>
      <c r="P170" s="31" t="n">
        <v>33.06</v>
      </c>
      <c r="Q170" s="31" t="inlineStr"/>
      <c r="R170" s="30" t="inlineStr">
        <is>
          <t>Earnings / Momentum Support</t>
        </is>
      </c>
      <c r="S170" s="30" t="inlineStr">
        <is>
          <t>Nifty Pharma</t>
        </is>
      </c>
      <c r="T170" s="31" t="n">
        <v>25.55</v>
      </c>
      <c r="U170" s="31" t="n">
        <v>51.28</v>
      </c>
      <c r="V170" s="31" t="n">
        <v>20.49</v>
      </c>
      <c r="W170" s="31" t="n">
        <v>31.22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Headwind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No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3</t>
        </is>
      </c>
      <c r="BC170" s="30">
        <f>IF(BB170="Stage 2",20,IF(BB170="Stage 1",0,IF(BB170="Stage 3",5,IF(BB170="Stage 4",-5,0))))</f>
        <v/>
      </c>
      <c r="BD170" s="30" t="inlineStr">
        <is>
          <t>Negative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IF(B171=0,"",RANK(B171,$B$2:$B$226,0))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MANAKSTEEL</t>
        </is>
      </c>
      <c r="D171" s="30" t="inlineStr">
        <is>
          <t>Manaksia Steels Limited</t>
        </is>
      </c>
      <c r="E171" s="30" t="inlineStr">
        <is>
          <t>metals &amp; mining</t>
        </is>
      </c>
      <c r="F171" s="30" t="inlineStr">
        <is>
          <t>steel - medium / small</t>
        </is>
      </c>
      <c r="G171" s="30" t="inlineStr">
        <is>
          <t>smallcap</t>
        </is>
      </c>
      <c r="H171" s="31" t="n">
        <v>688.63</v>
      </c>
      <c r="I171" s="31" t="n">
        <v>110.13</v>
      </c>
      <c r="J171" s="31" t="n">
        <v>4.81</v>
      </c>
      <c r="K171" s="31" t="n">
        <v>43958</v>
      </c>
      <c r="L171" s="30" t="inlineStr"/>
      <c r="M171" s="30" t="inlineStr"/>
      <c r="N171" s="31">
        <f>IF(M171="Underperforming",-5,IF(L171&gt;=95,15,IF(L171&gt;=90,10,IF(L171&gt;=80,5,0))))</f>
        <v/>
      </c>
      <c r="O171" s="31" t="n">
        <v>67.08</v>
      </c>
      <c r="P171" s="31" t="n">
        <v>48.94</v>
      </c>
      <c r="Q171" s="31" t="inlineStr"/>
      <c r="R171" s="30" t="inlineStr">
        <is>
          <t>Earnings / Momentum Support</t>
        </is>
      </c>
      <c r="S171" s="30" t="inlineStr">
        <is>
          <t>Nifty Metal</t>
        </is>
      </c>
      <c r="T171" s="31" t="inlineStr"/>
      <c r="U171" s="31" t="inlineStr"/>
      <c r="V171" s="31" t="inlineStr"/>
      <c r="W171" s="31" t="inlineStr"/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Headwind</t>
        </is>
      </c>
      <c r="AE171" s="30">
        <f>IF(AD171="Tailwind",10,0)</f>
        <v/>
      </c>
      <c r="AF171" s="30" t="inlineStr">
        <is>
          <t>Cyclical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Volatile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3</t>
        </is>
      </c>
      <c r="BC171" s="30">
        <f>IF(BB171="Stage 2",20,IF(BB171="Stage 1",0,IF(BB171="Stage 3",5,IF(BB171="Stage 4",-5,0))))</f>
        <v/>
      </c>
      <c r="BD171" s="30" t="inlineStr">
        <is>
          <t>Negative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IF(B172=0,"",RANK(B172,$B$2:$B$226,0))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HARSHA</t>
        </is>
      </c>
      <c r="D172" s="30" t="inlineStr">
        <is>
          <t>Harsha Engineers International Ltd</t>
        </is>
      </c>
      <c r="E172" s="30" t="inlineStr">
        <is>
          <t>industrials</t>
        </is>
      </c>
      <c r="F172" s="30" t="inlineStr">
        <is>
          <t>engineering</t>
        </is>
      </c>
      <c r="G172" s="30" t="inlineStr">
        <is>
          <t>smallcap</t>
        </is>
      </c>
      <c r="H172" s="31" t="n">
        <v>4206.69</v>
      </c>
      <c r="I172" s="31" t="n">
        <v>465.55</v>
      </c>
      <c r="J172" s="31" t="n">
        <v>0.76</v>
      </c>
      <c r="K172" s="31" t="n">
        <v>196133</v>
      </c>
      <c r="L172" s="30" t="n">
        <v>16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63.27</v>
      </c>
      <c r="P172" s="31" t="n">
        <v>34.38</v>
      </c>
      <c r="Q172" s="31" t="inlineStr"/>
      <c r="R172" s="30" t="inlineStr">
        <is>
          <t>Earnings / Momentum Support</t>
        </is>
      </c>
      <c r="S172" s="30" t="inlineStr">
        <is>
          <t>Nifty 50</t>
        </is>
      </c>
      <c r="T172" s="31" t="n">
        <v>-6.14</v>
      </c>
      <c r="U172" s="31" t="n">
        <v>14.7</v>
      </c>
      <c r="V172" s="31" t="n">
        <v>22.2</v>
      </c>
      <c r="W172" s="31" t="n">
        <v>6.13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Headwind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No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3</t>
        </is>
      </c>
      <c r="BC172" s="30">
        <f>IF(BB172="Stage 2",20,IF(BB172="Stage 1",0,IF(BB172="Stage 3",5,IF(BB172="Stage 4",-5,0))))</f>
        <v/>
      </c>
      <c r="BD172" s="30" t="inlineStr">
        <is>
          <t>Negative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IF(B173=0,"",RANK(B173,$B$2:$B$226,0))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NEOGEN</t>
        </is>
      </c>
      <c r="D173" s="30" t="inlineStr">
        <is>
          <t>Neogen Chemicals Ltd</t>
        </is>
      </c>
      <c r="E173" s="30" t="inlineStr">
        <is>
          <t>chemicals</t>
        </is>
      </c>
      <c r="F173" s="30" t="inlineStr">
        <is>
          <t>chemicals</t>
        </is>
      </c>
      <c r="G173" s="30" t="inlineStr">
        <is>
          <t>midcap</t>
        </is>
      </c>
      <c r="H173" s="31" t="n">
        <v>7165.72</v>
      </c>
      <c r="I173" s="31" t="n">
        <v>2396.3</v>
      </c>
      <c r="J173" s="31" t="n">
        <v>0.47</v>
      </c>
      <c r="K173" s="31" t="n">
        <v>175449</v>
      </c>
      <c r="L173" s="30" t="n">
        <v>53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66.93000000000001</v>
      </c>
      <c r="P173" s="31" t="n">
        <v>59.21</v>
      </c>
      <c r="Q173" s="31" t="inlineStr"/>
      <c r="R173" s="30" t="inlineStr">
        <is>
          <t>Earnings / Momentum Support</t>
        </is>
      </c>
      <c r="S173" s="30" t="inlineStr">
        <is>
          <t>Nifty 50</t>
        </is>
      </c>
      <c r="T173" s="31" t="n">
        <v>-6.14</v>
      </c>
      <c r="U173" s="31" t="n">
        <v>57.08</v>
      </c>
      <c r="V173" s="31" t="n">
        <v>67.36</v>
      </c>
      <c r="W173" s="31" t="n">
        <v>18.33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Headwind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No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Above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3</t>
        </is>
      </c>
      <c r="BC173" s="30">
        <f>IF(BB173="Stage 2",20,IF(BB173="Stage 1",0,IF(BB173="Stage 3",5,IF(BB173="Stage 4",-5,0))))</f>
        <v/>
      </c>
      <c r="BD173" s="30" t="inlineStr">
        <is>
          <t>Negative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More than 1.2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IF(B174=0,"",RANK(B174,$B$2:$B$226,0))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BELRISE</t>
        </is>
      </c>
      <c r="D174" s="30" t="inlineStr">
        <is>
          <t>Belrise Industries Ltd</t>
        </is>
      </c>
      <c r="E174" s="30" t="inlineStr">
        <is>
          <t>auto</t>
        </is>
      </c>
      <c r="F174" s="30" t="inlineStr">
        <is>
          <t>auto ancillaries</t>
        </is>
      </c>
      <c r="G174" s="30" t="inlineStr">
        <is>
          <t>largecap</t>
        </is>
      </c>
      <c r="H174" s="31" t="n">
        <v>23977.63</v>
      </c>
      <c r="I174" s="31" t="n">
        <v>248.62</v>
      </c>
      <c r="J174" s="31" t="n">
        <v>0.28</v>
      </c>
      <c r="K174" s="31" t="n">
        <v>4151643</v>
      </c>
      <c r="L174" s="30" t="inlineStr"/>
      <c r="M174" s="30" t="inlineStr"/>
      <c r="N174" s="31">
        <f>IF(M174="Underperforming",-5,IF(L174&gt;=95,15,IF(L174&gt;=90,10,IF(L174&gt;=80,5,0))))</f>
        <v/>
      </c>
      <c r="O174" s="31" t="n">
        <v>62.05</v>
      </c>
      <c r="P174" s="31" t="n">
        <v>32.09</v>
      </c>
      <c r="Q174" s="31" t="inlineStr"/>
      <c r="R174" s="30" t="inlineStr">
        <is>
          <t>Earnings / Momentum Support</t>
        </is>
      </c>
      <c r="S174" s="30" t="inlineStr">
        <is>
          <t>Nifty Auto</t>
        </is>
      </c>
      <c r="T174" s="31" t="inlineStr"/>
      <c r="U174" s="31" t="inlineStr"/>
      <c r="V174" s="31" t="inlineStr"/>
      <c r="W174" s="31" t="inlineStr"/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Headwind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No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3</t>
        </is>
      </c>
      <c r="BC174" s="30">
        <f>IF(BB174="Stage 2",20,IF(BB174="Stage 1",0,IF(BB174="Stage 3",5,IF(BB174="Stage 4",-5,0))))</f>
        <v/>
      </c>
      <c r="BD174" s="30" t="inlineStr">
        <is>
          <t>Negative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Less than 12%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IF(B175=0,"",RANK(B175,$B$2:$B$226,0))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DYNAMATECH</t>
        </is>
      </c>
      <c r="D175" s="30" t="inlineStr">
        <is>
          <t>Dynamatic Technologies Limited</t>
        </is>
      </c>
      <c r="E175" s="30" t="inlineStr">
        <is>
          <t>aerospace &amp; defence</t>
        </is>
      </c>
      <c r="F175" s="30" t="inlineStr">
        <is>
          <t>engineering</t>
        </is>
      </c>
      <c r="G175" s="30" t="inlineStr">
        <is>
          <t>midcap</t>
        </is>
      </c>
      <c r="H175" s="31" t="n">
        <v>8932.790000000001</v>
      </c>
      <c r="I175" s="31" t="n">
        <v>13139</v>
      </c>
      <c r="J175" s="31" t="n">
        <v>-0.11</v>
      </c>
      <c r="K175" s="31" t="n">
        <v>44529</v>
      </c>
      <c r="L175" s="30" t="n">
        <v>58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67.98</v>
      </c>
      <c r="P175" s="31" t="n">
        <v>28.73</v>
      </c>
      <c r="Q175" s="31" t="inlineStr"/>
      <c r="R175" s="30" t="inlineStr">
        <is>
          <t>Earnings / Momentum Support</t>
        </is>
      </c>
      <c r="S175" s="30" t="inlineStr">
        <is>
          <t>Nifty 50</t>
        </is>
      </c>
      <c r="T175" s="31" t="n">
        <v>-6.14</v>
      </c>
      <c r="U175" s="31" t="n">
        <v>90.11</v>
      </c>
      <c r="V175" s="31" t="n">
        <v>102.55</v>
      </c>
      <c r="W175" s="31" t="n">
        <v>20.62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Headwind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3</t>
        </is>
      </c>
      <c r="BC175" s="30">
        <f>IF(BB175="Stage 2",20,IF(BB175="Stage 1",0,IF(BB175="Stage 3",5,IF(BB175="Stage 4",-5,0))))</f>
        <v/>
      </c>
      <c r="BD175" s="30" t="inlineStr">
        <is>
          <t>Negative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Between 0.7 to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IF(B176=0,"",RANK(B176,$B$2:$B$226,0))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LGBBROSLTD</t>
        </is>
      </c>
      <c r="D176" s="30" t="inlineStr">
        <is>
          <t>Lg Balakrishnan &amp; Bros Limited</t>
        </is>
      </c>
      <c r="E176" s="30" t="inlineStr">
        <is>
          <t>auto</t>
        </is>
      </c>
      <c r="F176" s="30" t="inlineStr">
        <is>
          <t>bearings</t>
        </is>
      </c>
      <c r="G176" s="30" t="inlineStr">
        <is>
          <t>midcap</t>
        </is>
      </c>
      <c r="H176" s="31" t="n">
        <v>5534.29</v>
      </c>
      <c r="I176" s="31" t="n">
        <v>1730.6</v>
      </c>
      <c r="J176" s="31" t="n">
        <v>-0.27</v>
      </c>
      <c r="K176" s="31" t="n">
        <v>30315</v>
      </c>
      <c r="L176" s="30" t="inlineStr"/>
      <c r="M176" s="30" t="inlineStr"/>
      <c r="N176" s="31">
        <f>IF(M176="Underperforming",-5,IF(L176&gt;=95,15,IF(L176&gt;=90,10,IF(L176&gt;=80,5,0))))</f>
        <v/>
      </c>
      <c r="O176" s="31" t="n">
        <v>59.86</v>
      </c>
      <c r="P176" s="31" t="n">
        <v>14.47</v>
      </c>
      <c r="Q176" s="31" t="inlineStr"/>
      <c r="R176" s="30" t="inlineStr">
        <is>
          <t>Earnings / Momentum Support</t>
        </is>
      </c>
      <c r="S176" s="30" t="inlineStr">
        <is>
          <t>Nifty Auto</t>
        </is>
      </c>
      <c r="T176" s="31" t="inlineStr"/>
      <c r="U176" s="31" t="inlineStr"/>
      <c r="V176" s="31" t="inlineStr"/>
      <c r="W176" s="31" t="inlineStr"/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Headwind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3</t>
        </is>
      </c>
      <c r="BC176" s="30">
        <f>IF(BB176="Stage 2",20,IF(BB176="Stage 1",0,IF(BB176="Stage 3",5,IF(BB176="Stage 4",-5,0))))</f>
        <v/>
      </c>
      <c r="BD176" s="30" t="inlineStr">
        <is>
          <t>Negative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IF(B177=0,"",RANK(B177,$B$2:$B$226,0))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PREMEXPLN</t>
        </is>
      </c>
      <c r="D177" s="30" t="inlineStr">
        <is>
          <t>Premier Explosives Limited</t>
        </is>
      </c>
      <c r="E177" s="30" t="inlineStr">
        <is>
          <t>aerospace &amp; defence</t>
        </is>
      </c>
      <c r="F177" s="30" t="inlineStr">
        <is>
          <t>chemicals</t>
        </is>
      </c>
      <c r="G177" s="30" t="inlineStr">
        <is>
          <t>smallcap</t>
        </is>
      </c>
      <c r="H177" s="31" t="n">
        <v>3657.64</v>
      </c>
      <c r="I177" s="31" t="n">
        <v>677.05</v>
      </c>
      <c r="J177" s="31" t="n">
        <v>-0.49</v>
      </c>
      <c r="K177" s="31" t="n">
        <v>383780</v>
      </c>
      <c r="L177" s="30" t="n">
        <v>17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58.11</v>
      </c>
      <c r="P177" s="31" t="n">
        <v>32.1</v>
      </c>
      <c r="Q177" s="31" t="inlineStr"/>
      <c r="R177" s="30" t="inlineStr">
        <is>
          <t>Earnings / Momentum Support</t>
        </is>
      </c>
      <c r="S177" s="30" t="inlineStr">
        <is>
          <t>Nifty 50</t>
        </is>
      </c>
      <c r="T177" s="31" t="n">
        <v>-6.14</v>
      </c>
      <c r="U177" s="31" t="n">
        <v>15.64</v>
      </c>
      <c r="V177" s="31" t="n">
        <v>23.21</v>
      </c>
      <c r="W177" s="31" t="n">
        <v>6.55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Headwind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3</t>
        </is>
      </c>
      <c r="BC177" s="30">
        <f>IF(BB177="Stage 2",20,IF(BB177="Stage 1",0,IF(BB177="Stage 3",5,IF(BB177="Stage 4",-5,0))))</f>
        <v/>
      </c>
      <c r="BD177" s="30" t="inlineStr">
        <is>
          <t>Negative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IF(B178=0,"",RANK(B178,$B$2:$B$226,0))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VSSL</t>
        </is>
      </c>
      <c r="D178" s="30" t="inlineStr">
        <is>
          <t>Vardhman Special Steels Limited</t>
        </is>
      </c>
      <c r="E178" s="30" t="inlineStr">
        <is>
          <t>metals &amp; mining</t>
        </is>
      </c>
      <c r="F178" s="30" t="inlineStr">
        <is>
          <t>steel - medium / small</t>
        </is>
      </c>
      <c r="G178" s="30" t="inlineStr">
        <is>
          <t>smallcap</t>
        </is>
      </c>
      <c r="H178" s="31" t="n">
        <v>3978.62</v>
      </c>
      <c r="I178" s="31" t="n">
        <v>407.75</v>
      </c>
      <c r="J178" s="31" t="n">
        <v>-0.91</v>
      </c>
      <c r="K178" s="31" t="n">
        <v>108982</v>
      </c>
      <c r="L178" s="30" t="inlineStr"/>
      <c r="M178" s="30" t="inlineStr"/>
      <c r="N178" s="31">
        <f>IF(M178="Underperforming",-5,IF(L178&gt;=95,15,IF(L178&gt;=90,10,IF(L178&gt;=80,5,0))))</f>
        <v/>
      </c>
      <c r="O178" s="31" t="n">
        <v>84.03</v>
      </c>
      <c r="P178" s="31" t="n">
        <v>50.3</v>
      </c>
      <c r="Q178" s="31" t="inlineStr"/>
      <c r="R178" s="30" t="inlineStr">
        <is>
          <t>Earnings / Momentum Support</t>
        </is>
      </c>
      <c r="S178" s="30" t="inlineStr">
        <is>
          <t>Nifty Metal</t>
        </is>
      </c>
      <c r="T178" s="31" t="inlineStr"/>
      <c r="U178" s="31" t="inlineStr"/>
      <c r="V178" s="31" t="inlineStr"/>
      <c r="W178" s="31" t="inlineStr"/>
      <c r="X178" s="30" t="inlineStr">
        <is>
          <t>Cyclical in an Upturn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Headwind</t>
        </is>
      </c>
      <c r="AE178" s="30">
        <f>IF(AD178="Tailwind",10,0)</f>
        <v/>
      </c>
      <c r="AF178" s="30" t="inlineStr">
        <is>
          <t>Cyclical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Volatile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Above 40</t>
        </is>
      </c>
      <c r="AY178" s="30">
        <f>IF(AX178="Above 40",20,IF(AX178="20 to 40",10,IF(AX178="0 to 20",-5,0)))</f>
        <v/>
      </c>
      <c r="AZ178" s="30" t="inlineStr">
        <is>
          <t>Above 75</t>
        </is>
      </c>
      <c r="BA178" s="30">
        <f>IF(AZ178="Between 50 to 75",10,IF(AZ178="Above 75",0,0))</f>
        <v/>
      </c>
      <c r="BB178" s="30" t="inlineStr">
        <is>
          <t>Stage 3</t>
        </is>
      </c>
      <c r="BC178" s="30">
        <f>IF(BB178="Stage 2",20,IF(BB178="Stage 1",0,IF(BB178="Stage 3",5,IF(BB178="Stage 4",-5,0))))</f>
        <v/>
      </c>
      <c r="BD178" s="30" t="inlineStr">
        <is>
          <t>Negative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IF(B179=0,"",RANK(B179,$B$2:$B$226,0))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BIL</t>
        </is>
      </c>
      <c r="D179" s="30" t="inlineStr">
        <is>
          <t>Bhartiya International Limited</t>
        </is>
      </c>
      <c r="E179" s="30" t="inlineStr">
        <is>
          <t>consumer discretionary</t>
        </is>
      </c>
      <c r="F179" s="30" t="inlineStr">
        <is>
          <t>leather / leather products</t>
        </is>
      </c>
      <c r="G179" s="30" t="inlineStr">
        <is>
          <t>smallcap</t>
        </is>
      </c>
      <c r="H179" s="31" t="n">
        <v>1355.59</v>
      </c>
      <c r="I179" s="31" t="n">
        <v>1001.2</v>
      </c>
      <c r="J179" s="31" t="n">
        <v>-0.95</v>
      </c>
      <c r="K179" s="31" t="n">
        <v>3150</v>
      </c>
      <c r="L179" s="30" t="n">
        <v>24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67.06</v>
      </c>
      <c r="P179" s="31" t="n">
        <v>31.25</v>
      </c>
      <c r="Q179" s="31" t="inlineStr"/>
      <c r="R179" s="30" t="inlineStr">
        <is>
          <t>Earnings / Momentum Support</t>
        </is>
      </c>
      <c r="S179" s="30" t="inlineStr">
        <is>
          <t>Nifty 50</t>
        </is>
      </c>
      <c r="T179" s="31" t="n">
        <v>-6.14</v>
      </c>
      <c r="U179" s="31" t="n">
        <v>17.75</v>
      </c>
      <c r="V179" s="31" t="n">
        <v>25.46</v>
      </c>
      <c r="W179" s="31" t="n">
        <v>9.369999999999999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Headwind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No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3</t>
        </is>
      </c>
      <c r="BC179" s="30">
        <f>IF(BB179="Stage 2",20,IF(BB179="Stage 1",0,IF(BB179="Stage 3",5,IF(BB179="Stage 4",-5,0))))</f>
        <v/>
      </c>
      <c r="BD179" s="30" t="inlineStr">
        <is>
          <t>Negative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Between 0.7 to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IF(B180=0,"",RANK(B180,$B$2:$B$226,0))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GANDHITUBE</t>
        </is>
      </c>
      <c r="D180" s="30" t="inlineStr">
        <is>
          <t>Gandhi Special Tubes Limited</t>
        </is>
      </c>
      <c r="E180" s="30" t="inlineStr">
        <is>
          <t>metals &amp; mining</t>
        </is>
      </c>
      <c r="F180" s="30" t="inlineStr">
        <is>
          <t>steel - medium / small</t>
        </is>
      </c>
      <c r="G180" s="30" t="inlineStr">
        <is>
          <t>smallcap</t>
        </is>
      </c>
      <c r="H180" s="31" t="n">
        <v>1090.59</v>
      </c>
      <c r="I180" s="31" t="n">
        <v>952.5</v>
      </c>
      <c r="J180" s="31" t="n">
        <v>-1.45</v>
      </c>
      <c r="K180" s="31" t="n">
        <v>8185</v>
      </c>
      <c r="L180" s="30" t="inlineStr"/>
      <c r="M180" s="30" t="inlineStr"/>
      <c r="N180" s="31">
        <f>IF(M180="Underperforming",-5,IF(L180&gt;=95,15,IF(L180&gt;=90,10,IF(L180&gt;=80,5,0))))</f>
        <v/>
      </c>
      <c r="O180" s="31" t="n">
        <v>68.73</v>
      </c>
      <c r="P180" s="31" t="n">
        <v>35.09</v>
      </c>
      <c r="Q180" s="31" t="inlineStr"/>
      <c r="R180" s="30" t="inlineStr">
        <is>
          <t>Earnings / Momentum Support</t>
        </is>
      </c>
      <c r="S180" s="30" t="inlineStr">
        <is>
          <t>Nifty Metal</t>
        </is>
      </c>
      <c r="T180" s="31" t="inlineStr"/>
      <c r="U180" s="31" t="inlineStr"/>
      <c r="V180" s="31" t="inlineStr"/>
      <c r="W180" s="31" t="inlineStr"/>
      <c r="X180" s="30" t="inlineStr">
        <is>
          <t>Cyclical in an Upturn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Headwind</t>
        </is>
      </c>
      <c r="AE180" s="30">
        <f>IF(AD180="Tailwind",10,0)</f>
        <v/>
      </c>
      <c r="AF180" s="30" t="inlineStr">
        <is>
          <t>Cyclical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Volatile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3</t>
        </is>
      </c>
      <c r="BC180" s="30">
        <f>IF(BB180="Stage 2",20,IF(BB180="Stage 1",0,IF(BB180="Stage 3",5,IF(BB180="Stage 4",-5,0))))</f>
        <v/>
      </c>
      <c r="BD180" s="30" t="inlineStr">
        <is>
          <t>Negative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IF(B181=0,"",RANK(B181,$B$2:$B$226,0))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MMP</t>
        </is>
      </c>
      <c r="D181" s="30" t="inlineStr">
        <is>
          <t>MMP Industries Ltd</t>
        </is>
      </c>
      <c r="E181" s="30" t="inlineStr">
        <is>
          <t>metals &amp; mining</t>
        </is>
      </c>
      <c r="F181" s="30" t="inlineStr">
        <is>
          <t>aluminium and aluminium products</t>
        </is>
      </c>
      <c r="G181" s="30" t="inlineStr">
        <is>
          <t>smallcap</t>
        </is>
      </c>
      <c r="H181" s="31" t="n">
        <v>1169.16</v>
      </c>
      <c r="I181" s="31" t="n">
        <v>452.25</v>
      </c>
      <c r="J181" s="31" t="n">
        <v>-1.74</v>
      </c>
      <c r="K181" s="31" t="n">
        <v>66556</v>
      </c>
      <c r="L181" s="30" t="inlineStr"/>
      <c r="M181" s="30" t="inlineStr"/>
      <c r="N181" s="31">
        <f>IF(M181="Underperforming",-5,IF(L181&gt;=95,15,IF(L181&gt;=90,10,IF(L181&gt;=80,5,0))))</f>
        <v/>
      </c>
      <c r="O181" s="31" t="n">
        <v>81.34</v>
      </c>
      <c r="P181" s="31" t="n">
        <v>59.46</v>
      </c>
      <c r="Q181" s="31" t="inlineStr"/>
      <c r="R181" s="30" t="inlineStr">
        <is>
          <t>Earnings / Momentum Support</t>
        </is>
      </c>
      <c r="S181" s="30" t="inlineStr">
        <is>
          <t>Nifty Metal</t>
        </is>
      </c>
      <c r="T181" s="31" t="inlineStr"/>
      <c r="U181" s="31" t="inlineStr"/>
      <c r="V181" s="31" t="inlineStr"/>
      <c r="W181" s="31" t="inlineStr"/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Headwind</t>
        </is>
      </c>
      <c r="AE181" s="30">
        <f>IF(AD181="Tailwind",10,0)</f>
        <v/>
      </c>
      <c r="AF181" s="30" t="inlineStr">
        <is>
          <t>Cyclical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Volatile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3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IF(B182=0,"",RANK(B182,$B$2:$B$226,0))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2" t="inlineStr">
        <is>
          <t>TEXRAIL</t>
        </is>
      </c>
      <c r="D182" s="32" t="inlineStr">
        <is>
          <t>Texmaco Rail &amp; Engineering Limited</t>
        </is>
      </c>
      <c r="E182" s="30" t="inlineStr">
        <is>
          <t>industrials</t>
        </is>
      </c>
      <c r="F182" s="30" t="inlineStr">
        <is>
          <t>engineering</t>
        </is>
      </c>
      <c r="G182" s="30" t="inlineStr">
        <is>
          <t>midcap</t>
        </is>
      </c>
      <c r="H182" s="31" t="n">
        <v>5113.07</v>
      </c>
      <c r="I182" s="31" t="n">
        <v>123.14</v>
      </c>
      <c r="J182" s="31" t="n">
        <v>-2.01</v>
      </c>
      <c r="K182" s="31" t="n">
        <v>2140844</v>
      </c>
      <c r="L182" s="30" t="n">
        <v>9</v>
      </c>
      <c r="M182" s="30" t="inlineStr">
        <is>
          <t>Underperforming</t>
        </is>
      </c>
      <c r="N182" s="31">
        <f>IF(M182="Underperforming",-5,IF(L182&gt;=95,15,IF(L182&gt;=90,10,IF(L182&gt;=80,5,0))))</f>
        <v/>
      </c>
      <c r="O182" s="31" t="n">
        <v>62.32</v>
      </c>
      <c r="P182" s="31" t="n">
        <v>13.97</v>
      </c>
      <c r="Q182" s="31" t="inlineStr"/>
      <c r="R182" s="30" t="inlineStr">
        <is>
          <t>Earnings / Momentum Support</t>
        </is>
      </c>
      <c r="S182" s="30" t="inlineStr">
        <is>
          <t>Nifty 50</t>
        </is>
      </c>
      <c r="T182" s="31" t="n">
        <v>-6.14</v>
      </c>
      <c r="U182" s="31" t="n">
        <v>-8.789999999999999</v>
      </c>
      <c r="V182" s="31" t="n">
        <v>-2.83</v>
      </c>
      <c r="W182" s="31" t="n">
        <v>4.44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Headwind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3</t>
        </is>
      </c>
      <c r="BC182" s="30">
        <f>IF(BB182="Stage 2",20,IF(BB182="Stage 1",0,IF(BB182="Stage 3",5,IF(BB182="Stage 4",-5,0))))</f>
        <v/>
      </c>
      <c r="BD182" s="30" t="inlineStr">
        <is>
          <t>Negative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Less than 1.5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IF(B183=0,"",RANK(B183,$B$2:$B$226,0))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AJAXENGG</t>
        </is>
      </c>
      <c r="D183" s="30" t="inlineStr">
        <is>
          <t>Ajax Engineering Ltd</t>
        </is>
      </c>
      <c r="E183" s="30" t="inlineStr">
        <is>
          <t>industrials</t>
        </is>
      </c>
      <c r="F183" s="30" t="inlineStr">
        <is>
          <t>engineering</t>
        </is>
      </c>
      <c r="G183" s="30" t="inlineStr">
        <is>
          <t>midcap</t>
        </is>
      </c>
      <c r="H183" s="31" t="n">
        <v>6953.07</v>
      </c>
      <c r="I183" s="31" t="n">
        <v>589.9</v>
      </c>
      <c r="J183" s="31" t="n">
        <v>-2.94</v>
      </c>
      <c r="K183" s="31" t="n">
        <v>174202</v>
      </c>
      <c r="L183" s="30" t="n">
        <v>7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58</v>
      </c>
      <c r="P183" s="31" t="n">
        <v>24.07</v>
      </c>
      <c r="Q183" s="31" t="inlineStr"/>
      <c r="R183" s="30" t="inlineStr">
        <is>
          <t>Earnings / Momentum Support</t>
        </is>
      </c>
      <c r="S183" s="30" t="inlineStr">
        <is>
          <t>Nifty 50</t>
        </is>
      </c>
      <c r="T183" s="31" t="n">
        <v>-6.14</v>
      </c>
      <c r="U183" s="31" t="n">
        <v>-5.69</v>
      </c>
      <c r="V183" s="31" t="n">
        <v>0.48</v>
      </c>
      <c r="W183" s="31" t="n">
        <v>3.38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Headwind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3</t>
        </is>
      </c>
      <c r="BC183" s="30">
        <f>IF(BB183="Stage 2",20,IF(BB183="Stage 1",0,IF(BB183="Stage 3",5,IF(BB183="Stage 4",-5,0))))</f>
        <v/>
      </c>
      <c r="BD183" s="30" t="inlineStr">
        <is>
          <t>Negative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IF(B184=0,"",RANK(B184,$B$2:$B$226,0))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SAMBHV</t>
        </is>
      </c>
      <c r="D184" s="30" t="inlineStr">
        <is>
          <t>Sambhv Steel Tubes Ltd</t>
        </is>
      </c>
      <c r="E184" s="30" t="inlineStr">
        <is>
          <t>metals &amp; mining</t>
        </is>
      </c>
      <c r="F184" s="30" t="inlineStr">
        <is>
          <t>steel - medium / small</t>
        </is>
      </c>
      <c r="G184" s="30" t="inlineStr">
        <is>
          <t>smallcap</t>
        </is>
      </c>
      <c r="H184" s="31" t="n">
        <v>4688.81</v>
      </c>
      <c r="I184" s="31" t="n">
        <v>154</v>
      </c>
      <c r="J184" s="31" t="n">
        <v>-3.22</v>
      </c>
      <c r="K184" s="31" t="n">
        <v>3011715</v>
      </c>
      <c r="L184" s="30" t="inlineStr"/>
      <c r="M184" s="30" t="inlineStr"/>
      <c r="N184" s="31">
        <f>IF(M184="Underperforming",-5,IF(L184&gt;=95,15,IF(L184&gt;=90,10,IF(L184&gt;=80,5,0))))</f>
        <v/>
      </c>
      <c r="O184" s="31" t="n">
        <v>78.29000000000001</v>
      </c>
      <c r="P184" s="31" t="n">
        <v>45.59</v>
      </c>
      <c r="Q184" s="31" t="inlineStr"/>
      <c r="R184" s="30" t="inlineStr">
        <is>
          <t>Earnings / Momentum Support</t>
        </is>
      </c>
      <c r="S184" s="30" t="inlineStr">
        <is>
          <t>Nifty Metal</t>
        </is>
      </c>
      <c r="T184" s="31" t="inlineStr"/>
      <c r="U184" s="31" t="inlineStr"/>
      <c r="V184" s="31" t="inlineStr"/>
      <c r="W184" s="31" t="inlineStr"/>
      <c r="X184" s="30" t="inlineStr">
        <is>
          <t>Cyclical in an Upturn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Headwind</t>
        </is>
      </c>
      <c r="AE184" s="30">
        <f>IF(AD184="Tailwind",10,0)</f>
        <v/>
      </c>
      <c r="AF184" s="30" t="inlineStr">
        <is>
          <t>Cyclical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Volatile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3</t>
        </is>
      </c>
      <c r="BC184" s="30">
        <f>IF(BB184="Stage 2",20,IF(BB184="Stage 1",0,IF(BB184="Stage 3",5,IF(BB184="Stage 4",-5,0))))</f>
        <v/>
      </c>
      <c r="BD184" s="30" t="inlineStr">
        <is>
          <t>Negative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IF(B185=0,"",RANK(B185,$B$2:$B$226,0))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SRHHYPOLTD</t>
        </is>
      </c>
      <c r="D185" s="30" t="inlineStr">
        <is>
          <t>Sree Rayalaseema Hi-strength Hypo Limited</t>
        </is>
      </c>
      <c r="E185" s="30" t="inlineStr">
        <is>
          <t>chemicals</t>
        </is>
      </c>
      <c r="F185" s="30" t="inlineStr">
        <is>
          <t>chemicals</t>
        </is>
      </c>
      <c r="G185" s="30" t="inlineStr">
        <is>
          <t>smallcap</t>
        </is>
      </c>
      <c r="H185" s="31" t="n">
        <v>1020.96</v>
      </c>
      <c r="I185" s="31" t="n">
        <v>570</v>
      </c>
      <c r="J185" s="31" t="n">
        <v>-4.17</v>
      </c>
      <c r="K185" s="31" t="n">
        <v>21927</v>
      </c>
      <c r="L185" s="30" t="n">
        <v>18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66.40000000000001</v>
      </c>
      <c r="P185" s="31" t="n">
        <v>15.71</v>
      </c>
      <c r="Q185" s="31" t="inlineStr"/>
      <c r="R185" s="30" t="inlineStr">
        <is>
          <t>Earnings / Momentum Support</t>
        </is>
      </c>
      <c r="S185" s="30" t="inlineStr">
        <is>
          <t>Nifty 50</t>
        </is>
      </c>
      <c r="T185" s="31" t="n">
        <v>-6.14</v>
      </c>
      <c r="U185" s="31" t="n">
        <v>3.2</v>
      </c>
      <c r="V185" s="31" t="n">
        <v>9.960000000000001</v>
      </c>
      <c r="W185" s="31" t="n">
        <v>6.72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Headwind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No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0 to 20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3</t>
        </is>
      </c>
      <c r="BC185" s="30">
        <f>IF(BB185="Stage 2",20,IF(BB185="Stage 1",0,IF(BB185="Stage 3",5,IF(BB185="Stage 4",-5,0))))</f>
        <v/>
      </c>
      <c r="BD185" s="30" t="inlineStr">
        <is>
          <t>Negative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Less than 1.5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IF(B186=0,"",RANK(B186,$B$2:$B$226,0))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LLOYDSENT</t>
        </is>
      </c>
      <c r="D186" s="30" t="inlineStr">
        <is>
          <t>Lloyds Enterprises Ltd</t>
        </is>
      </c>
      <c r="E186" s="30" t="inlineStr">
        <is>
          <t>services</t>
        </is>
      </c>
      <c r="F186" s="30" t="inlineStr">
        <is>
          <t>trading</t>
        </is>
      </c>
      <c r="G186" s="30" t="inlineStr">
        <is>
          <t>midcap</t>
        </is>
      </c>
      <c r="H186" s="31" t="n">
        <v>12162.04</v>
      </c>
      <c r="I186" s="31" t="n">
        <v>76.33</v>
      </c>
      <c r="J186" s="31" t="n">
        <v>-4.19</v>
      </c>
      <c r="K186" s="31" t="n">
        <v>2598056</v>
      </c>
      <c r="L186" s="30" t="n">
        <v>33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58.75</v>
      </c>
      <c r="P186" s="31" t="n">
        <v>31.38</v>
      </c>
      <c r="Q186" s="31" t="inlineStr"/>
      <c r="R186" s="30" t="inlineStr">
        <is>
          <t>Earnings / Momentum Support</t>
        </is>
      </c>
      <c r="S186" s="30" t="inlineStr">
        <is>
          <t>Nifty 50</t>
        </is>
      </c>
      <c r="T186" s="31" t="n">
        <v>-6.14</v>
      </c>
      <c r="U186" s="31" t="n">
        <v>26.17</v>
      </c>
      <c r="V186" s="31" t="n">
        <v>34.42</v>
      </c>
      <c r="W186" s="31" t="n">
        <v>11.35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Headwind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3</t>
        </is>
      </c>
      <c r="BC186" s="30">
        <f>IF(BB186="Stage 2",20,IF(BB186="Stage 1",0,IF(BB186="Stage 3",5,IF(BB186="Stage 4",-5,0))))</f>
        <v/>
      </c>
      <c r="BD186" s="30" t="inlineStr">
        <is>
          <t>Negative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IF(B187=0,"",RANK(B187,$B$2:$B$226,0))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SMLMAH</t>
        </is>
      </c>
      <c r="D187" s="30" t="inlineStr">
        <is>
          <t>SML Mahindra Ltd</t>
        </is>
      </c>
      <c r="E187" s="30" t="inlineStr">
        <is>
          <t>auto</t>
        </is>
      </c>
      <c r="F187" s="30" t="inlineStr">
        <is>
          <t>automobiles - lcvs / hcvs</t>
        </is>
      </c>
      <c r="G187" s="30" t="inlineStr">
        <is>
          <t>midcap</t>
        </is>
      </c>
      <c r="H187" s="31" t="n">
        <v>9877.620000000001</v>
      </c>
      <c r="I187" s="31" t="n">
        <v>6515.5</v>
      </c>
      <c r="J187" s="31" t="n">
        <v>-4.54</v>
      </c>
      <c r="K187" s="31" t="n">
        <v>67169</v>
      </c>
      <c r="L187" s="30" t="inlineStr"/>
      <c r="M187" s="30" t="inlineStr"/>
      <c r="N187" s="31">
        <f>IF(M187="Underperforming",-5,IF(L187&gt;=95,15,IF(L187&gt;=90,10,IF(L187&gt;=80,5,0))))</f>
        <v/>
      </c>
      <c r="O187" s="31" t="n">
        <v>71.31</v>
      </c>
      <c r="P187" s="31" t="n">
        <v>33.62</v>
      </c>
      <c r="Q187" s="31" t="inlineStr"/>
      <c r="R187" s="30" t="inlineStr">
        <is>
          <t>Earnings / Momentum Support</t>
        </is>
      </c>
      <c r="S187" s="30" t="inlineStr">
        <is>
          <t>Nifty Auto</t>
        </is>
      </c>
      <c r="T187" s="31" t="inlineStr"/>
      <c r="U187" s="31" t="inlineStr"/>
      <c r="V187" s="31" t="inlineStr"/>
      <c r="W187" s="31" t="inlineStr"/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Headwind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3</t>
        </is>
      </c>
      <c r="BC187" s="30">
        <f>IF(BB187="Stage 2",20,IF(BB187="Stage 1",0,IF(BB187="Stage 3",5,IF(BB187="Stage 4",-5,0))))</f>
        <v/>
      </c>
      <c r="BD187" s="30" t="inlineStr">
        <is>
          <t>Negative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IF(B188=0,"",RANK(B188,$B$2:$B$226,0))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MANINDS</t>
        </is>
      </c>
      <c r="D188" s="30" t="inlineStr">
        <is>
          <t>Man Industries (india) Limited</t>
        </is>
      </c>
      <c r="E188" s="30" t="inlineStr">
        <is>
          <t>metals &amp; mining</t>
        </is>
      </c>
      <c r="F188" s="30" t="inlineStr">
        <is>
          <t>steel - medium / small</t>
        </is>
      </c>
      <c r="G188" s="30" t="inlineStr">
        <is>
          <t>midcap</t>
        </is>
      </c>
      <c r="H188" s="31" t="n">
        <v>7653.6</v>
      </c>
      <c r="I188" s="31" t="n">
        <v>953.35</v>
      </c>
      <c r="J188" s="31" t="n">
        <v>-6.57</v>
      </c>
      <c r="K188" s="31" t="n">
        <v>1294722</v>
      </c>
      <c r="L188" s="30" t="inlineStr"/>
      <c r="M188" s="30" t="inlineStr"/>
      <c r="N188" s="31">
        <f>IF(M188="Underperforming",-5,IF(L188&gt;=95,15,IF(L188&gt;=90,10,IF(L188&gt;=80,5,0))))</f>
        <v/>
      </c>
      <c r="O188" s="31" t="n">
        <v>83.56</v>
      </c>
      <c r="P188" s="31" t="n">
        <v>43.19</v>
      </c>
      <c r="Q188" s="31" t="inlineStr"/>
      <c r="R188" s="30" t="inlineStr">
        <is>
          <t>Earnings / Momentum Support</t>
        </is>
      </c>
      <c r="S188" s="30" t="inlineStr">
        <is>
          <t>Nifty Metal</t>
        </is>
      </c>
      <c r="T188" s="31" t="inlineStr"/>
      <c r="U188" s="31" t="inlineStr"/>
      <c r="V188" s="31" t="inlineStr"/>
      <c r="W188" s="31" t="inlineStr"/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Headwind</t>
        </is>
      </c>
      <c r="AE188" s="30">
        <f>IF(AD188="Tailwind",10,0)</f>
        <v/>
      </c>
      <c r="AF188" s="30" t="inlineStr">
        <is>
          <t>Cyclical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Volatile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Above 40</t>
        </is>
      </c>
      <c r="AY188" s="30">
        <f>IF(AX188="Above 40",20,IF(AX188="20 to 40",10,IF(AX188="0 to 20",-5,0)))</f>
        <v/>
      </c>
      <c r="AZ188" s="30" t="inlineStr">
        <is>
          <t>Above 75</t>
        </is>
      </c>
      <c r="BA188" s="30">
        <f>IF(AZ188="Between 50 to 75",10,IF(AZ188="Above 75",0,0))</f>
        <v/>
      </c>
      <c r="BB188" s="30" t="inlineStr">
        <is>
          <t>Stage 3</t>
        </is>
      </c>
      <c r="BC188" s="30">
        <f>IF(BB188="Stage 2",20,IF(BB188="Stage 1",0,IF(BB188="Stage 3",5,IF(BB188="Stage 4",-5,0))))</f>
        <v/>
      </c>
      <c r="BD188" s="30" t="inlineStr">
        <is>
          <t>Negative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IF(B189=0,"",RANK(B189,$B$2:$B$226,0))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2" t="inlineStr">
        <is>
          <t>INDGN</t>
        </is>
      </c>
      <c r="D189" s="32" t="inlineStr">
        <is>
          <t>Indegene Ltd</t>
        </is>
      </c>
      <c r="E189" s="30" t="inlineStr">
        <is>
          <t>healthcare</t>
        </is>
      </c>
      <c r="F189" s="30" t="inlineStr">
        <is>
          <t>miscellaneous</t>
        </is>
      </c>
      <c r="G189" s="30" t="inlineStr">
        <is>
          <t>midcap</t>
        </is>
      </c>
      <c r="H189" s="31" t="n">
        <v>14672.91</v>
      </c>
      <c r="I189" s="31" t="n">
        <v>613.3</v>
      </c>
      <c r="J189" s="31" t="n">
        <v>0.71</v>
      </c>
      <c r="K189" s="31" t="n">
        <v>744751</v>
      </c>
      <c r="L189" s="30" t="n">
        <v>14</v>
      </c>
      <c r="M189" s="30" t="inlineStr">
        <is>
          <t>Underperforming</t>
        </is>
      </c>
      <c r="N189" s="31">
        <f>IF(M189="Underperforming",-5,IF(L189&gt;=95,15,IF(L189&gt;=90,10,IF(L189&gt;=80,5,0))))</f>
        <v/>
      </c>
      <c r="O189" s="31" t="n">
        <v>67.79000000000001</v>
      </c>
      <c r="P189" s="31" t="n">
        <v>24.12</v>
      </c>
      <c r="Q189" s="31" t="inlineStr"/>
      <c r="R189" s="30" t="inlineStr">
        <is>
          <t>Earnings / Momentum Support</t>
        </is>
      </c>
      <c r="S189" s="30" t="inlineStr">
        <is>
          <t>Nifty Pharma</t>
        </is>
      </c>
      <c r="T189" s="31" t="n">
        <v>25.55</v>
      </c>
      <c r="U189" s="31" t="n">
        <v>6.3</v>
      </c>
      <c r="V189" s="31" t="n">
        <v>-15.34</v>
      </c>
      <c r="W189" s="31" t="n">
        <v>5.61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Yes</t>
        </is>
      </c>
      <c r="AC189" s="30">
        <f>IF(AB189="No",5,0)</f>
        <v/>
      </c>
      <c r="AD189" s="30" t="inlineStr">
        <is>
          <t>Headwind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No</t>
        </is>
      </c>
      <c r="AQ189" s="30">
        <f>IF(AP189="Yes",10,0)</f>
        <v/>
      </c>
      <c r="AR189" s="30" t="inlineStr">
        <is>
          <t>Higher Annuity, Lower One Time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3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IF(B190=0,"",RANK(B190,$B$2:$B$226,0))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WINDLAS</t>
        </is>
      </c>
      <c r="D190" s="32" t="inlineStr">
        <is>
          <t>Windlas Biotech Ltd</t>
        </is>
      </c>
      <c r="E190" s="30" t="inlineStr">
        <is>
          <t>healthcare</t>
        </is>
      </c>
      <c r="F190" s="30" t="inlineStr">
        <is>
          <t>pharmaceuticals - indian - formulations</t>
        </is>
      </c>
      <c r="G190" s="30" t="inlineStr">
        <is>
          <t>smallcap</t>
        </is>
      </c>
      <c r="H190" s="31" t="n">
        <v>2275.25</v>
      </c>
      <c r="I190" s="31" t="n">
        <v>1102.55</v>
      </c>
      <c r="J190" s="31" t="n">
        <v>0</v>
      </c>
      <c r="K190" s="31" t="n">
        <v>116391</v>
      </c>
      <c r="L190" s="30" t="n">
        <v>29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73.72</v>
      </c>
      <c r="P190" s="31" t="n">
        <v>38.16</v>
      </c>
      <c r="Q190" s="31" t="inlineStr"/>
      <c r="R190" s="30" t="inlineStr">
        <is>
          <t>Earnings / Momentum Support</t>
        </is>
      </c>
      <c r="S190" s="30" t="inlineStr">
        <is>
          <t>Nifty Pharma</t>
        </is>
      </c>
      <c r="T190" s="31" t="n">
        <v>25.55</v>
      </c>
      <c r="U190" s="31" t="n">
        <v>20.39</v>
      </c>
      <c r="V190" s="31" t="n">
        <v>-4.11</v>
      </c>
      <c r="W190" s="31" t="n">
        <v>10.66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Yes</t>
        </is>
      </c>
      <c r="AC190" s="30">
        <f>IF(AB190="No",5,0)</f>
        <v/>
      </c>
      <c r="AD190" s="30" t="inlineStr">
        <is>
          <t>Headwind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Annuity, Lower One Time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3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IF(B191=0,"",RANK(B191,$B$2:$B$226,0))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AXISCADES</t>
        </is>
      </c>
      <c r="D191" s="30" t="inlineStr">
        <is>
          <t>AXISCADES Technologies Ltd</t>
        </is>
      </c>
      <c r="E191" s="30" t="inlineStr">
        <is>
          <t>aerospace &amp; defence</t>
        </is>
      </c>
      <c r="F191" s="30" t="inlineStr">
        <is>
          <t>computers - software - medium / small</t>
        </is>
      </c>
      <c r="G191" s="30" t="inlineStr">
        <is>
          <t>midcap</t>
        </is>
      </c>
      <c r="H191" s="31" t="n">
        <v>8047.29</v>
      </c>
      <c r="I191" s="31" t="n">
        <v>1879.5</v>
      </c>
      <c r="J191" s="31" t="n">
        <v>-0.67</v>
      </c>
      <c r="K191" s="31" t="n">
        <v>278673</v>
      </c>
      <c r="L191" s="30" t="n">
        <v>16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59.99</v>
      </c>
      <c r="P191" s="31" t="n">
        <v>11.29</v>
      </c>
      <c r="Q191" s="31" t="inlineStr"/>
      <c r="R191" s="30" t="inlineStr">
        <is>
          <t>Earnings / Momentum Support</t>
        </is>
      </c>
      <c r="S191" s="30" t="inlineStr">
        <is>
          <t>Nifty IT</t>
        </is>
      </c>
      <c r="T191" s="31" t="n">
        <v>-16.44</v>
      </c>
      <c r="U191" s="31" t="n">
        <v>15.34</v>
      </c>
      <c r="V191" s="31" t="n">
        <v>38.04</v>
      </c>
      <c r="W191" s="31" t="n">
        <v>6.13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Headwind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Annuity, Lower One Time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3</t>
        </is>
      </c>
      <c r="BC191" s="30">
        <f>IF(BB191="Stage 2",20,IF(BB191="Stage 1",0,IF(BB191="Stage 3",5,IF(BB191="Stage 4",-5,0))))</f>
        <v/>
      </c>
      <c r="BD191" s="30" t="inlineStr">
        <is>
          <t>Negative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IF(B192=0,"",RANK(B192,$B$2:$B$226,0))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KOPRAN</t>
        </is>
      </c>
      <c r="D192" s="30" t="inlineStr">
        <is>
          <t>Kopran Limited</t>
        </is>
      </c>
      <c r="E192" s="30" t="inlineStr">
        <is>
          <t>healthcare</t>
        </is>
      </c>
      <c r="F192" s="30" t="inlineStr">
        <is>
          <t>pharmaceuticals - indian - bulk drugs &amp; formln</t>
        </is>
      </c>
      <c r="G192" s="30" t="inlineStr">
        <is>
          <t>smallcap</t>
        </is>
      </c>
      <c r="H192" s="31" t="n">
        <v>1373.87</v>
      </c>
      <c r="I192" s="31" t="n">
        <v>277.97</v>
      </c>
      <c r="J192" s="31" t="n">
        <v>-2.31</v>
      </c>
      <c r="K192" s="31" t="n">
        <v>1132745</v>
      </c>
      <c r="L192" s="30" t="n">
        <v>73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79.44</v>
      </c>
      <c r="P192" s="31" t="n">
        <v>44.13</v>
      </c>
      <c r="Q192" s="31" t="inlineStr"/>
      <c r="R192" s="30" t="inlineStr">
        <is>
          <t>Earnings / Momentum Support</t>
        </is>
      </c>
      <c r="S192" s="30" t="inlineStr">
        <is>
          <t>Nifty Pharma</t>
        </is>
      </c>
      <c r="T192" s="31" t="n">
        <v>25.55</v>
      </c>
      <c r="U192" s="31" t="n">
        <v>66.63</v>
      </c>
      <c r="V192" s="31" t="n">
        <v>32.71</v>
      </c>
      <c r="W192" s="31" t="n">
        <v>26.86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Yes</t>
        </is>
      </c>
      <c r="AC192" s="30">
        <f>IF(AB192="No",5,0)</f>
        <v/>
      </c>
      <c r="AD192" s="30" t="inlineStr">
        <is>
          <t>Headwind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Annuity, Lower One Time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Above 40</t>
        </is>
      </c>
      <c r="AY192" s="30">
        <f>IF(AX192="Above 40",20,IF(AX192="20 to 40",10,IF(AX192="0 to 20",-5,0)))</f>
        <v/>
      </c>
      <c r="AZ192" s="30" t="inlineStr">
        <is>
          <t>Above 75</t>
        </is>
      </c>
      <c r="BA192" s="30">
        <f>IF(AZ192="Between 50 to 75",10,IF(AZ192="Above 75",0,0))</f>
        <v/>
      </c>
      <c r="BB192" s="30" t="inlineStr">
        <is>
          <t>Stage 3</t>
        </is>
      </c>
      <c r="BC192" s="30">
        <f>IF(BB192="Stage 2",20,IF(BB192="Stage 1",0,IF(BB192="Stage 3",5,IF(BB192="Stage 4",-5,0))))</f>
        <v/>
      </c>
      <c r="BD192" s="30" t="inlineStr">
        <is>
          <t>Negative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Less than 12%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IF(B193=0,"",RANK(B193,$B$2:$B$226,0))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SMSPHARMA</t>
        </is>
      </c>
      <c r="D193" s="30" t="inlineStr">
        <is>
          <t>Sms Pharmaceuticals Limited</t>
        </is>
      </c>
      <c r="E193" s="30" t="inlineStr">
        <is>
          <t>healthcare</t>
        </is>
      </c>
      <c r="F193" s="30" t="inlineStr">
        <is>
          <t>pharmaceuticals - indian - bulk drugs</t>
        </is>
      </c>
      <c r="G193" s="30" t="inlineStr">
        <is>
          <t>smallcap</t>
        </is>
      </c>
      <c r="H193" s="31" t="n">
        <v>4448.47</v>
      </c>
      <c r="I193" s="31" t="n">
        <v>462.15</v>
      </c>
      <c r="J193" s="31" t="n">
        <v>-2.71</v>
      </c>
      <c r="K193" s="31" t="n">
        <v>387779</v>
      </c>
      <c r="L193" s="30" t="n">
        <v>55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67.40000000000001</v>
      </c>
      <c r="P193" s="31" t="n">
        <v>35.74</v>
      </c>
      <c r="Q193" s="31" t="inlineStr"/>
      <c r="R193" s="30" t="inlineStr">
        <is>
          <t>Earnings / Momentum Support</t>
        </is>
      </c>
      <c r="S193" s="30" t="inlineStr">
        <is>
          <t>Nifty Pharma</t>
        </is>
      </c>
      <c r="T193" s="31" t="n">
        <v>25.55</v>
      </c>
      <c r="U193" s="31" t="n">
        <v>88.89</v>
      </c>
      <c r="V193" s="31" t="n">
        <v>50.45</v>
      </c>
      <c r="W193" s="31" t="n">
        <v>19.56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Yes</t>
        </is>
      </c>
      <c r="AC193" s="30">
        <f>IF(AB193="No",5,0)</f>
        <v/>
      </c>
      <c r="AD193" s="30" t="inlineStr">
        <is>
          <t>Headwind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No</t>
        </is>
      </c>
      <c r="AQ193" s="30">
        <f>IF(AP193="Yes",10,0)</f>
        <v/>
      </c>
      <c r="AR193" s="30" t="inlineStr">
        <is>
          <t>Higher Annuity, Lower One Time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3</t>
        </is>
      </c>
      <c r="BC193" s="30">
        <f>IF(BB193="Stage 2",20,IF(BB193="Stage 1",0,IF(BB193="Stage 3",5,IF(BB193="Stage 4",-5,0))))</f>
        <v/>
      </c>
      <c r="BD193" s="30" t="inlineStr">
        <is>
          <t>Negative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IF(B194=0,"",RANK(B194,$B$2:$B$226,0))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PRIMO</t>
        </is>
      </c>
      <c r="D194" s="30" t="inlineStr">
        <is>
          <t>Primo Chemicals Ltd</t>
        </is>
      </c>
      <c r="E194" s="30" t="inlineStr">
        <is>
          <t>chemicals</t>
        </is>
      </c>
      <c r="F194" s="30" t="inlineStr">
        <is>
          <t>chlor alkali / soda ash</t>
        </is>
      </c>
      <c r="G194" s="30" t="inlineStr">
        <is>
          <t>smallcap</t>
        </is>
      </c>
      <c r="H194" s="31" t="n">
        <v>612.64</v>
      </c>
      <c r="I194" s="31" t="n">
        <v>28.13</v>
      </c>
      <c r="J194" s="31" t="n">
        <v>11.27</v>
      </c>
      <c r="K194" s="31" t="n">
        <v>4154950</v>
      </c>
      <c r="L194" s="30" t="n">
        <v>9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54.76</v>
      </c>
      <c r="P194" s="31" t="n">
        <v>17.78</v>
      </c>
      <c r="Q194" s="31" t="inlineStr"/>
      <c r="R194" s="30" t="inlineStr">
        <is>
          <t>Volume Spike / Accumulation</t>
        </is>
      </c>
      <c r="S194" s="30" t="inlineStr">
        <is>
          <t>Nifty 50</t>
        </is>
      </c>
      <c r="T194" s="31" t="n">
        <v>-6.14</v>
      </c>
      <c r="U194" s="31" t="n">
        <v>4.68</v>
      </c>
      <c r="V194" s="31" t="n">
        <v>11.53</v>
      </c>
      <c r="W194" s="31" t="n">
        <v>4.14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Headwind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0 to 20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3</t>
        </is>
      </c>
      <c r="BC194" s="30">
        <f>IF(BB194="Stage 2",20,IF(BB194="Stage 1",0,IF(BB194="Stage 3",5,IF(BB194="Stage 4",-5,0))))</f>
        <v/>
      </c>
      <c r="BD194" s="30" t="inlineStr">
        <is>
          <t>Negative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IF(B195=0,"",RANK(B195,$B$2:$B$226,0))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QPOWER</t>
        </is>
      </c>
      <c r="D195" s="30" t="inlineStr">
        <is>
          <t>Quality Power Electrical Equipments Ltd</t>
        </is>
      </c>
      <c r="E195" s="30" t="inlineStr">
        <is>
          <t>industrials</t>
        </is>
      </c>
      <c r="F195" s="30" t="inlineStr">
        <is>
          <t>electric equipment</t>
        </is>
      </c>
      <c r="G195" s="30" t="inlineStr">
        <is>
          <t>midcap</t>
        </is>
      </c>
      <c r="H195" s="31" t="n">
        <v>11754.47</v>
      </c>
      <c r="I195" s="31" t="n">
        <v>1592.7</v>
      </c>
      <c r="J195" s="31" t="n">
        <v>4.93</v>
      </c>
      <c r="K195" s="31" t="n">
        <v>365360</v>
      </c>
      <c r="L195" s="30" t="n">
        <v>44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65.88</v>
      </c>
      <c r="P195" s="31" t="n">
        <v>19.08</v>
      </c>
      <c r="Q195" s="31" t="inlineStr"/>
      <c r="R195" s="30" t="inlineStr">
        <is>
          <t>Earnings / Momentum Support</t>
        </is>
      </c>
      <c r="S195" s="30" t="inlineStr">
        <is>
          <t>Nifty 50</t>
        </is>
      </c>
      <c r="T195" s="31" t="n">
        <v>-6.14</v>
      </c>
      <c r="U195" s="31" t="n">
        <v>49.9</v>
      </c>
      <c r="V195" s="31" t="n">
        <v>59.7</v>
      </c>
      <c r="W195" s="31" t="n">
        <v>15.41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Headwind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3</t>
        </is>
      </c>
      <c r="BC195" s="30">
        <f>IF(BB195="Stage 2",20,IF(BB195="Stage 1",0,IF(BB195="Stage 3",5,IF(BB195="Stage 4",-5,0))))</f>
        <v/>
      </c>
      <c r="BD195" s="30" t="inlineStr">
        <is>
          <t>Negative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IF(B196=0,"",RANK(B196,$B$2:$B$226,0))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PRIVISCL</t>
        </is>
      </c>
      <c r="D196" s="30" t="inlineStr">
        <is>
          <t>Privi Speciality Chemicals Ltd</t>
        </is>
      </c>
      <c r="E196" s="30" t="inlineStr">
        <is>
          <t>chemicals</t>
        </is>
      </c>
      <c r="F196" s="30" t="inlineStr">
        <is>
          <t>chemicals</t>
        </is>
      </c>
      <c r="G196" s="30" t="inlineStr">
        <is>
          <t>midcap</t>
        </is>
      </c>
      <c r="H196" s="31" t="n">
        <v>14039.53</v>
      </c>
      <c r="I196" s="31" t="n">
        <v>3605.3</v>
      </c>
      <c r="J196" s="31" t="n">
        <v>0.31</v>
      </c>
      <c r="K196" s="31" t="n">
        <v>81986</v>
      </c>
      <c r="L196" s="30" t="n">
        <v>27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58.55</v>
      </c>
      <c r="P196" s="31" t="n">
        <v>17.37</v>
      </c>
      <c r="Q196" s="31" t="inlineStr"/>
      <c r="R196" s="30" t="inlineStr">
        <is>
          <t>Earnings / Momentum Support</t>
        </is>
      </c>
      <c r="S196" s="30" t="inlineStr">
        <is>
          <t>Nifty 50</t>
        </is>
      </c>
      <c r="T196" s="31" t="n">
        <v>-6.14</v>
      </c>
      <c r="U196" s="31" t="n">
        <v>52.56</v>
      </c>
      <c r="V196" s="31" t="n">
        <v>62.54</v>
      </c>
      <c r="W196" s="31" t="n">
        <v>10.37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Headwind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3</t>
        </is>
      </c>
      <c r="BC196" s="30">
        <f>IF(BB196="Stage 2",20,IF(BB196="Stage 1",0,IF(BB196="Stage 3",5,IF(BB196="Stage 4",-5,0))))</f>
        <v/>
      </c>
      <c r="BD196" s="30" t="inlineStr">
        <is>
          <t>Negative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Between 0.7 to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IF(B197=0,"",RANK(B197,$B$2:$B$226,0))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YUKEN</t>
        </is>
      </c>
      <c r="D197" s="30" t="inlineStr">
        <is>
          <t>Yuken India Ltd</t>
        </is>
      </c>
      <c r="E197" s="30" t="inlineStr">
        <is>
          <t>industrials</t>
        </is>
      </c>
      <c r="F197" s="30" t="inlineStr">
        <is>
          <t>engineering</t>
        </is>
      </c>
      <c r="G197" s="30" t="inlineStr">
        <is>
          <t>smallcap</t>
        </is>
      </c>
      <c r="H197" s="31" t="n">
        <v>1531.73</v>
      </c>
      <c r="I197" s="31" t="n">
        <v>1125.85</v>
      </c>
      <c r="J197" s="31" t="n">
        <v>-0.16</v>
      </c>
      <c r="K197" s="31" t="n">
        <v>14989</v>
      </c>
      <c r="L197" s="30" t="n">
        <v>49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76.18000000000001</v>
      </c>
      <c r="P197" s="31" t="n">
        <v>35.46</v>
      </c>
      <c r="Q197" s="31" t="inlineStr"/>
      <c r="R197" s="30" t="inlineStr">
        <is>
          <t>Earnings / Momentum Support</t>
        </is>
      </c>
      <c r="S197" s="30" t="inlineStr">
        <is>
          <t>Nifty 50</t>
        </is>
      </c>
      <c r="T197" s="31" t="n">
        <v>-6.14</v>
      </c>
      <c r="U197" s="31" t="n">
        <v>16.29</v>
      </c>
      <c r="V197" s="31" t="n">
        <v>23.9</v>
      </c>
      <c r="W197" s="31" t="n">
        <v>16.72</v>
      </c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Above 75</t>
        </is>
      </c>
      <c r="BA197" s="30">
        <f>IF(AZ197="Between 50 to 75",10,IF(AZ197="Above 75",0,0))</f>
        <v/>
      </c>
      <c r="BB197" s="30" t="inlineStr">
        <is>
          <t>Stage 3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IF(B198=0,"",RANK(B198,$B$2:$B$226,0))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MAHSEAMLES</t>
        </is>
      </c>
      <c r="D198" s="30" t="inlineStr">
        <is>
          <t>Maharashtra Seamless Limited</t>
        </is>
      </c>
      <c r="E198" s="30" t="inlineStr">
        <is>
          <t>metals &amp; mining</t>
        </is>
      </c>
      <c r="F198" s="30" t="inlineStr">
        <is>
          <t>steel - medium / small</t>
        </is>
      </c>
      <c r="G198" s="30" t="inlineStr">
        <is>
          <t>midcap</t>
        </is>
      </c>
      <c r="H198" s="31" t="n">
        <v>9589.66</v>
      </c>
      <c r="I198" s="31" t="n">
        <v>714.35</v>
      </c>
      <c r="J198" s="31" t="n">
        <v>-0.18</v>
      </c>
      <c r="K198" s="31" t="n">
        <v>214768</v>
      </c>
      <c r="L198" s="30" t="inlineStr"/>
      <c r="M198" s="30" t="inlineStr"/>
      <c r="N198" s="31">
        <f>IF(M198="Underperforming",-5,IF(L198&gt;=95,15,IF(L198&gt;=90,10,IF(L198&gt;=80,5,0))))</f>
        <v/>
      </c>
      <c r="O198" s="31" t="n">
        <v>71.14</v>
      </c>
      <c r="P198" s="31" t="n">
        <v>26.16</v>
      </c>
      <c r="Q198" s="31" t="inlineStr"/>
      <c r="R198" s="30" t="inlineStr">
        <is>
          <t>Earnings / Momentum Support</t>
        </is>
      </c>
      <c r="S198" s="30" t="inlineStr">
        <is>
          <t>Nifty Metal</t>
        </is>
      </c>
      <c r="T198" s="31" t="inlineStr"/>
      <c r="U198" s="31" t="inlineStr"/>
      <c r="V198" s="31" t="inlineStr"/>
      <c r="W198" s="31" t="inlineStr"/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Headwind</t>
        </is>
      </c>
      <c r="AE198" s="30">
        <f>IF(AD198="Tailwind",10,0)</f>
        <v/>
      </c>
      <c r="AF198" s="30" t="inlineStr">
        <is>
          <t>Cyclical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Volatile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3</t>
        </is>
      </c>
      <c r="BC198" s="30">
        <f>IF(BB198="Stage 2",20,IF(BB198="Stage 1",0,IF(BB198="Stage 3",5,IF(BB198="Stage 4",-5,0))))</f>
        <v/>
      </c>
      <c r="BD198" s="30" t="inlineStr">
        <is>
          <t>Negative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Between 12 to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IF(B199=0,"",RANK(B199,$B$2:$B$226,0))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DEEPINDS</t>
        </is>
      </c>
      <c r="D199" s="30" t="inlineStr">
        <is>
          <t>Deep Industries Ltd</t>
        </is>
      </c>
      <c r="E199" s="30" t="inlineStr">
        <is>
          <t>energy</t>
        </is>
      </c>
      <c r="F199" s="30" t="inlineStr">
        <is>
          <t>oil drilling / allied services</t>
        </is>
      </c>
      <c r="G199" s="30" t="inlineStr">
        <is>
          <t>smallcap</t>
        </is>
      </c>
      <c r="H199" s="31" t="n">
        <v>4999.04</v>
      </c>
      <c r="I199" s="31" t="n">
        <v>768</v>
      </c>
      <c r="J199" s="31" t="n">
        <v>-1.68</v>
      </c>
      <c r="K199" s="31" t="n">
        <v>157606</v>
      </c>
      <c r="L199" s="30" t="inlineStr"/>
      <c r="M199" s="30" t="inlineStr"/>
      <c r="N199" s="31">
        <f>IF(M199="Underperforming",-5,IF(L199&gt;=95,15,IF(L199&gt;=90,10,IF(L199&gt;=80,5,0))))</f>
        <v/>
      </c>
      <c r="O199" s="31" t="n">
        <v>74.87</v>
      </c>
      <c r="P199" s="31" t="n">
        <v>37.07</v>
      </c>
      <c r="Q199" s="31" t="inlineStr"/>
      <c r="R199" s="30" t="inlineStr">
        <is>
          <t>Earnings / Momentum Support</t>
        </is>
      </c>
      <c r="S199" s="30" t="inlineStr">
        <is>
          <t>Nifty Energy</t>
        </is>
      </c>
      <c r="T199" s="31" t="inlineStr"/>
      <c r="U199" s="31" t="inlineStr"/>
      <c r="V199" s="31" t="inlineStr"/>
      <c r="W199" s="31" t="inlineStr"/>
      <c r="X199" s="30" t="inlineStr">
        <is>
          <t>Cyclical in an Upturn</t>
        </is>
      </c>
      <c r="Y199" s="30">
        <f>IF(X199="Growing Industry",10,IF(X199="Cyclical in an Upturn",5,0))</f>
        <v/>
      </c>
      <c r="Z199" s="30" t="inlineStr">
        <is>
          <t>Oligopoly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Headwind</t>
        </is>
      </c>
      <c r="AE199" s="30">
        <f>IF(AD199="Tailwind",10,0)</f>
        <v/>
      </c>
      <c r="AF199" s="30" t="inlineStr">
        <is>
          <t>Cyclical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Volatile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3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Less than 1.5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IF(B200=0,"",RANK(B200,$B$2:$B$226,0))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GREAVESCOT</t>
        </is>
      </c>
      <c r="D200" s="30" t="inlineStr">
        <is>
          <t>Greaves Cotton Limited</t>
        </is>
      </c>
      <c r="E200" s="30" t="inlineStr">
        <is>
          <t>industrials</t>
        </is>
      </c>
      <c r="F200" s="30" t="inlineStr">
        <is>
          <t>engines</t>
        </is>
      </c>
      <c r="G200" s="30" t="inlineStr">
        <is>
          <t>midcap</t>
        </is>
      </c>
      <c r="H200" s="31" t="n">
        <v>5469.23</v>
      </c>
      <c r="I200" s="31" t="n">
        <v>230.4</v>
      </c>
      <c r="J200" s="31" t="n">
        <v>-1.87</v>
      </c>
      <c r="K200" s="31" t="n">
        <v>2537265</v>
      </c>
      <c r="L200" s="30" t="n">
        <v>23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62.64</v>
      </c>
      <c r="P200" s="31" t="n">
        <v>25.86</v>
      </c>
      <c r="Q200" s="31" t="inlineStr"/>
      <c r="R200" s="30" t="inlineStr">
        <is>
          <t>Earnings / Momentum Support</t>
        </is>
      </c>
      <c r="S200" s="30" t="inlineStr">
        <is>
          <t>Nifty 50</t>
        </is>
      </c>
      <c r="T200" s="31" t="n">
        <v>-6.14</v>
      </c>
      <c r="U200" s="31" t="n">
        <v>9.289999999999999</v>
      </c>
      <c r="V200" s="31" t="n">
        <v>16.44</v>
      </c>
      <c r="W200" s="31" t="n">
        <v>8.81</v>
      </c>
      <c r="X200" s="30" t="inlineStr">
        <is>
          <t>Cyclical in an Upturn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Headwind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3</t>
        </is>
      </c>
      <c r="BC200" s="30">
        <f>IF(BB200="Stage 2",20,IF(BB200="Stage 1",0,IF(BB200="Stage 3",5,IF(BB200="Stage 4",-5,0))))</f>
        <v/>
      </c>
      <c r="BD200" s="30" t="inlineStr">
        <is>
          <t>Negative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IF(B201=0,"",RANK(B201,$B$2:$B$226,0))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SUNFLAG</t>
        </is>
      </c>
      <c r="D201" s="30" t="inlineStr">
        <is>
          <t>Sunflag Iron And Steel Company Limited</t>
        </is>
      </c>
      <c r="E201" s="30" t="inlineStr">
        <is>
          <t>metals &amp; mining</t>
        </is>
      </c>
      <c r="F201" s="30" t="inlineStr">
        <is>
          <t>steel - medium / small</t>
        </is>
      </c>
      <c r="G201" s="30" t="inlineStr">
        <is>
          <t>midcap</t>
        </is>
      </c>
      <c r="H201" s="31" t="n">
        <v>7400.71</v>
      </c>
      <c r="I201" s="31" t="n">
        <v>449.2</v>
      </c>
      <c r="J201" s="31" t="n">
        <v>9.390000000000001</v>
      </c>
      <c r="K201" s="31" t="n">
        <v>4467850</v>
      </c>
      <c r="L201" s="30" t="inlineStr"/>
      <c r="M201" s="30" t="inlineStr"/>
      <c r="N201" s="31">
        <f>IF(M201="Underperforming",-5,IF(L201&gt;=95,15,IF(L201&gt;=90,10,IF(L201&gt;=80,5,0))))</f>
        <v/>
      </c>
      <c r="O201" s="31" t="n">
        <v>67.26000000000001</v>
      </c>
      <c r="P201" s="31" t="n">
        <v>32.61</v>
      </c>
      <c r="Q201" s="31" t="inlineStr"/>
      <c r="R201" s="30" t="inlineStr">
        <is>
          <t>Volume Spike / Accumulation</t>
        </is>
      </c>
      <c r="S201" s="30" t="inlineStr">
        <is>
          <t>Nifty Metal</t>
        </is>
      </c>
      <c r="T201" s="31" t="inlineStr"/>
      <c r="U201" s="31" t="inlineStr"/>
      <c r="V201" s="31" t="inlineStr"/>
      <c r="W201" s="31" t="inlineStr"/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Headwind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Volatile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3</t>
        </is>
      </c>
      <c r="BC201" s="30">
        <f>IF(BB201="Stage 2",20,IF(BB201="Stage 1",0,IF(BB201="Stage 3",5,IF(BB201="Stage 4",-5,0))))</f>
        <v/>
      </c>
      <c r="BD201" s="30" t="inlineStr">
        <is>
          <t>Negative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IF(B202=0,"",RANK(B202,$B$2:$B$226,0))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MUKANDLTD</t>
        </is>
      </c>
      <c r="D202" s="30" t="inlineStr">
        <is>
          <t>Mukand Limited</t>
        </is>
      </c>
      <c r="E202" s="30" t="inlineStr">
        <is>
          <t>metals &amp; mining</t>
        </is>
      </c>
      <c r="F202" s="30" t="inlineStr">
        <is>
          <t>steel - medium / small</t>
        </is>
      </c>
      <c r="G202" s="30" t="inlineStr">
        <is>
          <t>smallcap</t>
        </is>
      </c>
      <c r="H202" s="31" t="n">
        <v>2413.8</v>
      </c>
      <c r="I202" s="31" t="n">
        <v>171.03</v>
      </c>
      <c r="J202" s="31" t="n">
        <v>2.38</v>
      </c>
      <c r="K202" s="31" t="n">
        <v>1597471</v>
      </c>
      <c r="L202" s="30" t="inlineStr"/>
      <c r="M202" s="30" t="inlineStr"/>
      <c r="N202" s="31">
        <f>IF(M202="Underperforming",-5,IF(L202&gt;=95,15,IF(L202&gt;=90,10,IF(L202&gt;=80,5,0))))</f>
        <v/>
      </c>
      <c r="O202" s="31" t="n">
        <v>69.47</v>
      </c>
      <c r="P202" s="31" t="n">
        <v>39.39</v>
      </c>
      <c r="Q202" s="31" t="inlineStr"/>
      <c r="R202" s="30" t="inlineStr">
        <is>
          <t>Earnings / Momentum Support</t>
        </is>
      </c>
      <c r="S202" s="30" t="inlineStr">
        <is>
          <t>Nifty Metal</t>
        </is>
      </c>
      <c r="T202" s="31" t="inlineStr"/>
      <c r="U202" s="31" t="inlineStr"/>
      <c r="V202" s="31" t="inlineStr"/>
      <c r="W202" s="31" t="inlineStr"/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Headwind</t>
        </is>
      </c>
      <c r="AE202" s="30">
        <f>IF(AD202="Tailwind",10,0)</f>
        <v/>
      </c>
      <c r="AF202" s="30" t="inlineStr">
        <is>
          <t>Cyclical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Volatile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3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IF(B203=0,"",RANK(B203,$B$2:$B$226,0))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INDIQUBE</t>
        </is>
      </c>
      <c r="D203" s="32" t="inlineStr">
        <is>
          <t>Indiqube Spaces Ltd</t>
        </is>
      </c>
      <c r="E203" s="30" t="inlineStr">
        <is>
          <t>co-working</t>
        </is>
      </c>
      <c r="F203" s="30" t="inlineStr">
        <is>
          <t>miscellaneous</t>
        </is>
      </c>
      <c r="G203" s="30" t="inlineStr">
        <is>
          <t>smallcap</t>
        </is>
      </c>
      <c r="H203" s="31" t="n">
        <v>4217.48</v>
      </c>
      <c r="I203" s="31" t="n">
        <v>199.44</v>
      </c>
      <c r="J203" s="31" t="n">
        <v>0.25</v>
      </c>
      <c r="K203" s="31" t="n">
        <v>33774</v>
      </c>
      <c r="L203" s="30" t="n">
        <v>6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58.7</v>
      </c>
      <c r="P203" s="31" t="n">
        <v>21.59</v>
      </c>
      <c r="Q203" s="31" t="inlineStr"/>
      <c r="R203" s="30" t="inlineStr">
        <is>
          <t>Earnings / Momentum Support</t>
        </is>
      </c>
      <c r="S203" s="30" t="inlineStr">
        <is>
          <t>Nifty 50</t>
        </is>
      </c>
      <c r="T203" s="31" t="n">
        <v>-6.14</v>
      </c>
      <c r="U203" s="31" t="n">
        <v>-13.28</v>
      </c>
      <c r="V203" s="31" t="n">
        <v>-7.61</v>
      </c>
      <c r="W203" s="31" t="n">
        <v>3.19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3</t>
        </is>
      </c>
      <c r="BC203" s="30">
        <f>IF(BB203="Stage 2",20,IF(BB203="Stage 1",0,IF(BB203="Stage 3",5,IF(BB203="Stage 4",-5,0))))</f>
        <v/>
      </c>
      <c r="BD203" s="30" t="inlineStr">
        <is>
          <t>Negative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More than 1.2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IF(B204=0,"",RANK(B204,$B$2:$B$226,0))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GOODLUCK</t>
        </is>
      </c>
      <c r="D204" s="30" t="inlineStr">
        <is>
          <t>Goodluck India Limited</t>
        </is>
      </c>
      <c r="E204" s="30" t="inlineStr">
        <is>
          <t>metals &amp; mining</t>
        </is>
      </c>
      <c r="F204" s="30" t="inlineStr">
        <is>
          <t>steel - medium / small</t>
        </is>
      </c>
      <c r="G204" s="30" t="inlineStr">
        <is>
          <t>midcap</t>
        </is>
      </c>
      <c r="H204" s="31" t="n">
        <v>5241.55</v>
      </c>
      <c r="I204" s="31" t="n">
        <v>522</v>
      </c>
      <c r="J204" s="31" t="n">
        <v>-0.6899999999999999</v>
      </c>
      <c r="K204" s="31" t="n">
        <v>283018</v>
      </c>
      <c r="L204" s="30" t="inlineStr"/>
      <c r="M204" s="30" t="inlineStr"/>
      <c r="N204" s="31">
        <f>IF(M204="Underperforming",-5,IF(L204&gt;=95,15,IF(L204&gt;=90,10,IF(L204&gt;=80,5,0))))</f>
        <v/>
      </c>
      <c r="O204" s="31" t="n">
        <v>60.33</v>
      </c>
      <c r="P204" s="31" t="n">
        <v>34.74</v>
      </c>
      <c r="Q204" s="31" t="inlineStr"/>
      <c r="R204" s="30" t="inlineStr">
        <is>
          <t>Earnings / Momentum Support</t>
        </is>
      </c>
      <c r="S204" s="30" t="inlineStr">
        <is>
          <t>Nifty Metal</t>
        </is>
      </c>
      <c r="T204" s="31" t="inlineStr"/>
      <c r="U204" s="31" t="inlineStr"/>
      <c r="V204" s="31" t="inlineStr"/>
      <c r="W204" s="31" t="inlineStr"/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Cyclical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Volatile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3</t>
        </is>
      </c>
      <c r="BC204" s="30">
        <f>IF(BB204="Stage 2",20,IF(BB204="Stage 1",0,IF(BB204="Stage 3",5,IF(BB204="Stage 4",-5,0))))</f>
        <v/>
      </c>
      <c r="BD204" s="30" t="inlineStr">
        <is>
          <t>Negative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Less than 1.5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IF(B205=0,"",RANK(B205,$B$2:$B$226,0))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LIKHITHA</t>
        </is>
      </c>
      <c r="D205" s="30" t="inlineStr">
        <is>
          <t>Likhitha Infrastructure Ltd</t>
        </is>
      </c>
      <c r="E205" s="30" t="inlineStr">
        <is>
          <t>realty</t>
        </is>
      </c>
      <c r="F205" s="30" t="inlineStr">
        <is>
          <t>construction</t>
        </is>
      </c>
      <c r="G205" s="30" t="inlineStr">
        <is>
          <t>smallcap</t>
        </is>
      </c>
      <c r="H205" s="31" t="n">
        <v>908.26</v>
      </c>
      <c r="I205" s="31" t="n">
        <v>228.63</v>
      </c>
      <c r="J205" s="31" t="n">
        <v>-0.7</v>
      </c>
      <c r="K205" s="31" t="n">
        <v>53337</v>
      </c>
      <c r="L205" s="30" t="inlineStr"/>
      <c r="M205" s="30" t="inlineStr"/>
      <c r="N205" s="31">
        <f>IF(M205="Underperforming",-5,IF(L205&gt;=95,15,IF(L205&gt;=90,10,IF(L205&gt;=80,5,0))))</f>
        <v/>
      </c>
      <c r="O205" s="31" t="n">
        <v>55.86</v>
      </c>
      <c r="P205" s="31" t="n">
        <v>17.02</v>
      </c>
      <c r="Q205" s="31" t="inlineStr"/>
      <c r="R205" s="30" t="inlineStr">
        <is>
          <t>Earnings / Momentum Support</t>
        </is>
      </c>
      <c r="S205" s="30" t="inlineStr">
        <is>
          <t>Nifty Realty</t>
        </is>
      </c>
      <c r="T205" s="31" t="inlineStr"/>
      <c r="U205" s="31" t="inlineStr"/>
      <c r="V205" s="31" t="inlineStr"/>
      <c r="W205" s="31" t="inlineStr"/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Headwind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3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IF(B206=0,"",RANK(B206,$B$2:$B$226,0))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SANATHAN</t>
        </is>
      </c>
      <c r="D206" s="30" t="inlineStr">
        <is>
          <t>Sanathan Textiles Ltd</t>
        </is>
      </c>
      <c r="E206" s="30" t="inlineStr">
        <is>
          <t>textiles</t>
        </is>
      </c>
      <c r="F206" s="30" t="inlineStr">
        <is>
          <t>textiles - cotton/blended</t>
        </is>
      </c>
      <c r="G206" s="30" t="inlineStr">
        <is>
          <t>smallcap</t>
        </is>
      </c>
      <c r="H206" s="31" t="n">
        <v>4416.02</v>
      </c>
      <c r="I206" s="31" t="n">
        <v>517.55</v>
      </c>
      <c r="J206" s="31" t="n">
        <v>-1.08</v>
      </c>
      <c r="K206" s="31" t="n">
        <v>74280</v>
      </c>
      <c r="L206" s="30" t="n">
        <v>12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69.53</v>
      </c>
      <c r="P206" s="31" t="n">
        <v>22.42</v>
      </c>
      <c r="Q206" s="31" t="inlineStr"/>
      <c r="R206" s="30" t="inlineStr">
        <is>
          <t>Earnings / Momentum Support</t>
        </is>
      </c>
      <c r="S206" s="30" t="inlineStr">
        <is>
          <t>Nifty 50</t>
        </is>
      </c>
      <c r="T206" s="31" t="n">
        <v>-6.14</v>
      </c>
      <c r="U206" s="31" t="n">
        <v>4.64</v>
      </c>
      <c r="V206" s="31" t="n">
        <v>11.49</v>
      </c>
      <c r="W206" s="31" t="n">
        <v>5.31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Headwind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3</t>
        </is>
      </c>
      <c r="BC206" s="30">
        <f>IF(BB206="Stage 2",20,IF(BB206="Stage 1",0,IF(BB206="Stage 3",5,IF(BB206="Stage 4",-5,0))))</f>
        <v/>
      </c>
      <c r="BD206" s="30" t="inlineStr">
        <is>
          <t>Negative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Between 0.7 to 1.2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IF(B207=0,"",RANK(B207,$B$2:$B$226,0))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GNFC</t>
        </is>
      </c>
      <c r="D207" s="30" t="inlineStr">
        <is>
          <t>Gujarat Narmada Valley Fertilizers And Chemicals Limited</t>
        </is>
      </c>
      <c r="E207" s="30" t="inlineStr">
        <is>
          <t>chemicals</t>
        </is>
      </c>
      <c r="F207" s="30" t="inlineStr">
        <is>
          <t>chemicals</t>
        </is>
      </c>
      <c r="G207" s="30" t="inlineStr">
        <is>
          <t>midcap</t>
        </is>
      </c>
      <c r="H207" s="31" t="n">
        <v>9261.67</v>
      </c>
      <c r="I207" s="31" t="n">
        <v>620.65</v>
      </c>
      <c r="J207" s="31" t="n">
        <v>-1.53</v>
      </c>
      <c r="K207" s="31" t="n">
        <v>495792</v>
      </c>
      <c r="L207" s="30" t="n">
        <v>34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74.20999999999999</v>
      </c>
      <c r="P207" s="31" t="n">
        <v>39.93</v>
      </c>
      <c r="Q207" s="31" t="inlineStr"/>
      <c r="R207" s="30" t="inlineStr">
        <is>
          <t>Earnings / Momentum Support</t>
        </is>
      </c>
      <c r="S207" s="30" t="inlineStr">
        <is>
          <t>Nifty 50</t>
        </is>
      </c>
      <c r="T207" s="31" t="n">
        <v>-6.14</v>
      </c>
      <c r="U207" s="31" t="n">
        <v>31.43</v>
      </c>
      <c r="V207" s="31" t="n">
        <v>40.03</v>
      </c>
      <c r="W207" s="31" t="n">
        <v>11.6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Oligopoly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Shallow Cyclical (2 to 3 Years Growth)</t>
        </is>
      </c>
      <c r="AG207" s="30">
        <f>IF(AF207="Structural (10 Years Consistency)",10,IF(AF207="Shallow Cyclical (2 to 3 years growth)",5,0))</f>
        <v/>
      </c>
      <c r="AH207" s="30" t="inlineStr">
        <is>
          <t>Yes due to Product Mix change or Operating Leverage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Volatile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Allocated capital in Non-core Areas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Above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3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Sideways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Overhead supply in last 2 years in last 2 years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More than 15%</t>
        </is>
      </c>
      <c r="CC207" s="30">
        <f>IF(CB207="More than 15%",-10,IF(CB207="Less than 15%",10,0))</f>
        <v/>
      </c>
      <c r="CD207" s="30" t="inlineStr">
        <is>
          <t>Yes Upto 10%</t>
        </is>
      </c>
      <c r="CE207" s="30">
        <f>IF(CD207="Yes, more than 10%",-10,IF(CD207="No",10,0))</f>
        <v/>
      </c>
    </row>
    <row r="208">
      <c r="A208" s="30">
        <f>IF(B208=0,"",RANK(B208,$B$2:$B$226,0))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UNITEDPOLY</t>
        </is>
      </c>
      <c r="D208" s="30" t="inlineStr">
        <is>
          <t>United Polyfab Gujarat Ltd</t>
        </is>
      </c>
      <c r="E208" s="30" t="inlineStr">
        <is>
          <t>textiles</t>
        </is>
      </c>
      <c r="F208" s="30" t="inlineStr">
        <is>
          <t>textiles - products</t>
        </is>
      </c>
      <c r="G208" s="30" t="inlineStr">
        <is>
          <t>smallcap</t>
        </is>
      </c>
      <c r="H208" s="31" t="n">
        <v>1074.36</v>
      </c>
      <c r="I208" s="31" t="n">
        <v>45.28</v>
      </c>
      <c r="J208" s="31" t="n">
        <v>-3.27</v>
      </c>
      <c r="K208" s="31" t="n">
        <v>54846</v>
      </c>
      <c r="L208" s="30" t="n">
        <v>41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74.97</v>
      </c>
      <c r="P208" s="31" t="n">
        <v>25.73</v>
      </c>
      <c r="Q208" s="31" t="inlineStr"/>
      <c r="R208" s="30" t="inlineStr">
        <is>
          <t>Earnings / Momentum Support</t>
        </is>
      </c>
      <c r="S208" s="30" t="inlineStr">
        <is>
          <t>Nifty 50</t>
        </is>
      </c>
      <c r="T208" s="31" t="n">
        <v>-6.14</v>
      </c>
      <c r="U208" s="31" t="n">
        <v>-5.68</v>
      </c>
      <c r="V208" s="31" t="n">
        <v>0.49</v>
      </c>
      <c r="W208" s="31" t="n">
        <v>14.28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Oligopoly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Shallow Cyclical (2 to 3 Years Growth)</t>
        </is>
      </c>
      <c r="AG208" s="30">
        <f>IF(AF208="Structural (10 Years Consistency)",10,IF(AF208="Shallow Cyclical (2 to 3 years growth)",5,0))</f>
        <v/>
      </c>
      <c r="AH208" s="30" t="inlineStr">
        <is>
          <t>Yes due to Product Mix change or Operating Leverage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Volatile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Allocated capital in Non-core Areas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3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Sideways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Overhead supply in last 2 years in last 2 years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More than 15%</t>
        </is>
      </c>
      <c r="CC208" s="30">
        <f>IF(CB208="More than 15%",-10,IF(CB208="Less than 15%",10,0))</f>
        <v/>
      </c>
      <c r="CD208" s="30" t="inlineStr">
        <is>
          <t>Yes Upto 10%</t>
        </is>
      </c>
      <c r="CE208" s="30">
        <f>IF(CD208="Yes, more than 10%",-10,IF(CD208="No",10,0))</f>
        <v/>
      </c>
    </row>
    <row r="209">
      <c r="A209" s="30">
        <f>IF(B209=0,"",RANK(B209,$B$2:$B$226,0))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MAXESTATES</t>
        </is>
      </c>
      <c r="D209" s="30" t="inlineStr">
        <is>
          <t>Max Estates Ltd</t>
        </is>
      </c>
      <c r="E209" s="30" t="inlineStr">
        <is>
          <t>realty</t>
        </is>
      </c>
      <c r="F209" s="30" t="inlineStr">
        <is>
          <t>construction</t>
        </is>
      </c>
      <c r="G209" s="30" t="inlineStr">
        <is>
          <t>midcap</t>
        </is>
      </c>
      <c r="H209" s="31" t="n">
        <v>9722.370000000001</v>
      </c>
      <c r="I209" s="31" t="n">
        <v>571.85</v>
      </c>
      <c r="J209" s="31" t="n">
        <v>-3.83</v>
      </c>
      <c r="K209" s="31" t="n">
        <v>91772</v>
      </c>
      <c r="L209" s="30" t="inlineStr"/>
      <c r="M209" s="30" t="inlineStr"/>
      <c r="N209" s="31">
        <f>IF(M209="Underperforming",-5,IF(L209&gt;=95,15,IF(L209&gt;=90,10,IF(L209&gt;=80,5,0))))</f>
        <v/>
      </c>
      <c r="O209" s="31" t="n">
        <v>74.97</v>
      </c>
      <c r="P209" s="31" t="n">
        <v>32.97</v>
      </c>
      <c r="Q209" s="31" t="inlineStr"/>
      <c r="R209" s="30" t="inlineStr">
        <is>
          <t>Earnings / Momentum Support</t>
        </is>
      </c>
      <c r="S209" s="30" t="inlineStr">
        <is>
          <t>Nifty Realty</t>
        </is>
      </c>
      <c r="T209" s="31" t="inlineStr"/>
      <c r="U209" s="31" t="inlineStr"/>
      <c r="V209" s="31" t="inlineStr"/>
      <c r="W209" s="31" t="inlineStr"/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Headwind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No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3</t>
        </is>
      </c>
      <c r="BC209" s="30">
        <f>IF(BB209="Stage 2",20,IF(BB209="Stage 1",0,IF(BB209="Stage 3",5,IF(BB209="Stage 4",-5,0))))</f>
        <v/>
      </c>
      <c r="BD209" s="30" t="inlineStr">
        <is>
          <t>Negative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Between 0.7 to 1.2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IF(B210=0,"",RANK(B210,$B$2:$B$226,0))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TEGA</t>
        </is>
      </c>
      <c r="D210" s="30" t="inlineStr">
        <is>
          <t>Tega Industries Ltd</t>
        </is>
      </c>
      <c r="E210" s="30" t="inlineStr">
        <is>
          <t>industrials</t>
        </is>
      </c>
      <c r="F210" s="30" t="inlineStr">
        <is>
          <t>engineering</t>
        </is>
      </c>
      <c r="G210" s="30" t="inlineStr">
        <is>
          <t>midcap</t>
        </is>
      </c>
      <c r="H210" s="31" t="n">
        <v>15713.71</v>
      </c>
      <c r="I210" s="31" t="n">
        <v>2011.5</v>
      </c>
      <c r="J210" s="31" t="n">
        <v>-3.83</v>
      </c>
      <c r="K210" s="31" t="n">
        <v>267932</v>
      </c>
      <c r="L210" s="30" t="n">
        <v>17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65.31999999999999</v>
      </c>
      <c r="P210" s="31" t="n">
        <v>15.11</v>
      </c>
      <c r="Q210" s="31" t="inlineStr"/>
      <c r="R210" s="30" t="inlineStr">
        <is>
          <t>Earnings / Momentum Support</t>
        </is>
      </c>
      <c r="S210" s="30" t="inlineStr">
        <is>
          <t>Nifty 50</t>
        </is>
      </c>
      <c r="T210" s="31" t="n">
        <v>-6.14</v>
      </c>
      <c r="U210" s="31" t="n">
        <v>7.82</v>
      </c>
      <c r="V210" s="31" t="n">
        <v>14.88</v>
      </c>
      <c r="W210" s="31" t="n">
        <v>6.27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Headwind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3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IF(B211=0,"",RANK(B211,$B$2:$B$226,0))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RAMRAT</t>
        </is>
      </c>
      <c r="D211" s="30" t="inlineStr">
        <is>
          <t>Ram Ratna Wires Ltd</t>
        </is>
      </c>
      <c r="E211" s="30" t="inlineStr">
        <is>
          <t>metals &amp; mining</t>
        </is>
      </c>
      <c r="F211" s="30" t="inlineStr">
        <is>
          <t>mining / minerals / metals</t>
        </is>
      </c>
      <c r="G211" s="30" t="inlineStr">
        <is>
          <t>midcap</t>
        </is>
      </c>
      <c r="H211" s="31" t="n">
        <v>5320.9</v>
      </c>
      <c r="I211" s="31" t="n">
        <v>568.2</v>
      </c>
      <c r="J211" s="31" t="n">
        <v>-0.32</v>
      </c>
      <c r="K211" s="31" t="n">
        <v>244145</v>
      </c>
      <c r="L211" s="30" t="inlineStr"/>
      <c r="M211" s="30" t="inlineStr"/>
      <c r="N211" s="31">
        <f>IF(M211="Underperforming",-5,IF(L211&gt;=95,15,IF(L211&gt;=90,10,IF(L211&gt;=80,5,0))))</f>
        <v/>
      </c>
      <c r="O211" s="31" t="n">
        <v>70.55</v>
      </c>
      <c r="P211" s="31" t="n">
        <v>48.66</v>
      </c>
      <c r="Q211" s="31" t="inlineStr"/>
      <c r="R211" s="30" t="inlineStr">
        <is>
          <t>Earnings / Momentum Support</t>
        </is>
      </c>
      <c r="S211" s="30" t="inlineStr">
        <is>
          <t>Nifty Metal</t>
        </is>
      </c>
      <c r="T211" s="31" t="inlineStr"/>
      <c r="U211" s="31" t="inlineStr"/>
      <c r="V211" s="31" t="inlineStr"/>
      <c r="W211" s="31" t="inlineStr"/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Headwind</t>
        </is>
      </c>
      <c r="AE211" s="30">
        <f>IF(AD211="Tailwind",10,0)</f>
        <v/>
      </c>
      <c r="AF211" s="30" t="inlineStr">
        <is>
          <t>Cyclical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Volatile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3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Between 0.7 to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IF(B212=0,"",RANK(B212,$B$2:$B$226,0))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MBAPL</t>
        </is>
      </c>
      <c r="D212" s="30" t="inlineStr">
        <is>
          <t>Madhya Bharat Agro Products Ltd</t>
        </is>
      </c>
      <c r="E212" s="30" t="inlineStr">
        <is>
          <t>chemicals</t>
        </is>
      </c>
      <c r="F212" s="30" t="inlineStr">
        <is>
          <t>fertilizers</t>
        </is>
      </c>
      <c r="G212" s="30" t="inlineStr">
        <is>
          <t>smallcap</t>
        </is>
      </c>
      <c r="H212" s="31" t="n">
        <v>1476.25</v>
      </c>
      <c r="I212" s="31" t="n">
        <v>166.81</v>
      </c>
      <c r="J212" s="31" t="n">
        <v>-0.99</v>
      </c>
      <c r="K212" s="31" t="n">
        <v>569002</v>
      </c>
      <c r="L212" s="30" t="n">
        <v>71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75.7</v>
      </c>
      <c r="P212" s="31" t="n">
        <v>71.87</v>
      </c>
      <c r="Q212" s="31" t="inlineStr"/>
      <c r="R212" s="30" t="inlineStr">
        <is>
          <t>Earnings / Momentum Support</t>
        </is>
      </c>
      <c r="S212" s="30" t="inlineStr">
        <is>
          <t>Nifty 50</t>
        </is>
      </c>
      <c r="T212" s="31" t="n">
        <v>-6.14</v>
      </c>
      <c r="U212" s="31" t="n">
        <v>106.29</v>
      </c>
      <c r="V212" s="31" t="n">
        <v>119.79</v>
      </c>
      <c r="W212" s="31" t="n">
        <v>26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Above 40</t>
        </is>
      </c>
      <c r="AY212" s="30">
        <f>IF(AX212="Above 40",20,IF(AX212="20 to 40",10,IF(AX212="0 to 20",-5,0)))</f>
        <v/>
      </c>
      <c r="AZ212" s="30" t="inlineStr">
        <is>
          <t>Above 75</t>
        </is>
      </c>
      <c r="BA212" s="30">
        <f>IF(AZ212="Between 50 to 75",10,IF(AZ212="Above 75",0,0))</f>
        <v/>
      </c>
      <c r="BB212" s="30" t="inlineStr">
        <is>
          <t>Stage 3</t>
        </is>
      </c>
      <c r="BC212" s="30">
        <f>IF(BB212="Stage 2",20,IF(BB212="Stage 1",0,IF(BB212="Stage 3",5,IF(BB212="Stage 4",-5,0))))</f>
        <v/>
      </c>
      <c r="BD212" s="30" t="inlineStr">
        <is>
          <t>Negative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Between 12 to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More than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IF(B213=0,"",RANK(B213,$B$2:$B$226,0))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GLOBAL</t>
        </is>
      </c>
      <c r="D213" s="30" t="inlineStr">
        <is>
          <t>Global Education Ltd</t>
        </is>
      </c>
      <c r="E213" s="30" t="inlineStr">
        <is>
          <t>services</t>
        </is>
      </c>
      <c r="F213" s="30" t="inlineStr">
        <is>
          <t>miscellaneous</t>
        </is>
      </c>
      <c r="G213" s="30" t="inlineStr">
        <is>
          <t>smallcap</t>
        </is>
      </c>
      <c r="H213" s="31" t="n">
        <v>689.21</v>
      </c>
      <c r="I213" s="31" t="n">
        <v>133.61</v>
      </c>
      <c r="J213" s="31" t="n">
        <v>-1.32</v>
      </c>
      <c r="K213" s="31" t="n">
        <v>156821</v>
      </c>
      <c r="L213" s="30" t="n">
        <v>62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75.31</v>
      </c>
      <c r="P213" s="31" t="n">
        <v>33.43</v>
      </c>
      <c r="Q213" s="31" t="inlineStr"/>
      <c r="R213" s="30" t="inlineStr">
        <is>
          <t>Earnings / Momentum Support</t>
        </is>
      </c>
      <c r="S213" s="30" t="inlineStr">
        <is>
          <t>Nifty 50</t>
        </is>
      </c>
      <c r="T213" s="31" t="n">
        <v>-6.14</v>
      </c>
      <c r="U213" s="31" t="n">
        <v>111.82</v>
      </c>
      <c r="V213" s="31" t="n">
        <v>125.68</v>
      </c>
      <c r="W213" s="31" t="n">
        <v>22.88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Headwind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Above 75</t>
        </is>
      </c>
      <c r="BA213" s="30">
        <f>IF(AZ213="Between 50 to 75",10,IF(AZ213="Above 75",0,0))</f>
        <v/>
      </c>
      <c r="BB213" s="30" t="inlineStr">
        <is>
          <t>Stage 3</t>
        </is>
      </c>
      <c r="BC213" s="30">
        <f>IF(BB213="Stage 2",20,IF(BB213="Stage 1",0,IF(BB213="Stage 3",5,IF(BB213="Stage 4",-5,0))))</f>
        <v/>
      </c>
      <c r="BD213" s="30" t="inlineStr">
        <is>
          <t>Negative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IF(B214=0,"",RANK(B214,$B$2:$B$226,0))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VENUSPIPES</t>
        </is>
      </c>
      <c r="D214" s="30" t="inlineStr">
        <is>
          <t>Venus Pipes &amp; Tubes Ltd</t>
        </is>
      </c>
      <c r="E214" s="30" t="inlineStr">
        <is>
          <t>metals &amp; mining</t>
        </is>
      </c>
      <c r="F214" s="30" t="inlineStr">
        <is>
          <t>steel - medium / small</t>
        </is>
      </c>
      <c r="G214" s="30" t="inlineStr">
        <is>
          <t>smallcap</t>
        </is>
      </c>
      <c r="H214" s="31" t="n">
        <v>4481.31</v>
      </c>
      <c r="I214" s="31" t="n">
        <v>2132.6</v>
      </c>
      <c r="J214" s="31" t="n">
        <v>-1.41</v>
      </c>
      <c r="K214" s="31" t="n">
        <v>261075</v>
      </c>
      <c r="L214" s="30" t="inlineStr"/>
      <c r="M214" s="30" t="inlineStr"/>
      <c r="N214" s="31">
        <f>IF(M214="Underperforming",-5,IF(L214&gt;=95,15,IF(L214&gt;=90,10,IF(L214&gt;=80,5,0))))</f>
        <v/>
      </c>
      <c r="O214" s="31" t="n">
        <v>72.01000000000001</v>
      </c>
      <c r="P214" s="31" t="n">
        <v>40.22</v>
      </c>
      <c r="Q214" s="31" t="inlineStr"/>
      <c r="R214" s="30" t="inlineStr">
        <is>
          <t>Earnings / Momentum Support</t>
        </is>
      </c>
      <c r="S214" s="30" t="inlineStr">
        <is>
          <t>Nifty Metal</t>
        </is>
      </c>
      <c r="T214" s="31" t="inlineStr"/>
      <c r="U214" s="31" t="inlineStr"/>
      <c r="V214" s="31" t="inlineStr"/>
      <c r="W214" s="31" t="inlineStr"/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Headwind</t>
        </is>
      </c>
      <c r="AE214" s="30">
        <f>IF(AD214="Tailwind",10,0)</f>
        <v/>
      </c>
      <c r="AF214" s="30" t="inlineStr">
        <is>
          <t>Cyclical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Volatile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Above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3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IF(B215=0,"",RANK(B215,$B$2:$B$226,0))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GMMPFAUDLR</t>
        </is>
      </c>
      <c r="D215" s="30" t="inlineStr">
        <is>
          <t>GMM Pfaudler Ltd</t>
        </is>
      </c>
      <c r="E215" s="30" t="inlineStr">
        <is>
          <t>industrials</t>
        </is>
      </c>
      <c r="F215" s="30" t="inlineStr">
        <is>
          <t>engineering</t>
        </is>
      </c>
      <c r="G215" s="30" t="inlineStr">
        <is>
          <t>midcap</t>
        </is>
      </c>
      <c r="H215" s="31" t="n">
        <v>6766.96</v>
      </c>
      <c r="I215" s="31" t="n">
        <v>1480.1</v>
      </c>
      <c r="J215" s="31" t="n">
        <v>-1.67</v>
      </c>
      <c r="K215" s="31" t="n">
        <v>191005</v>
      </c>
      <c r="L215" s="30" t="n">
        <v>77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82.36</v>
      </c>
      <c r="P215" s="31" t="n">
        <v>39.31</v>
      </c>
      <c r="Q215" s="31" t="inlineStr"/>
      <c r="R215" s="30" t="inlineStr">
        <is>
          <t>Earnings / Momentum Support</t>
        </is>
      </c>
      <c r="S215" s="30" t="inlineStr">
        <is>
          <t>Nifty 50</t>
        </is>
      </c>
      <c r="T215" s="31" t="n">
        <v>-6.14</v>
      </c>
      <c r="U215" s="31" t="n">
        <v>42.31</v>
      </c>
      <c r="V215" s="31" t="n">
        <v>51.63</v>
      </c>
      <c r="W215" s="31" t="n">
        <v>30.2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Headwind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No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Above 75</t>
        </is>
      </c>
      <c r="BA215" s="30">
        <f>IF(AZ215="Between 50 to 75",10,IF(AZ215="Above 75",0,0))</f>
        <v/>
      </c>
      <c r="BB215" s="30" t="inlineStr">
        <is>
          <t>Stage 3</t>
        </is>
      </c>
      <c r="BC215" s="30">
        <f>IF(BB215="Stage 2",20,IF(BB215="Stage 1",0,IF(BB215="Stage 3",5,IF(BB215="Stage 4",-5,0))))</f>
        <v/>
      </c>
      <c r="BD215" s="30" t="inlineStr">
        <is>
          <t>Negative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Between 0.7 to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IF(B216=0,"",RANK(B216,$B$2:$B$226,0))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SPLPETRO</t>
        </is>
      </c>
      <c r="D216" s="30" t="inlineStr">
        <is>
          <t>Supreme Petrochem Ltd</t>
        </is>
      </c>
      <c r="E216" s="30" t="inlineStr">
        <is>
          <t>energy</t>
        </is>
      </c>
      <c r="F216" s="30" t="inlineStr">
        <is>
          <t>petrochemicals</t>
        </is>
      </c>
      <c r="G216" s="30" t="inlineStr">
        <is>
          <t>midcap</t>
        </is>
      </c>
      <c r="H216" s="31" t="n">
        <v>16547.64</v>
      </c>
      <c r="I216" s="31" t="n">
        <v>864.85</v>
      </c>
      <c r="J216" s="31" t="n">
        <v>-1.72</v>
      </c>
      <c r="K216" s="31" t="n">
        <v>90838</v>
      </c>
      <c r="L216" s="30" t="inlineStr"/>
      <c r="M216" s="30" t="inlineStr"/>
      <c r="N216" s="31">
        <f>IF(M216="Underperforming",-5,IF(L216&gt;=95,15,IF(L216&gt;=90,10,IF(L216&gt;=80,5,0))))</f>
        <v/>
      </c>
      <c r="O216" s="31" t="n">
        <v>67.88</v>
      </c>
      <c r="P216" s="31" t="n">
        <v>31.9</v>
      </c>
      <c r="Q216" s="31" t="inlineStr"/>
      <c r="R216" s="30" t="inlineStr">
        <is>
          <t>Earnings / Momentum Support</t>
        </is>
      </c>
      <c r="S216" s="30" t="inlineStr">
        <is>
          <t>Nifty Energy</t>
        </is>
      </c>
      <c r="T216" s="31" t="inlineStr"/>
      <c r="U216" s="31" t="inlineStr"/>
      <c r="V216" s="31" t="inlineStr"/>
      <c r="W216" s="31" t="inlineStr"/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Oligopoly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Headwind</t>
        </is>
      </c>
      <c r="AE216" s="30">
        <f>IF(AD216="Tailwind",10,0)</f>
        <v/>
      </c>
      <c r="AF216" s="30" t="inlineStr">
        <is>
          <t>Cyclical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Volatile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3</t>
        </is>
      </c>
      <c r="BC216" s="30">
        <f>IF(BB216="Stage 2",20,IF(BB216="Stage 1",0,IF(BB216="Stage 3",5,IF(BB216="Stage 4",-5,0))))</f>
        <v/>
      </c>
      <c r="BD216" s="30" t="inlineStr">
        <is>
          <t>Negative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IF(B217=0,"",RANK(B217,$B$2:$B$226,0))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ANTELOPUS</t>
        </is>
      </c>
      <c r="D217" s="30" t="inlineStr">
        <is>
          <t>Antelopus Selan Energy Ltd</t>
        </is>
      </c>
      <c r="E217" s="30" t="inlineStr">
        <is>
          <t>energy</t>
        </is>
      </c>
      <c r="F217" s="30" t="inlineStr">
        <is>
          <t>oil drilling / allied services</t>
        </is>
      </c>
      <c r="G217" s="30" t="inlineStr">
        <is>
          <t>smallcap</t>
        </is>
      </c>
      <c r="H217" s="31" t="n">
        <v>4436.43</v>
      </c>
      <c r="I217" s="31" t="n">
        <v>1159.45</v>
      </c>
      <c r="J217" s="31" t="n">
        <v>-8.1</v>
      </c>
      <c r="K217" s="31" t="n">
        <v>1450659</v>
      </c>
      <c r="L217" s="30" t="inlineStr"/>
      <c r="M217" s="30" t="inlineStr"/>
      <c r="N217" s="31">
        <f>IF(M217="Underperforming",-5,IF(L217&gt;=95,15,IF(L217&gt;=90,10,IF(L217&gt;=80,5,0))))</f>
        <v/>
      </c>
      <c r="O217" s="31" t="n">
        <v>76.15000000000001</v>
      </c>
      <c r="P217" s="31" t="n">
        <v>49.48</v>
      </c>
      <c r="Q217" s="31" t="inlineStr"/>
      <c r="R217" s="30" t="inlineStr">
        <is>
          <t>Earnings / Momentum Support</t>
        </is>
      </c>
      <c r="S217" s="30" t="inlineStr">
        <is>
          <t>Nifty Energy</t>
        </is>
      </c>
      <c r="T217" s="31" t="inlineStr"/>
      <c r="U217" s="31" t="inlineStr"/>
      <c r="V217" s="31" t="inlineStr"/>
      <c r="W217" s="31" t="inlineStr"/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Oligopoly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Yes</t>
        </is>
      </c>
      <c r="AC217" s="30">
        <f>IF(AB217="No",5,0)</f>
        <v/>
      </c>
      <c r="AD217" s="30" t="inlineStr">
        <is>
          <t>Headwind</t>
        </is>
      </c>
      <c r="AE217" s="30">
        <f>IF(AD217="Tailwind",10,0)</f>
        <v/>
      </c>
      <c r="AF217" s="30" t="inlineStr">
        <is>
          <t>Cyclical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Volatile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Above 40</t>
        </is>
      </c>
      <c r="AY217" s="30">
        <f>IF(AX217="Above 40",20,IF(AX217="20 to 40",10,IF(AX217="0 to 20",-5,0)))</f>
        <v/>
      </c>
      <c r="AZ217" s="30" t="inlineStr">
        <is>
          <t>Above 75</t>
        </is>
      </c>
      <c r="BA217" s="30">
        <f>IF(AZ217="Between 50 to 75",10,IF(AZ217="Above 75",0,0))</f>
        <v/>
      </c>
      <c r="BB217" s="30" t="inlineStr">
        <is>
          <t>Stage 3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IF(B218=0,"",RANK(B218,$B$2:$B$226,0))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2" t="inlineStr">
        <is>
          <t>HEG</t>
        </is>
      </c>
      <c r="D218" s="32" t="inlineStr">
        <is>
          <t>Heg Limited</t>
        </is>
      </c>
      <c r="E218" s="30" t="inlineStr">
        <is>
          <t>industrials</t>
        </is>
      </c>
      <c r="F218" s="30" t="inlineStr">
        <is>
          <t>electrodes - graphites</t>
        </is>
      </c>
      <c r="G218" s="30" t="inlineStr">
        <is>
          <t>midcap</t>
        </is>
      </c>
      <c r="H218" s="31" t="n">
        <v>8195.5</v>
      </c>
      <c r="I218" s="31" t="n">
        <v>248.5</v>
      </c>
      <c r="J218" s="31" t="n">
        <v>4.83</v>
      </c>
      <c r="K218" s="31" t="n">
        <v>10878684</v>
      </c>
      <c r="L218" s="30" t="n">
        <v>1</v>
      </c>
      <c r="M218" s="30" t="inlineStr">
        <is>
          <t>Underperforming</t>
        </is>
      </c>
      <c r="N218" s="31">
        <f>IF(M218="Underperforming",-5,IF(L218&gt;=95,15,IF(L218&gt;=90,10,IF(L218&gt;=80,5,0))))</f>
        <v/>
      </c>
      <c r="O218" s="31" t="n">
        <v>27.2</v>
      </c>
      <c r="P218" s="31" t="n">
        <v>36.47</v>
      </c>
      <c r="Q218" s="31" t="n">
        <v>510.82</v>
      </c>
      <c r="R218" s="30" t="inlineStr">
        <is>
          <t>Earnings / Momentum Support</t>
        </is>
      </c>
      <c r="S218" s="30" t="inlineStr">
        <is>
          <t>Nifty 50</t>
        </is>
      </c>
      <c r="T218" s="31" t="n">
        <v>-6.14</v>
      </c>
      <c r="U218" s="31" t="n">
        <v>-51.51</v>
      </c>
      <c r="V218" s="31" t="n">
        <v>-48.34</v>
      </c>
      <c r="W218" s="31" t="n">
        <v>-20.39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Headwind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Below 45</t>
        </is>
      </c>
      <c r="BA218" s="30">
        <f>IF(AZ218="Between 50 to 75",10,IF(AZ218="Above 75",0,0))</f>
        <v/>
      </c>
      <c r="BB218" s="30" t="inlineStr">
        <is>
          <t>Stage 4</t>
        </is>
      </c>
      <c r="BC218" s="30">
        <f>IF(BB218="Stage 2",20,IF(BB218="Stage 1",0,IF(BB218="Stage 3",5,IF(BB218="Stage 4",-5,0))))</f>
        <v/>
      </c>
      <c r="BD218" s="30" t="inlineStr">
        <is>
          <t>Negative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No</t>
        </is>
      </c>
      <c r="BM218" s="30">
        <f>IF(BL218="Yes",10,0)</f>
        <v/>
      </c>
      <c r="BN218" s="30" t="inlineStr">
        <is>
          <t>Between 12 to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IF(B219=0,"",RANK(B219,$B$2:$B$226,0))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SBC</t>
        </is>
      </c>
      <c r="D219" s="30" t="inlineStr">
        <is>
          <t>SBC Exports Ltd</t>
        </is>
      </c>
      <c r="E219" s="30" t="inlineStr">
        <is>
          <t>textiles</t>
        </is>
      </c>
      <c r="F219" s="30" t="inlineStr">
        <is>
          <t>textiles - products</t>
        </is>
      </c>
      <c r="G219" s="30" t="inlineStr">
        <is>
          <t>smallcap</t>
        </is>
      </c>
      <c r="H219" s="31" t="n">
        <v>2524.76</v>
      </c>
      <c r="I219" s="31" t="n">
        <v>53.54</v>
      </c>
      <c r="J219" s="31" t="n">
        <v>0.98</v>
      </c>
      <c r="K219" s="31" t="n">
        <v>22177245</v>
      </c>
      <c r="L219" s="30" t="n">
        <v>70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80.45</v>
      </c>
      <c r="P219" s="31" t="n">
        <v>31.07</v>
      </c>
      <c r="Q219" s="31" t="inlineStr"/>
      <c r="R219" s="30" t="inlineStr">
        <is>
          <t>Earnings / Momentum Support</t>
        </is>
      </c>
      <c r="S219" s="30" t="inlineStr">
        <is>
          <t>Nifty 50</t>
        </is>
      </c>
      <c r="T219" s="31" t="n">
        <v>-6.14</v>
      </c>
      <c r="U219" s="31" t="n">
        <v>145.58</v>
      </c>
      <c r="V219" s="31" t="n">
        <v>161.65</v>
      </c>
      <c r="W219" s="31" t="n">
        <v>25.95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Headwind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Above 75</t>
        </is>
      </c>
      <c r="BA219" s="30">
        <f>IF(AZ219="Between 50 to 75",10,IF(AZ219="Above 75",0,0))</f>
        <v/>
      </c>
      <c r="BB219" s="30" t="inlineStr">
        <is>
          <t>Stage 3</t>
        </is>
      </c>
      <c r="BC219" s="30">
        <f>IF(BB219="Stage 2",20,IF(BB219="Stage 1",0,IF(BB219="Stage 3",5,IF(BB219="Stage 4",-5,0))))</f>
        <v/>
      </c>
      <c r="BD219" s="30" t="inlineStr">
        <is>
          <t>Negative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More than 1.2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IF(B220=0,"",RANK(B220,$B$2:$B$226,0))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ROSSTECH</t>
        </is>
      </c>
      <c r="D220" s="30" t="inlineStr">
        <is>
          <t>Rossell Techsys Ltd</t>
        </is>
      </c>
      <c r="E220" s="30" t="inlineStr">
        <is>
          <t>aerospace &amp; defence</t>
        </is>
      </c>
      <c r="F220" s="30" t="inlineStr">
        <is>
          <t>engineering</t>
        </is>
      </c>
      <c r="G220" s="30" t="inlineStr">
        <is>
          <t>midcap</t>
        </is>
      </c>
      <c r="H220" s="31" t="n">
        <v>5287.68</v>
      </c>
      <c r="I220" s="31" t="n">
        <v>1398.8</v>
      </c>
      <c r="J220" s="31" t="n">
        <v>-0.28</v>
      </c>
      <c r="K220" s="31" t="n">
        <v>151249</v>
      </c>
      <c r="L220" s="30" t="n">
        <v>72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77.31</v>
      </c>
      <c r="P220" s="31" t="n">
        <v>31.82</v>
      </c>
      <c r="Q220" s="31" t="inlineStr"/>
      <c r="R220" s="30" t="inlineStr">
        <is>
          <t>Earnings / Momentum Support</t>
        </is>
      </c>
      <c r="S220" s="30" t="inlineStr">
        <is>
          <t>Nifty 50</t>
        </is>
      </c>
      <c r="T220" s="31" t="n">
        <v>-6.14</v>
      </c>
      <c r="U220" s="31" t="n">
        <v>92.31</v>
      </c>
      <c r="V220" s="31" t="n">
        <v>104.9</v>
      </c>
      <c r="W220" s="31" t="n">
        <v>26.36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Headwind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3</t>
        </is>
      </c>
      <c r="BC220" s="30">
        <f>IF(BB220="Stage 2",20,IF(BB220="Stage 1",0,IF(BB220="Stage 3",5,IF(BB220="Stage 4",-5,0))))</f>
        <v/>
      </c>
      <c r="BD220" s="30" t="inlineStr">
        <is>
          <t>Negative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More than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IF(B221=0,"",RANK(B221,$B$2:$B$226,0))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RATNAVEER</t>
        </is>
      </c>
      <c r="D221" s="30" t="inlineStr">
        <is>
          <t>Ratnaveer Precision Engineering Ltd</t>
        </is>
      </c>
      <c r="E221" s="30" t="inlineStr">
        <is>
          <t>metals &amp; mining</t>
        </is>
      </c>
      <c r="F221" s="30" t="inlineStr">
        <is>
          <t>steel - medium / small</t>
        </is>
      </c>
      <c r="G221" s="30" t="inlineStr">
        <is>
          <t>smallcap</t>
        </is>
      </c>
      <c r="H221" s="31" t="n">
        <v>2385.29</v>
      </c>
      <c r="I221" s="31" t="n">
        <v>330.95</v>
      </c>
      <c r="J221" s="31" t="n">
        <v>-0.9</v>
      </c>
      <c r="K221" s="31" t="n">
        <v>5822738</v>
      </c>
      <c r="L221" s="30" t="inlineStr"/>
      <c r="M221" s="30" t="inlineStr"/>
      <c r="N221" s="31">
        <f>IF(M221="Underperforming",-5,IF(L221&gt;=95,15,IF(L221&gt;=90,10,IF(L221&gt;=80,5,0))))</f>
        <v/>
      </c>
      <c r="O221" s="31" t="n">
        <v>81.02</v>
      </c>
      <c r="P221" s="31" t="n">
        <v>65.36</v>
      </c>
      <c r="Q221" s="31" t="inlineStr"/>
      <c r="R221" s="30" t="inlineStr">
        <is>
          <t>Earnings / Momentum Support</t>
        </is>
      </c>
      <c r="S221" s="30" t="inlineStr">
        <is>
          <t>Nifty Metal</t>
        </is>
      </c>
      <c r="T221" s="31" t="inlineStr"/>
      <c r="U221" s="31" t="inlineStr"/>
      <c r="V221" s="31" t="inlineStr"/>
      <c r="W221" s="31" t="inlineStr"/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Headwind</t>
        </is>
      </c>
      <c r="AE221" s="30">
        <f>IF(AD221="Tailwind",10,0)</f>
        <v/>
      </c>
      <c r="AF221" s="30" t="inlineStr">
        <is>
          <t>Cyclical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Volatile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Above 75</t>
        </is>
      </c>
      <c r="BA221" s="30">
        <f>IF(AZ221="Between 50 to 75",10,IF(AZ221="Above 75",0,0))</f>
        <v/>
      </c>
      <c r="BB221" s="30" t="inlineStr">
        <is>
          <t>Stage 3</t>
        </is>
      </c>
      <c r="BC221" s="30">
        <f>IF(BB221="Stage 2",20,IF(BB221="Stage 1",0,IF(BB221="Stage 3",5,IF(BB221="Stage 4",-5,0))))</f>
        <v/>
      </c>
      <c r="BD221" s="30" t="inlineStr">
        <is>
          <t>Negative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IF(B222=0,"",RANK(B222,$B$2:$B$226,0))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JYOTICNC</t>
        </is>
      </c>
      <c r="D222" s="30" t="inlineStr">
        <is>
          <t>Jyoti CNC Automation Ltd</t>
        </is>
      </c>
      <c r="E222" s="30" t="inlineStr">
        <is>
          <t>industrials</t>
        </is>
      </c>
      <c r="F222" s="30" t="inlineStr">
        <is>
          <t>engineering</t>
        </is>
      </c>
      <c r="G222" s="30" t="inlineStr">
        <is>
          <t>largecap</t>
        </is>
      </c>
      <c r="H222" s="31" t="n">
        <v>24222.83</v>
      </c>
      <c r="I222" s="31" t="n">
        <v>1046.1</v>
      </c>
      <c r="J222" s="31" t="n">
        <v>-1.78</v>
      </c>
      <c r="K222" s="31" t="n">
        <v>1202568</v>
      </c>
      <c r="L222" s="30" t="n">
        <v>41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68.77</v>
      </c>
      <c r="P222" s="31" t="n">
        <v>14.93</v>
      </c>
      <c r="Q222" s="31" t="inlineStr"/>
      <c r="R222" s="30" t="inlineStr">
        <is>
          <t>Earnings / Momentum Support</t>
        </is>
      </c>
      <c r="S222" s="30" t="inlineStr">
        <is>
          <t>Nifty 50</t>
        </is>
      </c>
      <c r="T222" s="31" t="n">
        <v>-6.14</v>
      </c>
      <c r="U222" s="31" t="n">
        <v>22.57</v>
      </c>
      <c r="V222" s="31" t="n">
        <v>30.59</v>
      </c>
      <c r="W222" s="31" t="n">
        <v>14.13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Headwind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3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IF(B223=0,"",RANK(B223,$B$2:$B$226,0))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DICIND</t>
        </is>
      </c>
      <c r="D223" s="30" t="inlineStr">
        <is>
          <t>Dic India Limited</t>
        </is>
      </c>
      <c r="E223" s="30" t="inlineStr">
        <is>
          <t>chemicals</t>
        </is>
      </c>
      <c r="F223" s="30" t="inlineStr">
        <is>
          <t>chemicals</t>
        </is>
      </c>
      <c r="G223" s="30" t="inlineStr">
        <is>
          <t>smallcap</t>
        </is>
      </c>
      <c r="H223" s="31" t="n">
        <v>602.6</v>
      </c>
      <c r="I223" s="31" t="n">
        <v>637.15</v>
      </c>
      <c r="J223" s="31" t="n">
        <v>-2.95</v>
      </c>
      <c r="K223" s="31" t="n">
        <v>2080</v>
      </c>
      <c r="L223" s="30" t="n">
        <v>32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73.3</v>
      </c>
      <c r="P223" s="31" t="n">
        <v>17.58</v>
      </c>
      <c r="Q223" s="31" t="inlineStr"/>
      <c r="R223" s="30" t="inlineStr">
        <is>
          <t>Earnings / Momentum Support</t>
        </is>
      </c>
      <c r="S223" s="30" t="inlineStr">
        <is>
          <t>Nifty 50</t>
        </is>
      </c>
      <c r="T223" s="31" t="n">
        <v>-6.14</v>
      </c>
      <c r="U223" s="31" t="n">
        <v>26.13</v>
      </c>
      <c r="V223" s="31" t="n">
        <v>34.38</v>
      </c>
      <c r="W223" s="31" t="n">
        <v>11.19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Headwind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3</t>
        </is>
      </c>
      <c r="BC223" s="30">
        <f>IF(BB223="Stage 2",20,IF(BB223="Stage 1",0,IF(BB223="Stage 3",5,IF(BB223="Stage 4",-5,0))))</f>
        <v/>
      </c>
      <c r="BD223" s="30" t="inlineStr">
        <is>
          <t>Negative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Negative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IF(B224=0,"",RANK(B224,$B$2:$B$226,0))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JUBLPHARMA</t>
        </is>
      </c>
      <c r="D224" s="32" t="inlineStr">
        <is>
          <t>Jubilant Pharmova Ltd</t>
        </is>
      </c>
      <c r="E224" s="30" t="inlineStr">
        <is>
          <t>healthcare</t>
        </is>
      </c>
      <c r="F224" s="30" t="inlineStr">
        <is>
          <t>pharmaceuticals - indian - bulk drugs</t>
        </is>
      </c>
      <c r="G224" s="30" t="inlineStr">
        <is>
          <t>midcap</t>
        </is>
      </c>
      <c r="H224" s="31" t="n">
        <v>17074.14</v>
      </c>
      <c r="I224" s="31" t="n">
        <v>1060.45</v>
      </c>
      <c r="J224" s="31" t="n">
        <v>-1.07</v>
      </c>
      <c r="K224" s="31" t="n">
        <v>95393</v>
      </c>
      <c r="L224" s="30" t="n">
        <v>8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63.78</v>
      </c>
      <c r="P224" s="31" t="n">
        <v>15.65</v>
      </c>
      <c r="Q224" s="31" t="inlineStr"/>
      <c r="R224" s="30" t="inlineStr">
        <is>
          <t>Earnings / Momentum Support</t>
        </is>
      </c>
      <c r="S224" s="30" t="inlineStr">
        <is>
          <t>Nifty Pharma</t>
        </is>
      </c>
      <c r="T224" s="31" t="n">
        <v>25.55</v>
      </c>
      <c r="U224" s="31" t="n">
        <v>3.32</v>
      </c>
      <c r="V224" s="31" t="n">
        <v>-17.71</v>
      </c>
      <c r="W224" s="31" t="n">
        <v>3.86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3</t>
        </is>
      </c>
      <c r="BC224" s="30">
        <f>IF(BB224="Stage 2",20,IF(BB224="Stage 1",0,IF(BB224="Stage 3",5,IF(BB224="Stage 4",-5,0))))</f>
        <v/>
      </c>
      <c r="BD224" s="30" t="inlineStr">
        <is>
          <t>Negative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IF(B225=0,"",RANK(B225,$B$2:$B$226,0))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STYLEBAAZA</t>
        </is>
      </c>
      <c r="D225" s="30" t="inlineStr">
        <is>
          <t>Baazar Style Retail Ltd</t>
        </is>
      </c>
      <c r="E225" s="30" t="inlineStr">
        <is>
          <t>consumer discretionary</t>
        </is>
      </c>
      <c r="F225" s="30" t="inlineStr">
        <is>
          <t>trading</t>
        </is>
      </c>
      <c r="G225" s="30" t="inlineStr">
        <is>
          <t>smallcap</t>
        </is>
      </c>
      <c r="H225" s="31" t="n">
        <v>2860.49</v>
      </c>
      <c r="I225" s="31" t="n">
        <v>394.5</v>
      </c>
      <c r="J225" s="31" t="n">
        <v>4.98</v>
      </c>
      <c r="K225" s="31" t="n">
        <v>4429305</v>
      </c>
      <c r="L225" s="30" t="n">
        <v>25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55.41</v>
      </c>
      <c r="P225" s="31" t="n">
        <v>19.99</v>
      </c>
      <c r="Q225" s="31" t="inlineStr"/>
      <c r="R225" s="30" t="inlineStr">
        <is>
          <t>Earnings / Momentum Support</t>
        </is>
      </c>
      <c r="S225" s="30" t="inlineStr">
        <is>
          <t>Nifty 50</t>
        </is>
      </c>
      <c r="T225" s="31" t="n">
        <v>-6.14</v>
      </c>
      <c r="U225" s="31" t="n">
        <v>4.3</v>
      </c>
      <c r="V225" s="31" t="n">
        <v>11.13</v>
      </c>
      <c r="W225" s="31" t="n">
        <v>9.390000000000001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3</t>
        </is>
      </c>
      <c r="BC225" s="30">
        <f>IF(BB225="Stage 2",20,IF(BB225="Stage 1",0,IF(BB225="Stage 3",5,IF(BB225="Stage 4",-5,0))))</f>
        <v/>
      </c>
      <c r="BD225" s="30" t="inlineStr">
        <is>
          <t>Negative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More than 1.2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IF(B226=0,"",RANK(B226,$B$2:$B$226,0))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SALSTEEL</t>
        </is>
      </c>
      <c r="D226" s="30" t="inlineStr">
        <is>
          <t>SAL Steel</t>
        </is>
      </c>
      <c r="E226" s="30" t="inlineStr">
        <is>
          <t>metals &amp; mining</t>
        </is>
      </c>
      <c r="F226" s="30" t="inlineStr">
        <is>
          <t>steel - sponge iron</t>
        </is>
      </c>
      <c r="G226" s="30" t="inlineStr">
        <is>
          <t>smallcap</t>
        </is>
      </c>
      <c r="H226" s="31" t="n">
        <v>1355.02</v>
      </c>
      <c r="I226" s="31" t="n">
        <v>93.03</v>
      </c>
      <c r="J226" s="31" t="n">
        <v>-0.61</v>
      </c>
      <c r="K226" s="31" t="n">
        <v>1006262</v>
      </c>
      <c r="L226" s="30" t="inlineStr"/>
      <c r="M226" s="30" t="inlineStr"/>
      <c r="N226" s="31">
        <f>IF(M226="Underperforming",-5,IF(L226&gt;=95,15,IF(L226&gt;=90,10,IF(L226&gt;=80,5,0))))</f>
        <v/>
      </c>
      <c r="O226" s="31" t="n">
        <v>75.45</v>
      </c>
      <c r="P226" s="31" t="n">
        <v>32.35</v>
      </c>
      <c r="Q226" s="31" t="inlineStr"/>
      <c r="R226" s="30" t="inlineStr">
        <is>
          <t>Earnings / Momentum Support</t>
        </is>
      </c>
      <c r="S226" s="30" t="inlineStr">
        <is>
          <t>Nifty Metal</t>
        </is>
      </c>
      <c r="T226" s="31" t="inlineStr"/>
      <c r="U226" s="31" t="inlineStr"/>
      <c r="V226" s="31" t="inlineStr"/>
      <c r="W226" s="31" t="inlineStr"/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Cyclical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Volatile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Above 75</t>
        </is>
      </c>
      <c r="BA226" s="30">
        <f>IF(AZ226="Between 50 to 75",10,IF(AZ226="Above 75",0,0))</f>
        <v/>
      </c>
      <c r="BB226" s="30" t="inlineStr">
        <is>
          <t>Stage 3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More than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</sheetData>
  <autoFilter ref="A1:CE226"/>
  <conditionalFormatting sqref="B2:B22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2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2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26">
    <cfRule type="cellIs" priority="36" operator="equal" dxfId="3" stopIfTrue="1">
      <formula>"Underperforming"</formula>
    </cfRule>
  </conditionalFormatting>
  <conditionalFormatting sqref="N2:N226">
    <cfRule type="cellIs" priority="37" operator="equal" dxfId="3" stopIfTrue="1">
      <formula>-5</formula>
    </cfRule>
  </conditionalFormatting>
  <conditionalFormatting sqref="Q2:Q22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26" showDropDown="0" showInputMessage="0" showErrorMessage="0" allowBlank="1" type="list">
      <formula1>"Growing Industry,Stagnant Industry,Cyclical in an Upturn"</formula1>
    </dataValidation>
    <dataValidation sqref="Z2:Z22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26" showDropDown="0" showInputMessage="0" showErrorMessage="0" allowBlank="1" type="list">
      <formula1>"Yes,No"</formula1>
    </dataValidation>
    <dataValidation sqref="AD2:AD226" showDropDown="0" showInputMessage="0" showErrorMessage="0" allowBlank="1" type="list">
      <formula1>"Tailwind,Headwind"</formula1>
    </dataValidation>
    <dataValidation sqref="AF2:AF226" showDropDown="0" showInputMessage="0" showErrorMessage="0" allowBlank="1" type="list">
      <formula1>"Structural (10 Years Consistency),Shallow Cyclical (2 to 3 Years Growth),Cyclical"</formula1>
    </dataValidation>
    <dataValidation sqref="AH2:AH226" showDropDown="0" showInputMessage="0" showErrorMessage="0" allowBlank="1" type="list">
      <formula1>"Yes due to Product Mix change or Operating Leverage,Yes, these are peak margins,No"</formula1>
    </dataValidation>
    <dataValidation sqref="AJ2:AJ226" showDropDown="0" showInputMessage="0" showErrorMessage="0" allowBlank="1" type="list">
      <formula1>"Stable,Volatile"</formula1>
    </dataValidation>
    <dataValidation sqref="AL2:AL226" showDropDown="0" showInputMessage="0" showErrorMessage="0" allowBlank="1" type="list">
      <formula1>"Yes,No"</formula1>
    </dataValidation>
    <dataValidation sqref="AN2:AN226" showDropDown="0" showInputMessage="0" showErrorMessage="0" allowBlank="1" type="list">
      <formula1>"B2C,B2B,B2G"</formula1>
    </dataValidation>
    <dataValidation sqref="AP2:AP226" showDropDown="0" showInputMessage="0" showErrorMessage="0" allowBlank="1" type="list">
      <formula1>"Yes,No"</formula1>
    </dataValidation>
    <dataValidation sqref="AR2:AR226" showDropDown="0" showInputMessage="0" showErrorMessage="0" allowBlank="1" type="list">
      <formula1>"Fully Annuity,Higher Annuity, Lower One time,Higher One Time, Lower Annuity,Fully One Time"</formula1>
    </dataValidation>
    <dataValidation sqref="AT2:AT226" showDropDown="0" showInputMessage="0" showErrorMessage="0" allowBlank="1" type="list">
      <formula1>"Good,Allocated capital in Non-core Areas"</formula1>
    </dataValidation>
    <dataValidation sqref="AV2:AV226" showDropDown="0" showInputMessage="0" showErrorMessage="0" allowBlank="1" type="list">
      <formula1>"Yes for more than 2 years,Yes only for next 1 to 2 years,No"</formula1>
    </dataValidation>
    <dataValidation sqref="AX2:AX226" showDropDown="0" showInputMessage="0" showErrorMessage="0" allowBlank="1" type="list">
      <formula1>"Above 40,20 to 40,0 to 20"</formula1>
    </dataValidation>
    <dataValidation sqref="AZ2:AZ226" showDropDown="0" showInputMessage="0" showErrorMessage="0" allowBlank="1" type="list">
      <formula1>"Between 50 to 75,Above 75,Below 45"</formula1>
    </dataValidation>
    <dataValidation sqref="BB2:BB226" showDropDown="0" showInputMessage="0" showErrorMessage="0" allowBlank="1" type="list">
      <formula1>"Stage 1,Stage 2,Stage 3,Stage 4"</formula1>
    </dataValidation>
    <dataValidation sqref="BD2:BD226" showDropDown="0" showInputMessage="0" showErrorMessage="0" allowBlank="1" type="list">
      <formula1>"Positive Trend,Negative Trend"</formula1>
    </dataValidation>
    <dataValidation sqref="BF2:BF226" showDropDown="0" showInputMessage="0" showErrorMessage="0" allowBlank="1" type="list">
      <formula1>"Uptrend,Sideways,Downtrend"</formula1>
    </dataValidation>
    <dataValidation sqref="BH2:BH226" showDropDown="0" showInputMessage="0" showErrorMessage="0" allowBlank="1" type="list">
      <formula1>"Uptrend,Sideways,Downtrend"</formula1>
    </dataValidation>
    <dataValidation sqref="BJ2:BJ22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26" showDropDown="0" showInputMessage="0" showErrorMessage="0" allowBlank="1" type="list">
      <formula1>"Yes,No"</formula1>
    </dataValidation>
    <dataValidation sqref="BN2:BN226" showDropDown="0" showInputMessage="0" showErrorMessage="0" allowBlank="1" type="list">
      <formula1>"More than 20%,Between 12 to 20%,Less than 12%"</formula1>
    </dataValidation>
    <dataValidation sqref="BP2:BP226" showDropDown="0" showInputMessage="0" showErrorMessage="0" allowBlank="1" type="list">
      <formula1>"Yes,No"</formula1>
    </dataValidation>
    <dataValidation sqref="BR2:BR226" showDropDown="0" showInputMessage="0" showErrorMessage="0" allowBlank="1" type="list">
      <formula1>"Yes,No"</formula1>
    </dataValidation>
    <dataValidation sqref="BT2:BT226" showDropDown="0" showInputMessage="0" showErrorMessage="0" allowBlank="1" type="list">
      <formula1>"Above 2,Between 1.5 to 2,Less than 1.5"</formula1>
    </dataValidation>
    <dataValidation sqref="BV2:BV226" showDropDown="0" showInputMessage="0" showErrorMessage="0" allowBlank="1" type="list">
      <formula1>"Above 70%,Between 50% to 70%,Less than 50%,Less than 50% and Borrowings are increasing,Negative"</formula1>
    </dataValidation>
    <dataValidation sqref="BX2:BX226" showDropDown="0" showInputMessage="0" showErrorMessage="0" allowBlank="1" type="list">
      <formula1>"More than 1.2,Between 0.7 to 1.2,Less than 0.7"</formula1>
    </dataValidation>
    <dataValidation sqref="BZ2:BZ226" showDropDown="0" showInputMessage="0" showErrorMessage="0" allowBlank="1" type="list">
      <formula1>"Yes,No"</formula1>
    </dataValidation>
    <dataValidation sqref="CB2:CB226" showDropDown="0" showInputMessage="0" showErrorMessage="0" allowBlank="1" type="list">
      <formula1>"More than 15%,Less than 15%"</formula1>
    </dataValidation>
    <dataValidation sqref="CD2:CD22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IF(B2=0,"",RANK(B2,$B$2:$B$12,0))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SMCGLOBAL</t>
        </is>
      </c>
      <c r="D2" s="30" t="inlineStr">
        <is>
          <t>SMC Global Securities Ltd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1792.46</v>
      </c>
      <c r="I2" s="31" t="n">
        <v>97.23</v>
      </c>
      <c r="J2" s="31" t="n">
        <v>13.59</v>
      </c>
      <c r="K2" s="31" t="n">
        <v>26689199</v>
      </c>
      <c r="L2" s="30" t="n">
        <v>28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60.91</v>
      </c>
      <c r="P2" s="31" t="n">
        <v>32.32</v>
      </c>
      <c r="Q2" s="31" t="inlineStr"/>
      <c r="R2" s="30" t="inlineStr">
        <is>
          <t>Volume Spike / Accumulation</t>
        </is>
      </c>
      <c r="S2" s="30" t="inlineStr">
        <is>
          <t>Nifty Bank</t>
        </is>
      </c>
      <c r="T2" s="31" t="n">
        <v>2.19</v>
      </c>
      <c r="U2" s="31" t="n">
        <v>23.95</v>
      </c>
      <c r="V2" s="31" t="n">
        <v>21.29</v>
      </c>
      <c r="W2" s="31" t="n">
        <v>10.57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Headwind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3</t>
        </is>
      </c>
      <c r="BQ2" s="30">
        <f>IF(BP2="Stage 2",20,IF(BP2="Stage 1",0,IF(BP2="Stage 3",5,IF(BP2="Stage 4",-5,0))))</f>
        <v/>
      </c>
      <c r="BR2" s="30" t="inlineStr">
        <is>
          <t>Negative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IF(B3=0,"",RANK(B3,$B$2:$B$12,0))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SATIN</t>
        </is>
      </c>
      <c r="D3" s="30" t="inlineStr">
        <is>
          <t>Satin Creditcare Network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2614.3</v>
      </c>
      <c r="I3" s="31" t="n">
        <v>234.4</v>
      </c>
      <c r="J3" s="31" t="n">
        <v>-0.95</v>
      </c>
      <c r="K3" s="31" t="n">
        <v>331802</v>
      </c>
      <c r="L3" s="30" t="n">
        <v>38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59.62</v>
      </c>
      <c r="P3" s="31" t="n">
        <v>42.69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2.19</v>
      </c>
      <c r="U3" s="31" t="n">
        <v>63.14</v>
      </c>
      <c r="V3" s="31" t="n">
        <v>59.64</v>
      </c>
      <c r="W3" s="31" t="n">
        <v>13.03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IF(B4=0,"",RANK(B4,$B$2:$B$12,0))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SHAREINDIA</t>
        </is>
      </c>
      <c r="D4" s="30" t="inlineStr">
        <is>
          <t>Share India Securities Ltd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4587.02</v>
      </c>
      <c r="I4" s="31" t="n">
        <v>206.1</v>
      </c>
      <c r="J4" s="31" t="n">
        <v>-1.68</v>
      </c>
      <c r="K4" s="31" t="n">
        <v>894901</v>
      </c>
      <c r="L4" s="30" t="n">
        <v>69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64.64</v>
      </c>
      <c r="P4" s="31" t="n">
        <v>41.56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2.19</v>
      </c>
      <c r="U4" s="31" t="n">
        <v>65.5</v>
      </c>
      <c r="V4" s="31" t="n">
        <v>61.95</v>
      </c>
      <c r="W4" s="31" t="n">
        <v>25.57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IF(B5=0,"",RANK(B5,$B$2:$B$12,0))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ESAFSFB</t>
        </is>
      </c>
      <c r="D5" s="30" t="inlineStr">
        <is>
          <t>ESAF Small Finance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smallcap</t>
        </is>
      </c>
      <c r="H5" s="31" t="n">
        <v>2211.37</v>
      </c>
      <c r="I5" s="31" t="n">
        <v>43</v>
      </c>
      <c r="J5" s="31" t="n">
        <v>0.33</v>
      </c>
      <c r="K5" s="31" t="n">
        <v>2453024</v>
      </c>
      <c r="L5" s="30" t="n">
        <v>52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63.51</v>
      </c>
      <c r="P5" s="31" t="n">
        <v>38.21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2.19</v>
      </c>
      <c r="U5" s="31" t="n">
        <v>49.97</v>
      </c>
      <c r="V5" s="31" t="n">
        <v>46.75</v>
      </c>
      <c r="W5" s="31" t="n">
        <v>17.74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IF(B6=0,"",RANK(B6,$B$2:$B$12,0))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MANBA</t>
        </is>
      </c>
      <c r="D6" s="30" t="inlineStr">
        <is>
          <t>Manba Finance Ltd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700.09</v>
      </c>
      <c r="I6" s="31" t="n">
        <v>137.68</v>
      </c>
      <c r="J6" s="31" t="n">
        <v>-1.2</v>
      </c>
      <c r="K6" s="31" t="n">
        <v>148229</v>
      </c>
      <c r="L6" s="30" t="n">
        <v>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62.83</v>
      </c>
      <c r="P6" s="31" t="n">
        <v>38.39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2.19</v>
      </c>
      <c r="U6" s="31" t="n">
        <v>3.53</v>
      </c>
      <c r="V6" s="31" t="n">
        <v>1.32</v>
      </c>
      <c r="W6" s="31" t="n">
        <v>3.24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IF(B7=0,"",RANK(B7,$B$2:$B$12,0))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WELINV</t>
        </is>
      </c>
      <c r="D7" s="30" t="inlineStr">
        <is>
          <t>Welspun Investments And Commercials Limited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smallcap</t>
        </is>
      </c>
      <c r="H7" s="31" t="n">
        <v>913.58</v>
      </c>
      <c r="I7" s="31" t="n">
        <v>2451</v>
      </c>
      <c r="J7" s="31" t="n">
        <v>-1.96</v>
      </c>
      <c r="K7" s="31" t="n">
        <v>99</v>
      </c>
      <c r="L7" s="30" t="n">
        <v>76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85.52</v>
      </c>
      <c r="P7" s="31" t="n">
        <v>60.66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2.19</v>
      </c>
      <c r="U7" s="31" t="n">
        <v>144.6</v>
      </c>
      <c r="V7" s="31" t="n">
        <v>139.36</v>
      </c>
      <c r="W7" s="31" t="n">
        <v>29.09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IF(B8=0,"",RANK(B8,$B$2:$B$12,0))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TFCILTD</t>
        </is>
      </c>
      <c r="D8" s="30" t="inlineStr">
        <is>
          <t>Tourism Finance Corporation Of India Limited</t>
        </is>
      </c>
      <c r="E8" s="30" t="inlineStr">
        <is>
          <t>financials</t>
        </is>
      </c>
      <c r="F8" s="30" t="inlineStr">
        <is>
          <t>finance - term-lending institutions</t>
        </is>
      </c>
      <c r="G8" s="30" t="inlineStr">
        <is>
          <t>midcap</t>
        </is>
      </c>
      <c r="H8" s="31" t="n">
        <v>6403.44</v>
      </c>
      <c r="I8" s="31" t="n">
        <v>139.68</v>
      </c>
      <c r="J8" s="31" t="n">
        <v>0.99</v>
      </c>
      <c r="K8" s="31" t="n">
        <v>21011736</v>
      </c>
      <c r="L8" s="30" t="n">
        <v>82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80</v>
      </c>
      <c r="P8" s="31" t="n">
        <v>72.17</v>
      </c>
      <c r="Q8" s="31" t="inlineStr"/>
      <c r="R8" s="30" t="inlineStr">
        <is>
          <t>Earnings / Momentum Support</t>
        </is>
      </c>
      <c r="S8" s="30" t="inlineStr">
        <is>
          <t>Nifty Bank</t>
        </is>
      </c>
      <c r="T8" s="31" t="n">
        <v>2.19</v>
      </c>
      <c r="U8" s="31" t="n">
        <v>91.51000000000001</v>
      </c>
      <c r="V8" s="31" t="n">
        <v>87.40000000000001</v>
      </c>
      <c r="W8" s="31" t="n">
        <v>32.99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between 2.5x to 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Above 75</t>
        </is>
      </c>
      <c r="BO8" s="30">
        <f>IF(BN8="Between 50 to 75",10,IF(BN8="Above 75",0,0))</f>
        <v/>
      </c>
      <c r="BP8" s="30" t="inlineStr">
        <is>
          <t>Stage 3</t>
        </is>
      </c>
      <c r="BQ8" s="30">
        <f>IF(BP8="Stage 2",20,IF(BP8="Stage 1",0,IF(BP8="Stage 3",5,IF(BP8="Stage 4",-5,0))))</f>
        <v/>
      </c>
      <c r="BR8" s="30" t="inlineStr">
        <is>
          <t>Negative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IF(B9=0,"",RANK(B9,$B$2:$B$12,0))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SOUTHBANK</t>
        </is>
      </c>
      <c r="D9" s="30" t="inlineStr">
        <is>
          <t>The South Indian Bank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midcap</t>
        </is>
      </c>
      <c r="H9" s="31" t="n">
        <v>13077.24</v>
      </c>
      <c r="I9" s="31" t="n">
        <v>48.64</v>
      </c>
      <c r="J9" s="31" t="n">
        <v>-2.62</v>
      </c>
      <c r="K9" s="31" t="n">
        <v>15576178</v>
      </c>
      <c r="L9" s="30" t="n">
        <v>43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66.84</v>
      </c>
      <c r="P9" s="31" t="n">
        <v>38.09</v>
      </c>
      <c r="Q9" s="31" t="inlineStr"/>
      <c r="R9" s="30" t="inlineStr">
        <is>
          <t>Earnings / Momentum Support</t>
        </is>
      </c>
      <c r="S9" s="30" t="inlineStr">
        <is>
          <t>Nifty Bank</t>
        </is>
      </c>
      <c r="T9" s="31" t="n">
        <v>2.19</v>
      </c>
      <c r="U9" s="31" t="n">
        <v>73.98999999999999</v>
      </c>
      <c r="V9" s="31" t="n">
        <v>70.27</v>
      </c>
      <c r="W9" s="31" t="n">
        <v>14.79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No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less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3</t>
        </is>
      </c>
      <c r="BQ9" s="30">
        <f>IF(BP9="Stage 2",20,IF(BP9="Stage 1",0,IF(BP9="Stage 3",5,IF(BP9="Stage 4",-5,0))))</f>
        <v/>
      </c>
      <c r="BR9" s="30" t="inlineStr">
        <is>
          <t>Negative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IF(B10=0,"",RANK(B10,$B$2:$B$12,0))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PRIMESECU</t>
        </is>
      </c>
      <c r="D10" s="30" t="inlineStr">
        <is>
          <t>Prime Securities Limited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1024.66</v>
      </c>
      <c r="I10" s="31" t="n">
        <v>301.85</v>
      </c>
      <c r="J10" s="31" t="n">
        <v>-0.02</v>
      </c>
      <c r="K10" s="31" t="n">
        <v>8733</v>
      </c>
      <c r="L10" s="30" t="n">
        <v>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57.99</v>
      </c>
      <c r="P10" s="31" t="n">
        <v>34.2</v>
      </c>
      <c r="Q10" s="31" t="inlineStr"/>
      <c r="R10" s="30" t="inlineStr">
        <is>
          <t>Earnings / Momentum Support</t>
        </is>
      </c>
      <c r="S10" s="30" t="inlineStr">
        <is>
          <t>Nifty Bank</t>
        </is>
      </c>
      <c r="T10" s="31" t="n">
        <v>2.19</v>
      </c>
      <c r="U10" s="31" t="n">
        <v>11.57</v>
      </c>
      <c r="V10" s="31" t="n">
        <v>9.18</v>
      </c>
      <c r="W10" s="31" t="n">
        <v>2.53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less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3</t>
        </is>
      </c>
      <c r="BQ10" s="30">
        <f>IF(BP10="Stage 2",20,IF(BP10="Stage 1",0,IF(BP10="Stage 3",5,IF(BP10="Stage 4",-5,0))))</f>
        <v/>
      </c>
      <c r="BR10" s="30" t="inlineStr">
        <is>
          <t>Negative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IF(B11=0,"",RANK(B11,$B$2:$B$12,0))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GCSL</t>
        </is>
      </c>
      <c r="D11" s="30" t="inlineStr">
        <is>
          <t>Gretex Corporate Services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1633.98</v>
      </c>
      <c r="I11" s="31" t="n">
        <v>667.35</v>
      </c>
      <c r="J11" s="31" t="n">
        <v>2.13</v>
      </c>
      <c r="K11" s="31" t="n">
        <v>273458</v>
      </c>
      <c r="L11" s="30" t="n">
        <v>84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78.69</v>
      </c>
      <c r="P11" s="31" t="n">
        <v>34.2</v>
      </c>
      <c r="Q11" s="31" t="inlineStr"/>
      <c r="R11" s="30" t="inlineStr">
        <is>
          <t>Earnings / Momentum Support</t>
        </is>
      </c>
      <c r="S11" s="30" t="inlineStr">
        <is>
          <t>Nifty Bank</t>
        </is>
      </c>
      <c r="T11" s="31" t="n">
        <v>2.19</v>
      </c>
      <c r="U11" s="31" t="n">
        <v>152.64</v>
      </c>
      <c r="V11" s="31" t="n">
        <v>147.23</v>
      </c>
      <c r="W11" s="31" t="n">
        <v>34.01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No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above 5x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3</t>
        </is>
      </c>
      <c r="BQ11" s="30">
        <f>IF(BP11="Stage 2",20,IF(BP11="Stage 1",0,IF(BP11="Stage 3",5,IF(BP11="Stage 4",-5,0))))</f>
        <v/>
      </c>
      <c r="BR11" s="30" t="inlineStr">
        <is>
          <t>Negative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IF(B12=0,"",RANK(B12,$B$2:$B$12,0))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LICHSGFIN</t>
        </is>
      </c>
      <c r="D12" s="30" t="inlineStr">
        <is>
          <t>Lic Housing Finance Limited</t>
        </is>
      </c>
      <c r="E12" s="30" t="inlineStr">
        <is>
          <t>financials</t>
        </is>
      </c>
      <c r="F12" s="30" t="inlineStr">
        <is>
          <t>finance - housing</t>
        </is>
      </c>
      <c r="G12" s="30" t="inlineStr">
        <is>
          <t>largecap</t>
        </is>
      </c>
      <c r="H12" s="31" t="n">
        <v>31133.57</v>
      </c>
      <c r="I12" s="31" t="n">
        <v>564.15</v>
      </c>
      <c r="J12" s="31" t="n">
        <v>-0.33</v>
      </c>
      <c r="K12" s="31" t="n">
        <v>2923229</v>
      </c>
      <c r="L12" s="30" t="n">
        <v>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59.59</v>
      </c>
      <c r="P12" s="31" t="n">
        <v>15.69</v>
      </c>
      <c r="Q12" s="31" t="inlineStr"/>
      <c r="R12" s="30" t="inlineStr">
        <is>
          <t>Earnings / Momentum Support</t>
        </is>
      </c>
      <c r="S12" s="30" t="inlineStr">
        <is>
          <t>Nifty Bank</t>
        </is>
      </c>
      <c r="T12" s="31" t="n">
        <v>2.19</v>
      </c>
      <c r="U12" s="31" t="n">
        <v>2.2</v>
      </c>
      <c r="V12" s="31" t="n">
        <v>0.01</v>
      </c>
      <c r="W12" s="31" t="n">
        <v>1.59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less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0 to 20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3</t>
        </is>
      </c>
      <c r="BQ12" s="30">
        <f>IF(BP12="Stage 2",20,IF(BP12="Stage 1",0,IF(BP12="Stage 3",5,IF(BP12="Stage 4",-5,0))))</f>
        <v/>
      </c>
      <c r="BR12" s="30" t="inlineStr">
        <is>
          <t>Negative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</sheetData>
  <autoFilter ref="A1:CA12"/>
  <conditionalFormatting sqref="B2:B1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2">
    <cfRule type="cellIs" priority="34" operator="equal" dxfId="3" stopIfTrue="1">
      <formula>"Underperforming"</formula>
    </cfRule>
  </conditionalFormatting>
  <conditionalFormatting sqref="N2:N12">
    <cfRule type="cellIs" priority="35" operator="equal" dxfId="3" stopIfTrue="1">
      <formula>-5</formula>
    </cfRule>
  </conditionalFormatting>
  <conditionalFormatting sqref="Q2:Q1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2" showDropDown="0" showInputMessage="0" showErrorMessage="0" allowBlank="1" type="list">
      <formula1>"Growing Industry,Stagnant Industry,Cyclical in an Upturn"</formula1>
    </dataValidation>
    <dataValidation sqref="Z2:Z12" showDropDown="0" showInputMessage="0" showErrorMessage="0" allowBlank="1" type="list">
      <formula1>"Fragmented with Low ROE,Fragmented with High ROE,Highly Cyclical"</formula1>
    </dataValidation>
    <dataValidation sqref="AB2:AB12" showDropDown="0" showInputMessage="0" showErrorMessage="0" allowBlank="1" type="list">
      <formula1>"Yes,No"</formula1>
    </dataValidation>
    <dataValidation sqref="AD2:AD12" showDropDown="0" showInputMessage="0" showErrorMessage="0" allowBlank="1" type="list">
      <formula1>"Tailwind,Headwind"</formula1>
    </dataValidation>
    <dataValidation sqref="AF2:AF1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2" showDropDown="0" showInputMessage="0" showErrorMessage="0" allowBlank="1" type="list">
      <formula1>"Yes,No"</formula1>
    </dataValidation>
    <dataValidation sqref="AJ2:AJ12" showDropDown="0" showInputMessage="0" showErrorMessage="0" allowBlank="1" type="list">
      <formula1>"Yes,No,Not Applicable"</formula1>
    </dataValidation>
    <dataValidation sqref="AL2:AL12" showDropDown="0" showInputMessage="0" showErrorMessage="0" allowBlank="1" type="list">
      <formula1>"Yes,No"</formula1>
    </dataValidation>
    <dataValidation sqref="AN2:AN12" showDropDown="0" showInputMessage="0" showErrorMessage="0" allowBlank="1" type="list">
      <formula1>"Yes,No"</formula1>
    </dataValidation>
    <dataValidation sqref="AP2:AP12" showDropDown="0" showInputMessage="0" showErrorMessage="0" allowBlank="1" type="list">
      <formula1>"Yes,No"</formula1>
    </dataValidation>
    <dataValidation sqref="AR2:AR12" showDropDown="0" showInputMessage="0" showErrorMessage="0" allowBlank="1" type="list">
      <formula1>"Yes,No"</formula1>
    </dataValidation>
    <dataValidation sqref="AT2:AT12" showDropDown="0" showInputMessage="0" showErrorMessage="0" allowBlank="1" type="list">
      <formula1>"No,Yes"</formula1>
    </dataValidation>
    <dataValidation sqref="AV2:AV12" showDropDown="0" showInputMessage="0" showErrorMessage="0" allowBlank="1" type="list">
      <formula1>"No,Yes"</formula1>
    </dataValidation>
    <dataValidation sqref="AX2:AX12" showDropDown="0" showInputMessage="0" showErrorMessage="0" allowBlank="1" type="list">
      <formula1>"No,Yes CEO Resignation,Yes CEO Retirement"</formula1>
    </dataValidation>
    <dataValidation sqref="AZ2:AZ12" showDropDown="0" showInputMessage="0" showErrorMessage="0" allowBlank="1" type="list">
      <formula1>"No,Yes"</formula1>
    </dataValidation>
    <dataValidation sqref="BB2:BB12" showDropDown="0" showInputMessage="0" showErrorMessage="0" allowBlank="1" type="list">
      <formula1>"No,Yes"</formula1>
    </dataValidation>
    <dataValidation sqref="BD2:BD12" showDropDown="0" showInputMessage="0" showErrorMessage="0" allowBlank="1" type="list">
      <formula1>"Yes,No"</formula1>
    </dataValidation>
    <dataValidation sqref="BF2:BF12" showDropDown="0" showInputMessage="0" showErrorMessage="0" allowBlank="1" type="list">
      <formula1>"Yes,No"</formula1>
    </dataValidation>
    <dataValidation sqref="BH2:BH12" showDropDown="0" showInputMessage="0" showErrorMessage="0" allowBlank="1" type="list">
      <formula1>"Yes,No"</formula1>
    </dataValidation>
    <dataValidation sqref="BJ2:BJ1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2" showDropDown="0" showInputMessage="0" showErrorMessage="0" allowBlank="1" type="list">
      <formula1>"Above 40,20 to 40,0 to 20"</formula1>
    </dataValidation>
    <dataValidation sqref="BN2:BN12" showDropDown="0" showInputMessage="0" showErrorMessage="0" allowBlank="1" type="list">
      <formula1>"Between 50 to 75,Above 75,Below 45"</formula1>
    </dataValidation>
    <dataValidation sqref="BP2:BP12" showDropDown="0" showInputMessage="0" showErrorMessage="0" allowBlank="1" type="list">
      <formula1>"Stage 1,Stage 2,Stage 3,Stage 4"</formula1>
    </dataValidation>
    <dataValidation sqref="BR2:BR12" showDropDown="0" showInputMessage="0" showErrorMessage="0" allowBlank="1" type="list">
      <formula1>"Positive Trend,Negative Trend"</formula1>
    </dataValidation>
    <dataValidation sqref="BT2:BT12" showDropDown="0" showInputMessage="0" showErrorMessage="0" allowBlank="1" type="list">
      <formula1>"Uptrend,Sideways,Downtrend"</formula1>
    </dataValidation>
    <dataValidation sqref="BV2:BV12" showDropDown="0" showInputMessage="0" showErrorMessage="0" allowBlank="1" type="list">
      <formula1>"Uptrend,Sideways,Downtrend"</formula1>
    </dataValidation>
    <dataValidation sqref="BX2:BX1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136.6</v>
      </c>
      <c r="E2" s="31" t="inlineStr">
        <is>
          <t>5%</t>
        </is>
      </c>
      <c r="F2" s="31" t="n">
        <v>50000</v>
      </c>
      <c r="G2" s="31" t="n">
        <v>136</v>
      </c>
      <c r="H2" s="30" t="inlineStr">
        <is>
          <t>ARTEMISMED</t>
        </is>
      </c>
      <c r="I2" s="30" t="inlineStr">
        <is>
          <t>Artemis Medicare Services Ltd</t>
        </is>
      </c>
      <c r="J2" s="30" t="inlineStr">
        <is>
          <t>healthcare</t>
        </is>
      </c>
      <c r="K2" s="30" t="inlineStr">
        <is>
          <t>healthcare</t>
        </is>
      </c>
      <c r="L2" s="30" t="inlineStr">
        <is>
          <t>midcap</t>
        </is>
      </c>
      <c r="M2" s="31" t="n">
        <v>5662.61</v>
      </c>
      <c r="N2" s="31" t="n">
        <v>365.9</v>
      </c>
      <c r="O2" s="31" t="n">
        <v>2.29</v>
      </c>
      <c r="P2" s="31" t="n">
        <v>2092323</v>
      </c>
      <c r="Q2" s="30" t="n">
        <v>54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76.58</v>
      </c>
      <c r="U2" s="31" t="n">
        <v>44.94</v>
      </c>
      <c r="V2" s="31" t="n">
        <v>293.11</v>
      </c>
      <c r="W2" s="30" t="inlineStr">
        <is>
          <t>Near 52W High Breakout</t>
        </is>
      </c>
      <c r="X2" s="30" t="inlineStr">
        <is>
          <t>Nifty Pharma</t>
        </is>
      </c>
      <c r="Y2" s="31" t="n">
        <v>25.55</v>
      </c>
      <c r="Z2" s="31" t="n">
        <v>54.43</v>
      </c>
      <c r="AA2" s="31" t="n">
        <v>23</v>
      </c>
      <c r="AB2" s="31" t="n">
        <v>18.49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Yes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139.2</v>
      </c>
      <c r="E3" s="31" t="inlineStr">
        <is>
          <t>5%</t>
        </is>
      </c>
      <c r="F3" s="31" t="n">
        <v>50000</v>
      </c>
      <c r="G3" s="31" t="n">
        <v>7</v>
      </c>
      <c r="H3" s="30" t="inlineStr">
        <is>
          <t>KINGFA</t>
        </is>
      </c>
      <c r="I3" s="30" t="inlineStr">
        <is>
          <t>Kingfa Science &amp; Technology (india) Limited</t>
        </is>
      </c>
      <c r="J3" s="30" t="inlineStr">
        <is>
          <t>plastic products</t>
        </is>
      </c>
      <c r="K3" s="30" t="inlineStr">
        <is>
          <t>plastics products</t>
        </is>
      </c>
      <c r="L3" s="30" t="inlineStr">
        <is>
          <t>midcap</t>
        </is>
      </c>
      <c r="M3" s="31" t="n">
        <v>8452.67</v>
      </c>
      <c r="N3" s="31" t="n">
        <v>6384</v>
      </c>
      <c r="O3" s="31" t="n">
        <v>2.35</v>
      </c>
      <c r="P3" s="31" t="n">
        <v>10603</v>
      </c>
      <c r="Q3" s="30" t="n">
        <v>38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68.01000000000001</v>
      </c>
      <c r="U3" s="31" t="n">
        <v>41.63</v>
      </c>
      <c r="V3" s="31" t="inlineStr"/>
      <c r="W3" s="30" t="inlineStr">
        <is>
          <t>Earnings / Momentum Support</t>
        </is>
      </c>
      <c r="X3" s="30" t="inlineStr">
        <is>
          <t>Nifty 50</t>
        </is>
      </c>
      <c r="Y3" s="31" t="n">
        <v>-6.14</v>
      </c>
      <c r="Z3" s="31" t="n">
        <v>44.01</v>
      </c>
      <c r="AA3" s="31" t="n">
        <v>53.43</v>
      </c>
      <c r="AB3" s="31" t="n">
        <v>13.11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No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3</t>
        </is>
      </c>
      <c r="BH3" s="30">
        <f>IF(BG3="Stage 2",20,IF(BG3="Stage 1",0,IF(BG3="Stage 3",5,IF(BG3="Stage 4",-5,0))))</f>
        <v/>
      </c>
      <c r="BI3" s="30" t="inlineStr">
        <is>
          <t>Negative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Close to 52 week high or retracement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138.4</v>
      </c>
      <c r="E4" s="31" t="inlineStr">
        <is>
          <t>5%</t>
        </is>
      </c>
      <c r="F4" s="31" t="n">
        <v>50000</v>
      </c>
      <c r="G4" s="31" t="n">
        <v>334</v>
      </c>
      <c r="H4" s="30" t="inlineStr">
        <is>
          <t>BLUSPRING</t>
        </is>
      </c>
      <c r="I4" s="30" t="inlineStr">
        <is>
          <t>Bluspring Enterprises Ltd</t>
        </is>
      </c>
      <c r="J4" s="30" t="inlineStr">
        <is>
          <t>miscellaneous</t>
        </is>
      </c>
      <c r="K4" s="30" t="inlineStr">
        <is>
          <t>diversified - large</t>
        </is>
      </c>
      <c r="L4" s="30" t="inlineStr">
        <is>
          <t>smallcap</t>
        </is>
      </c>
      <c r="M4" s="31" t="n">
        <v>2168.69</v>
      </c>
      <c r="N4" s="31" t="n">
        <v>149.44</v>
      </c>
      <c r="O4" s="31" t="n">
        <v>2.98</v>
      </c>
      <c r="P4" s="31" t="n">
        <v>690632</v>
      </c>
      <c r="Q4" s="30" t="n">
        <v>75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69.73</v>
      </c>
      <c r="U4" s="31" t="n">
        <v>61.02</v>
      </c>
      <c r="V4" s="31" t="inlineStr"/>
      <c r="W4" s="30" t="inlineStr">
        <is>
          <t>Earnings / Momentum Support</t>
        </is>
      </c>
      <c r="X4" s="30" t="inlineStr">
        <is>
          <t>Nifty 50</t>
        </is>
      </c>
      <c r="Y4" s="31" t="n">
        <v>-6.14</v>
      </c>
      <c r="Z4" s="31" t="n">
        <v>83.58</v>
      </c>
      <c r="AA4" s="31" t="n">
        <v>95.59</v>
      </c>
      <c r="AB4" s="31" t="n">
        <v>28.13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Headwind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No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3</t>
        </is>
      </c>
      <c r="BH4" s="30">
        <f>IF(BG4="Stage 2",20,IF(BG4="Stage 1",0,IF(BG4="Stage 3",5,IF(BG4="Stage 4",-5,0))))</f>
        <v/>
      </c>
      <c r="BI4" s="30" t="inlineStr">
        <is>
          <t>Negative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Close to 52 week high or retracement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138.9</v>
      </c>
      <c r="E5" s="31" t="inlineStr">
        <is>
          <t>5%</t>
        </is>
      </c>
      <c r="F5" s="31" t="n">
        <v>50000</v>
      </c>
      <c r="G5" s="31" t="n">
        <v>451</v>
      </c>
      <c r="H5" s="30" t="inlineStr">
        <is>
          <t>FILATEX</t>
        </is>
      </c>
      <c r="I5" s="30" t="inlineStr">
        <is>
          <t>Filatex India Limited</t>
        </is>
      </c>
      <c r="J5" s="30" t="inlineStr">
        <is>
          <t>textiles</t>
        </is>
      </c>
      <c r="K5" s="30" t="inlineStr">
        <is>
          <t>textiles - manmade</t>
        </is>
      </c>
      <c r="L5" s="30" t="inlineStr">
        <is>
          <t>smallcap</t>
        </is>
      </c>
      <c r="M5" s="31" t="n">
        <v>4748.76</v>
      </c>
      <c r="N5" s="31" t="n">
        <v>110.75</v>
      </c>
      <c r="O5" s="31" t="n">
        <v>3.56</v>
      </c>
      <c r="P5" s="31" t="n">
        <v>5372095</v>
      </c>
      <c r="Q5" s="30" t="n">
        <v>90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83.06999999999999</v>
      </c>
      <c r="U5" s="31" t="n">
        <v>50.53</v>
      </c>
      <c r="V5" s="31" t="inlineStr"/>
      <c r="W5" s="30" t="inlineStr">
        <is>
          <t>Earnings / Momentum Support</t>
        </is>
      </c>
      <c r="X5" s="30" t="inlineStr">
        <is>
          <t>Nifty 50</t>
        </is>
      </c>
      <c r="Y5" s="31" t="n">
        <v>-6.14</v>
      </c>
      <c r="Z5" s="31" t="n">
        <v>107.76</v>
      </c>
      <c r="AA5" s="31" t="n">
        <v>121.36</v>
      </c>
      <c r="AB5" s="31" t="n">
        <v>43.53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Headwind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No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3</t>
        </is>
      </c>
      <c r="BH5" s="30">
        <f>IF(BG5="Stage 2",20,IF(BG5="Stage 1",0,IF(BG5="Stage 3",5,IF(BG5="Stage 4",-5,0))))</f>
        <v/>
      </c>
      <c r="BI5" s="30" t="inlineStr">
        <is>
          <t>Negative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Close to 52 week high or retracement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Between 12 to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135.3</v>
      </c>
      <c r="E6" s="31" t="inlineStr">
        <is>
          <t>5%</t>
        </is>
      </c>
      <c r="F6" s="31" t="n">
        <v>50000</v>
      </c>
      <c r="G6" s="31" t="n">
        <v>230</v>
      </c>
      <c r="H6" s="30" t="inlineStr">
        <is>
          <t>KRONOX</t>
        </is>
      </c>
      <c r="I6" s="30" t="inlineStr">
        <is>
          <t>Kronox Lab Sciences Ltd</t>
        </is>
      </c>
      <c r="J6" s="30" t="inlineStr">
        <is>
          <t>chemicals</t>
        </is>
      </c>
      <c r="K6" s="30" t="inlineStr">
        <is>
          <t>chemicals</t>
        </is>
      </c>
      <c r="L6" s="30" t="inlineStr">
        <is>
          <t>smallcap</t>
        </is>
      </c>
      <c r="M6" s="31" t="n">
        <v>766.49</v>
      </c>
      <c r="N6" s="31" t="n">
        <v>216.9</v>
      </c>
      <c r="O6" s="31" t="n">
        <v>5</v>
      </c>
      <c r="P6" s="31" t="n">
        <v>377726</v>
      </c>
      <c r="Q6" s="30" t="n">
        <v>47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64.65000000000001</v>
      </c>
      <c r="U6" s="31" t="n">
        <v>49.15</v>
      </c>
      <c r="V6" s="31" t="inlineStr"/>
      <c r="W6" s="30" t="inlineStr">
        <is>
          <t>Earnings / Momentum Support</t>
        </is>
      </c>
      <c r="X6" s="30" t="inlineStr">
        <is>
          <t>Nifty 50</t>
        </is>
      </c>
      <c r="Y6" s="31" t="n">
        <v>-6.14</v>
      </c>
      <c r="Z6" s="31" t="n">
        <v>27.81</v>
      </c>
      <c r="AA6" s="31" t="n">
        <v>36.18</v>
      </c>
      <c r="AB6" s="31" t="n">
        <v>16.02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Headwind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No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3</t>
        </is>
      </c>
      <c r="BH6" s="30">
        <f>IF(BG6="Stage 2",20,IF(BG6="Stage 1",0,IF(BG6="Stage 3",5,IF(BG6="Stage 4",-5,0))))</f>
        <v/>
      </c>
      <c r="BI6" s="30" t="inlineStr">
        <is>
          <t>Negative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Close to 52 week high or retracement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Between 12 to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Between 1.5 to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138.6</v>
      </c>
      <c r="E7" s="31" t="inlineStr">
        <is>
          <t>5%</t>
        </is>
      </c>
      <c r="F7" s="31" t="n">
        <v>50000</v>
      </c>
      <c r="G7" s="31" t="n">
        <v>22</v>
      </c>
      <c r="H7" s="30" t="inlineStr">
        <is>
          <t>MACPOWER</t>
        </is>
      </c>
      <c r="I7" s="30" t="inlineStr">
        <is>
          <t>Macpower CNC Machines Ltd</t>
        </is>
      </c>
      <c r="J7" s="30" t="inlineStr">
        <is>
          <t>industrials</t>
        </is>
      </c>
      <c r="K7" s="30" t="inlineStr">
        <is>
          <t>engineering</t>
        </is>
      </c>
      <c r="L7" s="30" t="inlineStr">
        <is>
          <t>smallcap</t>
        </is>
      </c>
      <c r="M7" s="31" t="n">
        <v>2063.36</v>
      </c>
      <c r="N7" s="31" t="n">
        <v>2194.6</v>
      </c>
      <c r="O7" s="31" t="n">
        <v>6.4</v>
      </c>
      <c r="P7" s="31" t="n">
        <v>148082</v>
      </c>
      <c r="Q7" s="30" t="n">
        <v>88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73.15000000000001</v>
      </c>
      <c r="U7" s="31" t="n">
        <v>54.97</v>
      </c>
      <c r="V7" s="31" t="inlineStr"/>
      <c r="W7" s="30" t="inlineStr">
        <is>
          <t>Earnings / Momentum Support</t>
        </is>
      </c>
      <c r="X7" s="30" t="inlineStr">
        <is>
          <t>Nifty 50</t>
        </is>
      </c>
      <c r="Y7" s="31" t="n">
        <v>-6.14</v>
      </c>
      <c r="Z7" s="31" t="n">
        <v>147.2</v>
      </c>
      <c r="AA7" s="31" t="n">
        <v>163.38</v>
      </c>
      <c r="AB7" s="31" t="n">
        <v>40.21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Headwind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No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3</t>
        </is>
      </c>
      <c r="BH7" s="30">
        <f>IF(BG7="Stage 2",20,IF(BG7="Stage 1",0,IF(BG7="Stage 3",5,IF(BG7="Stage 4",-5,0))))</f>
        <v/>
      </c>
      <c r="BI7" s="30" t="inlineStr">
        <is>
          <t>Negative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Close to 52 week high or retracement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138.3</v>
      </c>
      <c r="E8" s="31" t="inlineStr">
        <is>
          <t>5%</t>
        </is>
      </c>
      <c r="F8" s="31" t="n">
        <v>50000</v>
      </c>
      <c r="G8" s="31" t="n">
        <v>246</v>
      </c>
      <c r="H8" s="30" t="inlineStr">
        <is>
          <t>KANORICHEM</t>
        </is>
      </c>
      <c r="I8" s="30" t="inlineStr">
        <is>
          <t>Kanoria Chemicals &amp; Industries Limited</t>
        </is>
      </c>
      <c r="J8" s="30" t="inlineStr">
        <is>
          <t>chemicals</t>
        </is>
      </c>
      <c r="K8" s="30" t="inlineStr">
        <is>
          <t>chemicals</t>
        </is>
      </c>
      <c r="L8" s="30" t="inlineStr">
        <is>
          <t>smallcap</t>
        </is>
      </c>
      <c r="M8" s="31" t="n">
        <v>867.53</v>
      </c>
      <c r="N8" s="31" t="n">
        <v>202.55</v>
      </c>
      <c r="O8" s="31" t="n">
        <v>2.01</v>
      </c>
      <c r="P8" s="31" t="n">
        <v>59287</v>
      </c>
      <c r="Q8" s="30" t="n">
        <v>87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80.5</v>
      </c>
      <c r="U8" s="31" t="n">
        <v>72.22</v>
      </c>
      <c r="V8" s="31" t="inlineStr"/>
      <c r="W8" s="30" t="inlineStr">
        <is>
          <t>Earnings / Momentum Support</t>
        </is>
      </c>
      <c r="X8" s="30" t="inlineStr">
        <is>
          <t>Nifty 50</t>
        </is>
      </c>
      <c r="Y8" s="31" t="n">
        <v>-6.14</v>
      </c>
      <c r="Z8" s="31" t="n">
        <v>146.95</v>
      </c>
      <c r="AA8" s="31" t="n">
        <v>163.11</v>
      </c>
      <c r="AB8" s="31" t="n">
        <v>39.19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Headwind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No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3</t>
        </is>
      </c>
      <c r="BH8" s="30">
        <f>IF(BG8="Stage 2",20,IF(BG8="Stage 1",0,IF(BG8="Stage 3",5,IF(BG8="Stage 4",-5,0))))</f>
        <v/>
      </c>
      <c r="BI8" s="30" t="inlineStr">
        <is>
          <t>Negative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Close to 52 week high or retracement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137.8</v>
      </c>
      <c r="E9" s="31" t="inlineStr">
        <is>
          <t>5%</t>
        </is>
      </c>
      <c r="F9" s="31" t="n">
        <v>50000</v>
      </c>
      <c r="G9" s="31" t="n">
        <v>219</v>
      </c>
      <c r="H9" s="30" t="inlineStr">
        <is>
          <t>WELSPUNLIV</t>
        </is>
      </c>
      <c r="I9" s="30" t="inlineStr">
        <is>
          <t>Welspun Living Ltd</t>
        </is>
      </c>
      <c r="J9" s="30" t="inlineStr">
        <is>
          <t>textiles</t>
        </is>
      </c>
      <c r="K9" s="30" t="inlineStr">
        <is>
          <t>textiles - products</t>
        </is>
      </c>
      <c r="L9" s="30" t="inlineStr">
        <is>
          <t>largecap</t>
        </is>
      </c>
      <c r="M9" s="31" t="n">
        <v>21226.7</v>
      </c>
      <c r="N9" s="31" t="n">
        <v>227.95</v>
      </c>
      <c r="O9" s="31" t="n">
        <v>1.46</v>
      </c>
      <c r="P9" s="31" t="n">
        <v>4159923</v>
      </c>
      <c r="Q9" s="30" t="n">
        <v>62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81.95</v>
      </c>
      <c r="U9" s="31" t="n">
        <v>44.94</v>
      </c>
      <c r="V9" s="31" t="inlineStr"/>
      <c r="W9" s="30" t="inlineStr">
        <is>
          <t>Earnings / Momentum Support</t>
        </is>
      </c>
      <c r="X9" s="30" t="inlineStr">
        <is>
          <t>Nifty 50</t>
        </is>
      </c>
      <c r="Y9" s="31" t="n">
        <v>-6.14</v>
      </c>
      <c r="Z9" s="31" t="n">
        <v>93.02</v>
      </c>
      <c r="AA9" s="31" t="n">
        <v>105.65</v>
      </c>
      <c r="AB9" s="31" t="n">
        <v>22.81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Headwind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No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3</t>
        </is>
      </c>
      <c r="BH9" s="30">
        <f>IF(BG9="Stage 2",20,IF(BG9="Stage 1",0,IF(BG9="Stage 3",5,IF(BG9="Stage 4",-5,0))))</f>
        <v/>
      </c>
      <c r="BI9" s="30" t="inlineStr">
        <is>
          <t>Negative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Close to 52 week high or retracement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137.1</v>
      </c>
      <c r="E10" s="31" t="inlineStr">
        <is>
          <t>5%</t>
        </is>
      </c>
      <c r="F10" s="31" t="n">
        <v>50000</v>
      </c>
      <c r="G10" s="31" t="n">
        <v>57</v>
      </c>
      <c r="H10" s="30" t="inlineStr">
        <is>
          <t>KABRAEXTRU</t>
        </is>
      </c>
      <c r="I10" s="30" t="inlineStr">
        <is>
          <t>Kabra Extrusion Technik Limited</t>
        </is>
      </c>
      <c r="J10" s="30" t="inlineStr">
        <is>
          <t>industrials</t>
        </is>
      </c>
      <c r="K10" s="30" t="inlineStr">
        <is>
          <t>engineering</t>
        </is>
      </c>
      <c r="L10" s="30" t="inlineStr">
        <is>
          <t>smallcap</t>
        </is>
      </c>
      <c r="M10" s="31" t="n">
        <v>2960.1</v>
      </c>
      <c r="N10" s="31" t="n">
        <v>863.15</v>
      </c>
      <c r="O10" s="31" t="n">
        <v>1.98</v>
      </c>
      <c r="P10" s="31" t="n">
        <v>601526</v>
      </c>
      <c r="Q10" s="30" t="n">
        <v>98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86.13</v>
      </c>
      <c r="U10" s="31" t="n">
        <v>71.25</v>
      </c>
      <c r="V10" s="31" t="inlineStr"/>
      <c r="W10" s="30" t="inlineStr">
        <is>
          <t>Earnings / Momentum Support</t>
        </is>
      </c>
      <c r="X10" s="30" t="inlineStr">
        <is>
          <t>Nifty 50</t>
        </is>
      </c>
      <c r="Y10" s="31" t="n">
        <v>-6.14</v>
      </c>
      <c r="Z10" s="31" t="n">
        <v>223.36</v>
      </c>
      <c r="AA10" s="31" t="n">
        <v>244.52</v>
      </c>
      <c r="AB10" s="31" t="n">
        <v>98.06</v>
      </c>
      <c r="AC10" s="30" t="inlineStr">
        <is>
          <t>Cyclical in an Upturn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Headwind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No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3</t>
        </is>
      </c>
      <c r="BH10" s="30">
        <f>IF(BG10="Stage 2",20,IF(BG10="Stage 1",0,IF(BG10="Stage 3",5,IF(BG10="Stage 4",-5,0))))</f>
        <v/>
      </c>
      <c r="BI10" s="30" t="inlineStr">
        <is>
          <t>Negative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Close to 52 week high or retracement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136.8</v>
      </c>
      <c r="E11" s="31" t="inlineStr">
        <is>
          <t>5%</t>
        </is>
      </c>
      <c r="F11" s="31" t="n">
        <v>50000</v>
      </c>
      <c r="G11" s="31" t="n">
        <v>28</v>
      </c>
      <c r="H11" s="30" t="inlineStr">
        <is>
          <t>SYRMA</t>
        </is>
      </c>
      <c r="I11" s="30" t="inlineStr">
        <is>
          <t>Syrma SGS Technology Ltd</t>
        </is>
      </c>
      <c r="J11" s="30" t="inlineStr">
        <is>
          <t>consumer discretionary</t>
        </is>
      </c>
      <c r="K11" s="30" t="inlineStr">
        <is>
          <t>electronics - components</t>
        </is>
      </c>
      <c r="L11" s="30" t="inlineStr">
        <is>
          <t>largecap</t>
        </is>
      </c>
      <c r="M11" s="31" t="n">
        <v>33409.81</v>
      </c>
      <c r="N11" s="31" t="n">
        <v>1746.4</v>
      </c>
      <c r="O11" s="31" t="n">
        <v>0.8</v>
      </c>
      <c r="P11" s="31" t="n">
        <v>1859395</v>
      </c>
      <c r="Q11" s="30" t="n">
        <v>64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76.67</v>
      </c>
      <c r="U11" s="31" t="n">
        <v>60.28</v>
      </c>
      <c r="V11" s="31" t="inlineStr"/>
      <c r="W11" s="30" t="inlineStr">
        <is>
          <t>Earnings / Momentum Support</t>
        </is>
      </c>
      <c r="X11" s="30" t="inlineStr">
        <is>
          <t>Nifty 50</t>
        </is>
      </c>
      <c r="Y11" s="31" t="n">
        <v>-6.14</v>
      </c>
      <c r="Z11" s="31" t="n">
        <v>116.03</v>
      </c>
      <c r="AA11" s="31" t="n">
        <v>130.16</v>
      </c>
      <c r="AB11" s="31" t="n">
        <v>23.93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Headwind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No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3</t>
        </is>
      </c>
      <c r="BH11" s="30">
        <f>IF(BG11="Stage 2",20,IF(BG11="Stage 1",0,IF(BG11="Stage 3",5,IF(BG11="Stage 4",-5,0))))</f>
        <v/>
      </c>
      <c r="BI11" s="30" t="inlineStr">
        <is>
          <t>Negative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140</v>
      </c>
      <c r="E12" s="31" t="inlineStr">
        <is>
          <t>5%</t>
        </is>
      </c>
      <c r="F12" s="31" t="n">
        <v>50000</v>
      </c>
      <c r="G12" s="31" t="n">
        <v>1442</v>
      </c>
      <c r="H12" s="30" t="inlineStr">
        <is>
          <t>AHCL</t>
        </is>
      </c>
      <c r="I12" s="30" t="inlineStr">
        <is>
          <t>Anlon Healthcare Ltd</t>
        </is>
      </c>
      <c r="J12" s="30" t="inlineStr">
        <is>
          <t>healthcare</t>
        </is>
      </c>
      <c r="K12" s="30" t="inlineStr">
        <is>
          <t>pharmaceuticals - indian - bulk drugs &amp; formln</t>
        </is>
      </c>
      <c r="L12" s="30" t="inlineStr">
        <is>
          <t>smallcap</t>
        </is>
      </c>
      <c r="M12" s="31" t="n">
        <v>1674.8</v>
      </c>
      <c r="N12" s="31" t="n">
        <v>34.66</v>
      </c>
      <c r="O12" s="31" t="n">
        <v>10</v>
      </c>
      <c r="P12" s="31" t="n">
        <v>23572265</v>
      </c>
      <c r="Q12" s="30" t="n">
        <v>91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87.42</v>
      </c>
      <c r="U12" s="31" t="n">
        <v>47.11</v>
      </c>
      <c r="V12" s="31" t="inlineStr"/>
      <c r="W12" s="30" t="inlineStr">
        <is>
          <t>Earnings / Momentum Support</t>
        </is>
      </c>
      <c r="X12" s="30" t="inlineStr">
        <is>
          <t>Nifty Pharma</t>
        </is>
      </c>
      <c r="Y12" s="31" t="n">
        <v>25.55</v>
      </c>
      <c r="Z12" s="31" t="n">
        <v>144.89</v>
      </c>
      <c r="AA12" s="31" t="n">
        <v>95.05</v>
      </c>
      <c r="AB12" s="31" t="n">
        <v>44.02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Headwind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No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3</t>
        </is>
      </c>
      <c r="BH12" s="30">
        <f>IF(BG12="Stage 2",20,IF(BG12="Stage 1",0,IF(BG12="Stage 3",5,IF(BG12="Stage 4",-5,0))))</f>
        <v/>
      </c>
      <c r="BI12" s="30" t="inlineStr">
        <is>
          <t>Negative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Close to 52 week high or retracement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136.7</v>
      </c>
      <c r="E13" s="31" t="inlineStr">
        <is>
          <t>5%</t>
        </is>
      </c>
      <c r="F13" s="31" t="n">
        <v>50000</v>
      </c>
      <c r="G13" s="31" t="n">
        <v>92</v>
      </c>
      <c r="H13" s="30" t="inlineStr">
        <is>
          <t>NRBBEARING</t>
        </is>
      </c>
      <c r="I13" s="30" t="inlineStr">
        <is>
          <t>Nrb Bearing Limited</t>
        </is>
      </c>
      <c r="J13" s="30" t="inlineStr">
        <is>
          <t>industrials</t>
        </is>
      </c>
      <c r="K13" s="30" t="inlineStr">
        <is>
          <t>bearings</t>
        </is>
      </c>
      <c r="L13" s="30" t="inlineStr">
        <is>
          <t>midcap</t>
        </is>
      </c>
      <c r="M13" s="31" t="n">
        <v>5183.42</v>
      </c>
      <c r="N13" s="31" t="n">
        <v>541.5</v>
      </c>
      <c r="O13" s="31" t="n">
        <v>1.25</v>
      </c>
      <c r="P13" s="31" t="n">
        <v>1413609</v>
      </c>
      <c r="Q13" s="30" t="n">
        <v>66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74.94</v>
      </c>
      <c r="U13" s="31" t="n">
        <v>50.92</v>
      </c>
      <c r="V13" s="31" t="inlineStr"/>
      <c r="W13" s="30" t="inlineStr">
        <is>
          <t>Earnings / Momentum Support</t>
        </is>
      </c>
      <c r="X13" s="30" t="inlineStr">
        <is>
          <t>Nifty 50</t>
        </is>
      </c>
      <c r="Y13" s="31" t="n">
        <v>-6.14</v>
      </c>
      <c r="Z13" s="31" t="n">
        <v>96.40000000000001</v>
      </c>
      <c r="AA13" s="31" t="n">
        <v>109.25</v>
      </c>
      <c r="AB13" s="31" t="n">
        <v>24.37</v>
      </c>
      <c r="AC13" s="30" t="inlineStr">
        <is>
          <t>Cyclical in an Upturn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Headwind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No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3</t>
        </is>
      </c>
      <c r="BH13" s="30">
        <f>IF(BG13="Stage 2",20,IF(BG13="Stage 1",0,IF(BG13="Stage 3",5,IF(BG13="Stage 4",-5,0))))</f>
        <v/>
      </c>
      <c r="BI13" s="30" t="inlineStr">
        <is>
          <t>Negative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Close to 52 week high or retracement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137.8</v>
      </c>
      <c r="E14" s="31" t="inlineStr">
        <is>
          <t>5%</t>
        </is>
      </c>
      <c r="F14" s="31" t="n">
        <v>50000</v>
      </c>
      <c r="G14" s="31" t="n">
        <v>97</v>
      </c>
      <c r="H14" s="30" t="inlineStr">
        <is>
          <t>RUBYMILLS</t>
        </is>
      </c>
      <c r="I14" s="30" t="inlineStr">
        <is>
          <t>The Ruby Mills Limited</t>
        </is>
      </c>
      <c r="J14" s="30" t="inlineStr">
        <is>
          <t>textiles</t>
        </is>
      </c>
      <c r="K14" s="30" t="inlineStr">
        <is>
          <t>textiles - composite</t>
        </is>
      </c>
      <c r="L14" s="30" t="inlineStr">
        <is>
          <t>smallcap</t>
        </is>
      </c>
      <c r="M14" s="31" t="n">
        <v>1644.75</v>
      </c>
      <c r="N14" s="31" t="n">
        <v>510.6</v>
      </c>
      <c r="O14" s="31" t="n">
        <v>3.81</v>
      </c>
      <c r="P14" s="31" t="n">
        <v>95953</v>
      </c>
      <c r="Q14" s="30" t="n">
        <v>80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77.8</v>
      </c>
      <c r="U14" s="31" t="n">
        <v>53.02</v>
      </c>
      <c r="V14" s="31" t="inlineStr"/>
      <c r="W14" s="30" t="inlineStr">
        <is>
          <t>Earnings / Momentum Support</t>
        </is>
      </c>
      <c r="X14" s="30" t="inlineStr">
        <is>
          <t>Nifty 50</t>
        </is>
      </c>
      <c r="Y14" s="31" t="n">
        <v>-6.14</v>
      </c>
      <c r="Z14" s="31" t="n">
        <v>123.39</v>
      </c>
      <c r="AA14" s="31" t="n">
        <v>138.01</v>
      </c>
      <c r="AB14" s="31" t="n">
        <v>30.91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Headwind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No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3</t>
        </is>
      </c>
      <c r="BH14" s="30">
        <f>IF(BG14="Stage 2",20,IF(BG14="Stage 1",0,IF(BG14="Stage 3",5,IF(BG14="Stage 4",-5,0))))</f>
        <v/>
      </c>
      <c r="BI14" s="30" t="inlineStr">
        <is>
          <t>Negative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Close to 52 week high or retracement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Less than 12%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No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138.9</v>
      </c>
      <c r="E15" s="31" t="inlineStr">
        <is>
          <t>5%</t>
        </is>
      </c>
      <c r="F15" s="31" t="n">
        <v>50000</v>
      </c>
      <c r="G15" s="31" t="n">
        <v>41</v>
      </c>
      <c r="H15" s="32" t="inlineStr">
        <is>
          <t>ZYDUSLIFE</t>
        </is>
      </c>
      <c r="I15" s="32" t="inlineStr">
        <is>
          <t>Zydus Lifesciences Ltd</t>
        </is>
      </c>
      <c r="J15" s="30" t="inlineStr">
        <is>
          <t>healthcare</t>
        </is>
      </c>
      <c r="K15" s="30" t="inlineStr">
        <is>
          <t>pharmaceuticals - indian - bulk drugs &amp; formln</t>
        </is>
      </c>
      <c r="L15" s="30" t="inlineStr">
        <is>
          <t>largecap</t>
        </is>
      </c>
      <c r="M15" s="31" t="n">
        <v>120089.49</v>
      </c>
      <c r="N15" s="31" t="n">
        <v>1215</v>
      </c>
      <c r="O15" s="31" t="n">
        <v>0.92</v>
      </c>
      <c r="P15" s="31" t="n">
        <v>3986338</v>
      </c>
      <c r="Q15" s="30" t="n">
        <v>18</v>
      </c>
      <c r="R15" s="30" t="inlineStr">
        <is>
          <t>Underperforming</t>
        </is>
      </c>
      <c r="S15" s="31">
        <f>IF(R15="Underperforming",-5,IF(Q15&gt;=95,15,IF(Q15&gt;=90,10,IF(Q15&gt;=80,5,0))))</f>
        <v/>
      </c>
      <c r="T15" s="31" t="n">
        <v>66.01000000000001</v>
      </c>
      <c r="U15" s="31" t="n">
        <v>41.94</v>
      </c>
      <c r="V15" s="31" t="inlineStr"/>
      <c r="W15" s="30" t="inlineStr">
        <is>
          <t>Earnings / Momentum Support</t>
        </is>
      </c>
      <c r="X15" s="30" t="inlineStr">
        <is>
          <t>Nifty Pharma</t>
        </is>
      </c>
      <c r="Y15" s="31" t="n">
        <v>25.55</v>
      </c>
      <c r="Z15" s="31" t="n">
        <v>23.59</v>
      </c>
      <c r="AA15" s="31" t="n">
        <v>-1.57</v>
      </c>
      <c r="AB15" s="31" t="n">
        <v>6.7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Headwind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No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Between 50 to 75</t>
        </is>
      </c>
      <c r="BF15" s="30">
        <f>IF(BE15="Between 50 to 75",10,IF(BE15="Above 75",0,0))</f>
        <v/>
      </c>
      <c r="BG15" s="30" t="inlineStr">
        <is>
          <t>Stage 3</t>
        </is>
      </c>
      <c r="BH15" s="30">
        <f>IF(BG15="Stage 2",20,IF(BG15="Stage 1",0,IF(BG15="Stage 3",5,IF(BG15="Stage 4",-5,0))))</f>
        <v/>
      </c>
      <c r="BI15" s="30" t="inlineStr">
        <is>
          <t>Negative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Close to 52 week high or retracement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136</v>
      </c>
      <c r="E16" s="31" t="inlineStr">
        <is>
          <t>5%</t>
        </is>
      </c>
      <c r="F16" s="31" t="n">
        <v>50000</v>
      </c>
      <c r="G16" s="31" t="n">
        <v>69</v>
      </c>
      <c r="H16" s="30" t="inlineStr">
        <is>
          <t>ABDL</t>
        </is>
      </c>
      <c r="I16" s="30" t="inlineStr">
        <is>
          <t>Allied Blenders &amp; Distillers Ltd</t>
        </is>
      </c>
      <c r="J16" s="30" t="inlineStr">
        <is>
          <t>fmcg</t>
        </is>
      </c>
      <c r="K16" s="30" t="inlineStr">
        <is>
          <t>breweries &amp; distilleries</t>
        </is>
      </c>
      <c r="L16" s="30" t="inlineStr">
        <is>
          <t>largecap</t>
        </is>
      </c>
      <c r="M16" s="31" t="n">
        <v>20000.67</v>
      </c>
      <c r="N16" s="31" t="n">
        <v>723.45</v>
      </c>
      <c r="O16" s="31" t="n">
        <v>1.17</v>
      </c>
      <c r="P16" s="31" t="n">
        <v>1807712</v>
      </c>
      <c r="Q16" s="30" t="inlineStr"/>
      <c r="R16" s="30" t="inlineStr"/>
      <c r="S16" s="31">
        <f>IF(R16="Underperforming",-5,IF(Q16&gt;=95,15,IF(Q16&gt;=90,10,IF(Q16&gt;=80,5,0))))</f>
        <v/>
      </c>
      <c r="T16" s="31" t="n">
        <v>70.16</v>
      </c>
      <c r="U16" s="31" t="n">
        <v>26.13</v>
      </c>
      <c r="V16" s="31" t="inlineStr"/>
      <c r="W16" s="30" t="inlineStr">
        <is>
          <t>Earnings / Momentum Support</t>
        </is>
      </c>
      <c r="X16" s="30" t="inlineStr">
        <is>
          <t>Nifty FMCG</t>
        </is>
      </c>
      <c r="Y16" s="31" t="inlineStr"/>
      <c r="Z16" s="31" t="inlineStr"/>
      <c r="AA16" s="31" t="inlineStr"/>
      <c r="AB16" s="31" t="inlineStr"/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Headwind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B2C</t>
        </is>
      </c>
      <c r="AT16" s="30">
        <f>IF(AS16="B2C",10,IF(AS16="B2B",5,0))</f>
        <v/>
      </c>
      <c r="AU16" s="30" t="inlineStr">
        <is>
          <t>No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3</t>
        </is>
      </c>
      <c r="BH16" s="30">
        <f>IF(BG16="Stage 2",20,IF(BG16="Stage 1",0,IF(BG16="Stage 3",5,IF(BG16="Stage 4",-5,0))))</f>
        <v/>
      </c>
      <c r="BI16" s="30" t="inlineStr">
        <is>
          <t>Negative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Close to 52 week high or retracement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138.8</v>
      </c>
      <c r="E17" s="31" t="inlineStr">
        <is>
          <t>5%</t>
        </is>
      </c>
      <c r="F17" s="31" t="n">
        <v>50000</v>
      </c>
      <c r="G17" s="31" t="n">
        <v>66</v>
      </c>
      <c r="H17" s="30" t="inlineStr">
        <is>
          <t>SHREEJISPG</t>
        </is>
      </c>
      <c r="I17" s="30" t="inlineStr">
        <is>
          <t>Shreeji Shipping Global Ltd</t>
        </is>
      </c>
      <c r="J17" s="30" t="inlineStr">
        <is>
          <t>transportation</t>
        </is>
      </c>
      <c r="K17" s="30" t="inlineStr">
        <is>
          <t>shipping</t>
        </is>
      </c>
      <c r="L17" s="30" t="inlineStr">
        <is>
          <t>midcap</t>
        </is>
      </c>
      <c r="M17" s="31" t="n">
        <v>12258.78</v>
      </c>
      <c r="N17" s="31" t="n">
        <v>752.8</v>
      </c>
      <c r="O17" s="31" t="n">
        <v>0.05</v>
      </c>
      <c r="P17" s="31" t="n">
        <v>798667</v>
      </c>
      <c r="Q17" s="30" t="n">
        <v>87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82.17</v>
      </c>
      <c r="U17" s="31" t="n">
        <v>56.32</v>
      </c>
      <c r="V17" s="31" t="inlineStr"/>
      <c r="W17" s="30" t="inlineStr">
        <is>
          <t>Earnings / Momentum Support</t>
        </is>
      </c>
      <c r="X17" s="30" t="inlineStr">
        <is>
          <t>Nifty 50</t>
        </is>
      </c>
      <c r="Y17" s="31" t="n">
        <v>-6.14</v>
      </c>
      <c r="Z17" s="31" t="n">
        <v>206.27</v>
      </c>
      <c r="AA17" s="31" t="n">
        <v>226.31</v>
      </c>
      <c r="AB17" s="31" t="n">
        <v>38.64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Headwind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No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3</t>
        </is>
      </c>
      <c r="BH17" s="30">
        <f>IF(BG17="Stage 2",20,IF(BG17="Stage 1",0,IF(BG17="Stage 3",5,IF(BG17="Stage 4",-5,0))))</f>
        <v/>
      </c>
      <c r="BI17" s="30" t="inlineStr">
        <is>
          <t>Negative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Close to 52 week high or retracement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137.6</v>
      </c>
      <c r="E18" s="31" t="inlineStr">
        <is>
          <t>5%</t>
        </is>
      </c>
      <c r="F18" s="31" t="n">
        <v>50000</v>
      </c>
      <c r="G18" s="31" t="n">
        <v>13</v>
      </c>
      <c r="H18" s="30" t="inlineStr">
        <is>
          <t>SPECTRUM</t>
        </is>
      </c>
      <c r="I18" s="30" t="inlineStr">
        <is>
          <t>Spectrum Electrical Industries Ltd</t>
        </is>
      </c>
      <c r="J18" s="30" t="inlineStr">
        <is>
          <t>industrials</t>
        </is>
      </c>
      <c r="K18" s="30" t="inlineStr">
        <is>
          <t>electric equipment</t>
        </is>
      </c>
      <c r="L18" s="30" t="inlineStr">
        <is>
          <t>midcap</t>
        </is>
      </c>
      <c r="M18" s="31" t="n">
        <v>6012.74</v>
      </c>
      <c r="N18" s="31" t="n">
        <v>3578.7</v>
      </c>
      <c r="O18" s="31" t="n">
        <v>1.7</v>
      </c>
      <c r="P18" s="31" t="n">
        <v>7291</v>
      </c>
      <c r="Q18" s="30" t="n">
        <v>92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82.53</v>
      </c>
      <c r="U18" s="31" t="n">
        <v>64.26000000000001</v>
      </c>
      <c r="V18" s="31" t="inlineStr"/>
      <c r="W18" s="30" t="inlineStr">
        <is>
          <t>Earnings / Momentum Support</t>
        </is>
      </c>
      <c r="X18" s="30" t="inlineStr">
        <is>
          <t>Nifty 50</t>
        </is>
      </c>
      <c r="Y18" s="31" t="n">
        <v>-6.14</v>
      </c>
      <c r="Z18" s="31" t="n">
        <v>156.12</v>
      </c>
      <c r="AA18" s="31" t="n">
        <v>172.88</v>
      </c>
      <c r="AB18" s="31" t="n">
        <v>44.93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Headwind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No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Above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3</t>
        </is>
      </c>
      <c r="BH18" s="30">
        <f>IF(BG18="Stage 2",20,IF(BG18="Stage 1",0,IF(BG18="Stage 3",5,IF(BG18="Stage 4",-5,0))))</f>
        <v/>
      </c>
      <c r="BI18" s="30" t="inlineStr">
        <is>
          <t>Negative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Close to 52 week high or retracement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Between 0.7 to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140</v>
      </c>
      <c r="E19" s="31" t="inlineStr">
        <is>
          <t>5%</t>
        </is>
      </c>
      <c r="F19" s="31" t="n">
        <v>50000</v>
      </c>
      <c r="G19" s="31" t="n">
        <v>140</v>
      </c>
      <c r="H19" s="30" t="inlineStr">
        <is>
          <t>BAFNAPH</t>
        </is>
      </c>
      <c r="I19" s="30" t="inlineStr">
        <is>
          <t>Bafna Pharmaceuticals Ltd</t>
        </is>
      </c>
      <c r="J19" s="30" t="inlineStr">
        <is>
          <t>healthcare</t>
        </is>
      </c>
      <c r="K19" s="30" t="inlineStr">
        <is>
          <t>pharmaceuticals - indian - formulations</t>
        </is>
      </c>
      <c r="L19" s="30" t="inlineStr">
        <is>
          <t>smallcap</t>
        </is>
      </c>
      <c r="M19" s="31" t="n">
        <v>828.09</v>
      </c>
      <c r="N19" s="31" t="n">
        <v>357.05</v>
      </c>
      <c r="O19" s="31" t="n">
        <v>2</v>
      </c>
      <c r="P19" s="31" t="n">
        <v>1073</v>
      </c>
      <c r="Q19" s="30" t="n">
        <v>86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77.77</v>
      </c>
      <c r="U19" s="31" t="n">
        <v>62.15</v>
      </c>
      <c r="V19" s="31" t="inlineStr"/>
      <c r="W19" s="30" t="inlineStr">
        <is>
          <t>Earnings / Momentum Support</t>
        </is>
      </c>
      <c r="X19" s="30" t="inlineStr">
        <is>
          <t>Nifty Pharma</t>
        </is>
      </c>
      <c r="Y19" s="31" t="n">
        <v>25.55</v>
      </c>
      <c r="Z19" s="31" t="n">
        <v>98.52</v>
      </c>
      <c r="AA19" s="31" t="n">
        <v>58.12</v>
      </c>
      <c r="AB19" s="31" t="n">
        <v>38.55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Yes</t>
        </is>
      </c>
      <c r="AH19" s="30">
        <f>IF(AG19="No",5,0)</f>
        <v/>
      </c>
      <c r="AI19" s="30" t="inlineStr">
        <is>
          <t>Headwind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No</t>
        </is>
      </c>
      <c r="AV19" s="30">
        <f>IF(AU19="Yes",10,0)</f>
        <v/>
      </c>
      <c r="AW19" s="30" t="inlineStr">
        <is>
          <t>Higher Annuity, Lower One Time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Above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3</t>
        </is>
      </c>
      <c r="BH19" s="30">
        <f>IF(BG19="Stage 2",20,IF(BG19="Stage 1",0,IF(BG19="Stage 3",5,IF(BG19="Stage 4",-5,0))))</f>
        <v/>
      </c>
      <c r="BI19" s="30" t="inlineStr">
        <is>
          <t>Negative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Close to 52 week high or retracement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139.4</v>
      </c>
      <c r="E20" s="31" t="inlineStr">
        <is>
          <t>5%</t>
        </is>
      </c>
      <c r="F20" s="31" t="n">
        <v>50000</v>
      </c>
      <c r="G20" s="31" t="n">
        <v>111</v>
      </c>
      <c r="H20" s="30" t="inlineStr">
        <is>
          <t>SUNFLAG</t>
        </is>
      </c>
      <c r="I20" s="30" t="inlineStr">
        <is>
          <t>Sunflag Iron And Steel Company Limited</t>
        </is>
      </c>
      <c r="J20" s="30" t="inlineStr">
        <is>
          <t>metals &amp; mining</t>
        </is>
      </c>
      <c r="K20" s="30" t="inlineStr">
        <is>
          <t>steel - medium / small</t>
        </is>
      </c>
      <c r="L20" s="30" t="inlineStr">
        <is>
          <t>midcap</t>
        </is>
      </c>
      <c r="M20" s="31" t="n">
        <v>7400.71</v>
      </c>
      <c r="N20" s="31" t="n">
        <v>449.2</v>
      </c>
      <c r="O20" s="31" t="n">
        <v>9.390000000000001</v>
      </c>
      <c r="P20" s="31" t="n">
        <v>4467850</v>
      </c>
      <c r="Q20" s="30" t="inlineStr"/>
      <c r="R20" s="30" t="inlineStr"/>
      <c r="S20" s="31">
        <f>IF(R20="Underperforming",-5,IF(Q20&gt;=95,15,IF(Q20&gt;=90,10,IF(Q20&gt;=80,5,0))))</f>
        <v/>
      </c>
      <c r="T20" s="31" t="n">
        <v>67.26000000000001</v>
      </c>
      <c r="U20" s="31" t="n">
        <v>32.61</v>
      </c>
      <c r="V20" s="31" t="inlineStr"/>
      <c r="W20" s="30" t="inlineStr">
        <is>
          <t>Volume Spike / Accumulation</t>
        </is>
      </c>
      <c r="X20" s="30" t="inlineStr">
        <is>
          <t>Nifty Metal</t>
        </is>
      </c>
      <c r="Y20" s="31" t="inlineStr"/>
      <c r="Z20" s="31" t="inlineStr"/>
      <c r="AA20" s="31" t="inlineStr"/>
      <c r="AB20" s="31" t="inlineStr"/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Headwind</t>
        </is>
      </c>
      <c r="AJ20" s="30">
        <f>IF(AI20="Tailwind",10,0)</f>
        <v/>
      </c>
      <c r="AK20" s="30" t="inlineStr">
        <is>
          <t>Cyclical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Volatile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3</t>
        </is>
      </c>
      <c r="BH20" s="30">
        <f>IF(BG20="Stage 2",20,IF(BG20="Stage 1",0,IF(BG20="Stage 3",5,IF(BG20="Stage 4",-5,0))))</f>
        <v/>
      </c>
      <c r="BI20" s="30" t="inlineStr">
        <is>
          <t>Negative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Close to 52 week high or retracement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138.3</v>
      </c>
      <c r="E21" s="31" t="inlineStr">
        <is>
          <t>5%</t>
        </is>
      </c>
      <c r="F21" s="31" t="n">
        <v>50000</v>
      </c>
      <c r="G21" s="31" t="n">
        <v>292</v>
      </c>
      <c r="H21" s="30" t="inlineStr">
        <is>
          <t>MUKANDLTD</t>
        </is>
      </c>
      <c r="I21" s="30" t="inlineStr">
        <is>
          <t>Mukand Limited</t>
        </is>
      </c>
      <c r="J21" s="30" t="inlineStr">
        <is>
          <t>metals &amp; mining</t>
        </is>
      </c>
      <c r="K21" s="30" t="inlineStr">
        <is>
          <t>steel - medium / small</t>
        </is>
      </c>
      <c r="L21" s="30" t="inlineStr">
        <is>
          <t>smallcap</t>
        </is>
      </c>
      <c r="M21" s="31" t="n">
        <v>2413.8</v>
      </c>
      <c r="N21" s="31" t="n">
        <v>171.03</v>
      </c>
      <c r="O21" s="31" t="n">
        <v>2.38</v>
      </c>
      <c r="P21" s="31" t="n">
        <v>1597471</v>
      </c>
      <c r="Q21" s="30" t="inlineStr"/>
      <c r="R21" s="30" t="inlineStr"/>
      <c r="S21" s="31">
        <f>IF(R21="Underperforming",-5,IF(Q21&gt;=95,15,IF(Q21&gt;=90,10,IF(Q21&gt;=80,5,0))))</f>
        <v/>
      </c>
      <c r="T21" s="31" t="n">
        <v>69.47</v>
      </c>
      <c r="U21" s="31" t="n">
        <v>39.39</v>
      </c>
      <c r="V21" s="31" t="inlineStr"/>
      <c r="W21" s="30" t="inlineStr">
        <is>
          <t>Earnings / Momentum Support</t>
        </is>
      </c>
      <c r="X21" s="30" t="inlineStr">
        <is>
          <t>Nifty Metal</t>
        </is>
      </c>
      <c r="Y21" s="31" t="inlineStr"/>
      <c r="Z21" s="31" t="inlineStr"/>
      <c r="AA21" s="31" t="inlineStr"/>
      <c r="AB21" s="31" t="inlineStr"/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Headwind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No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3</t>
        </is>
      </c>
      <c r="BH21" s="30">
        <f>IF(BG21="Stage 2",20,IF(BG21="Stage 1",0,IF(BG21="Stage 3",5,IF(BG21="Stage 4",-5,0))))</f>
        <v/>
      </c>
      <c r="BI21" s="30" t="inlineStr">
        <is>
          <t>Negative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Close to 52 week high or retracement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Between 0.7 to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136.3</v>
      </c>
      <c r="E2" s="31" t="inlineStr">
        <is>
          <t>5%</t>
        </is>
      </c>
      <c r="F2" s="31" t="n">
        <v>50000</v>
      </c>
      <c r="G2" s="31" t="n">
        <v>514</v>
      </c>
      <c r="H2" s="30" t="inlineStr">
        <is>
          <t>SMCGLOBAL</t>
        </is>
      </c>
      <c r="I2" s="30" t="inlineStr">
        <is>
          <t>SMC Global Securities Ltd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smallcap</t>
        </is>
      </c>
      <c r="M2" s="31" t="n">
        <v>1792.46</v>
      </c>
      <c r="N2" s="31" t="n">
        <v>97.23</v>
      </c>
      <c r="O2" s="31" t="n">
        <v>13.59</v>
      </c>
      <c r="P2" s="31" t="n">
        <v>26689199</v>
      </c>
      <c r="Q2" s="30" t="n">
        <v>28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60.91</v>
      </c>
      <c r="U2" s="31" t="n">
        <v>32.32</v>
      </c>
      <c r="V2" s="31" t="inlineStr"/>
      <c r="W2" s="30" t="inlineStr">
        <is>
          <t>Volume Spike / Accumulation</t>
        </is>
      </c>
      <c r="X2" s="30" t="inlineStr">
        <is>
          <t>Nifty Bank</t>
        </is>
      </c>
      <c r="Y2" s="31" t="n">
        <v>2.19</v>
      </c>
      <c r="Z2" s="31" t="n">
        <v>23.95</v>
      </c>
      <c r="AA2" s="31" t="n">
        <v>21.29</v>
      </c>
      <c r="AB2" s="31" t="n">
        <v>10.57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Headwind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3</t>
        </is>
      </c>
      <c r="BV2" s="30">
        <f>IF(BU2="Stage 2",20,IF(BU2="Stage 1",0,IF(BU2="Stage 3",5,IF(BU2="Stage 4",-5,0))))</f>
        <v/>
      </c>
      <c r="BW2" s="30" t="inlineStr">
        <is>
          <t>Negative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Close to 52 week high or retracement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139.5</v>
      </c>
      <c r="E3" s="31" t="inlineStr">
        <is>
          <t>5%</t>
        </is>
      </c>
      <c r="F3" s="31" t="n">
        <v>50000</v>
      </c>
      <c r="G3" s="31" t="n">
        <v>74</v>
      </c>
      <c r="H3" s="30" t="inlineStr">
        <is>
          <t>GCSL</t>
        </is>
      </c>
      <c r="I3" s="30" t="inlineStr">
        <is>
          <t>Gretex Corporate Services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smallcap</t>
        </is>
      </c>
      <c r="M3" s="31" t="n">
        <v>1633.98</v>
      </c>
      <c r="N3" s="31" t="n">
        <v>667.35</v>
      </c>
      <c r="O3" s="31" t="n">
        <v>2.13</v>
      </c>
      <c r="P3" s="31" t="n">
        <v>273458</v>
      </c>
      <c r="Q3" s="30" t="n">
        <v>84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78.69</v>
      </c>
      <c r="U3" s="31" t="n">
        <v>34.2</v>
      </c>
      <c r="V3" s="31" t="inlineStr"/>
      <c r="W3" s="30" t="inlineStr">
        <is>
          <t>Earnings / Momentum Support</t>
        </is>
      </c>
      <c r="X3" s="30" t="inlineStr">
        <is>
          <t>Nifty Bank</t>
        </is>
      </c>
      <c r="Y3" s="31" t="n">
        <v>2.19</v>
      </c>
      <c r="Z3" s="31" t="n">
        <v>152.64</v>
      </c>
      <c r="AA3" s="31" t="n">
        <v>147.23</v>
      </c>
      <c r="AB3" s="31" t="n">
        <v>34.01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Headwind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No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above 5x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Above 75</t>
        </is>
      </c>
      <c r="BT3" s="30">
        <f>IF(BS3="Between 50 to 75",10,IF(BS3="Above 75",0,0))</f>
        <v/>
      </c>
      <c r="BU3" s="30" t="inlineStr">
        <is>
          <t>Stage 3</t>
        </is>
      </c>
      <c r="BV3" s="30">
        <f>IF(BU3="Stage 2",20,IF(BU3="Stage 1",0,IF(BU3="Stage 3",5,IF(BU3="Stage 4",-5,0))))</f>
        <v/>
      </c>
      <c r="BW3" s="30" t="inlineStr">
        <is>
          <t>Negative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Close to 52 week high or retracement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AIMTRON</t>
        </is>
      </c>
      <c r="D2" s="30" t="inlineStr">
        <is>
          <t>Aimtron Electronics Ltd</t>
        </is>
      </c>
      <c r="E2" s="30" t="inlineStr">
        <is>
          <t>unknown</t>
        </is>
      </c>
      <c r="F2" s="30" t="inlineStr">
        <is>
          <t>EMS</t>
        </is>
      </c>
      <c r="G2" s="30" t="inlineStr">
        <is>
          <t>smallcap</t>
        </is>
      </c>
      <c r="H2" s="31" t="n">
        <v>3819.83</v>
      </c>
      <c r="I2" s="31" t="n">
        <v>1795.5</v>
      </c>
      <c r="J2" s="31" t="n">
        <v>-5.01</v>
      </c>
      <c r="K2" s="31" t="n">
        <v>0</v>
      </c>
      <c r="L2" s="30" t="n">
        <v>83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72.8</v>
      </c>
      <c r="P2" s="31" t="n">
        <v>64.95999999999999</v>
      </c>
      <c r="Q2" s="31" t="n">
        <v>1412.12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-6.14</v>
      </c>
      <c r="U2" s="31" t="n">
        <v>167.61</v>
      </c>
      <c r="V2" s="31" t="n">
        <v>185.12</v>
      </c>
      <c r="W2" s="31" t="n">
        <v>33.52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ACCENTMIC</t>
        </is>
      </c>
      <c r="D3" s="30" t="inlineStr">
        <is>
          <t>Accent Microcell Ltd</t>
        </is>
      </c>
      <c r="E3" s="30" t="inlineStr">
        <is>
          <t>unknown</t>
        </is>
      </c>
      <c r="F3" s="30" t="inlineStr">
        <is>
          <t>Pharma Formulations</t>
        </is>
      </c>
      <c r="G3" s="30" t="inlineStr">
        <is>
          <t>smallcap</t>
        </is>
      </c>
      <c r="H3" s="31" t="n">
        <v>1633.53</v>
      </c>
      <c r="I3" s="31" t="n">
        <v>680.95</v>
      </c>
      <c r="J3" s="31" t="n">
        <v>0.9</v>
      </c>
      <c r="K3" s="31" t="n">
        <v>0</v>
      </c>
      <c r="L3" s="30" t="n">
        <v>82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74.64</v>
      </c>
      <c r="P3" s="31" t="n">
        <v>68.28</v>
      </c>
      <c r="Q3" s="31" t="n">
        <v>588.84</v>
      </c>
      <c r="R3" s="30" t="inlineStr">
        <is>
          <t>Earnings / Momentum Support</t>
        </is>
      </c>
      <c r="S3" s="30" t="inlineStr">
        <is>
          <t>Nifty 50</t>
        </is>
      </c>
      <c r="T3" s="31" t="n">
        <v>-6.14</v>
      </c>
      <c r="U3" s="31" t="n">
        <v>176.5</v>
      </c>
      <c r="V3" s="31" t="n">
        <v>194.59</v>
      </c>
      <c r="W3" s="31" t="n">
        <v>32.97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No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Close to 52 week high or retracement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18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ARTEMISMED</t>
        </is>
      </c>
      <c r="D4" s="30" t="inlineStr">
        <is>
          <t>Artemis Medicare Services Ltd</t>
        </is>
      </c>
      <c r="E4" s="30" t="inlineStr">
        <is>
          <t>healthcare</t>
        </is>
      </c>
      <c r="F4" s="30" t="inlineStr">
        <is>
          <t>Hospitals</t>
        </is>
      </c>
      <c r="G4" s="30" t="inlineStr">
        <is>
          <t>midcap</t>
        </is>
      </c>
      <c r="H4" s="31" t="n">
        <v>5818.55</v>
      </c>
      <c r="I4" s="31" t="n">
        <v>367.55</v>
      </c>
      <c r="J4" s="31" t="n">
        <v>2.75</v>
      </c>
      <c r="K4" s="31" t="n">
        <v>0</v>
      </c>
      <c r="L4" s="30" t="n">
        <v>54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76.58</v>
      </c>
      <c r="P4" s="31" t="n">
        <v>44.94</v>
      </c>
      <c r="Q4" s="31" t="n">
        <v>293.11</v>
      </c>
      <c r="R4" s="30" t="inlineStr">
        <is>
          <t>Near 52W High Breakout</t>
        </is>
      </c>
      <c r="S4" s="30" t="inlineStr">
        <is>
          <t>Nifty Pharma</t>
        </is>
      </c>
      <c r="T4" s="31" t="n">
        <v>25.55</v>
      </c>
      <c r="U4" s="31" t="n">
        <v>54.43</v>
      </c>
      <c r="V4" s="31" t="n">
        <v>23</v>
      </c>
      <c r="W4" s="31" t="n">
        <v>18.49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18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TIMEX</t>
        </is>
      </c>
      <c r="D5" s="30" t="inlineStr">
        <is>
          <t>Timex Group India Ltd</t>
        </is>
      </c>
      <c r="E5" s="30" t="inlineStr">
        <is>
          <t>Consumer Cyclical</t>
        </is>
      </c>
      <c r="F5" s="30" t="inlineStr">
        <is>
          <t>Watches</t>
        </is>
      </c>
      <c r="G5" s="30" t="inlineStr">
        <is>
          <t>midcap</t>
        </is>
      </c>
      <c r="H5" s="31" t="n">
        <v>7086.69</v>
      </c>
      <c r="I5" s="31" t="n">
        <v>702</v>
      </c>
      <c r="J5" s="31" t="n">
        <v>-4.12</v>
      </c>
      <c r="K5" s="31" t="n">
        <v>0</v>
      </c>
      <c r="L5" s="30" t="n">
        <v>81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73.48</v>
      </c>
      <c r="P5" s="31" t="n">
        <v>61.47</v>
      </c>
      <c r="Q5" s="31" t="inlineStr"/>
      <c r="R5" s="30" t="inlineStr">
        <is>
          <t>Earnings / Momentum Support</t>
        </is>
      </c>
      <c r="S5" s="30" t="inlineStr">
        <is>
          <t>Nifty 50</t>
        </is>
      </c>
      <c r="T5" s="31" t="n">
        <v>-6.14</v>
      </c>
      <c r="U5" s="31" t="n">
        <v>114.28</v>
      </c>
      <c r="V5" s="31" t="n">
        <v>128.3</v>
      </c>
      <c r="W5" s="31" t="n">
        <v>32.32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B2C</t>
        </is>
      </c>
      <c r="AO5" s="30">
        <f>IF(AN5="B2C",10,IF(AN5="B2B",5,0))</f>
        <v/>
      </c>
      <c r="AP5" s="30" t="inlineStr">
        <is>
          <t>No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3</t>
        </is>
      </c>
      <c r="BC5" s="30">
        <f>IF(BB5="Stage 2",20,IF(BB5="Stage 1",0,IF(BB5="Stage 3",5,IF(BB5="Stage 4",-5,0))))</f>
        <v/>
      </c>
      <c r="BD5" s="30" t="inlineStr">
        <is>
          <t>Negative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Close to 52 week high or retracement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20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MENONBE</t>
        </is>
      </c>
      <c r="D6" s="30" t="inlineStr">
        <is>
          <t>Menon Bearings Ltd</t>
        </is>
      </c>
      <c r="E6" s="30" t="inlineStr">
        <is>
          <t>Consumer Cyclical</t>
        </is>
      </c>
      <c r="F6" s="30" t="inlineStr">
        <is>
          <t>Bearings</t>
        </is>
      </c>
      <c r="G6" s="30" t="inlineStr">
        <is>
          <t>smallcap</t>
        </is>
      </c>
      <c r="H6" s="31" t="n">
        <v>1630.76</v>
      </c>
      <c r="I6" s="31" t="n">
        <v>291</v>
      </c>
      <c r="J6" s="31" t="n">
        <v>-2.43</v>
      </c>
      <c r="K6" s="31" t="n">
        <v>0</v>
      </c>
      <c r="L6" s="30" t="inlineStr"/>
      <c r="M6" s="30" t="inlineStr"/>
      <c r="N6" s="31">
        <f>IF(M6="Underperforming",-5,IF(L6&gt;=95,15,IF(L6&gt;=90,10,IF(L6&gt;=80,5,0))))</f>
        <v/>
      </c>
      <c r="O6" s="31" t="n">
        <v>71.45999999999999</v>
      </c>
      <c r="P6" s="31" t="n">
        <v>69.58</v>
      </c>
      <c r="Q6" s="31" t="inlineStr"/>
      <c r="R6" s="30" t="inlineStr">
        <is>
          <t>Earnings / Momentum Support</t>
        </is>
      </c>
      <c r="S6" s="30" t="inlineStr">
        <is>
          <t>Nifty Auto</t>
        </is>
      </c>
      <c r="T6" s="31" t="inlineStr"/>
      <c r="U6" s="31" t="inlineStr"/>
      <c r="V6" s="31" t="inlineStr"/>
      <c r="W6" s="31" t="inlineStr"/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No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3</t>
        </is>
      </c>
      <c r="BC6" s="30">
        <f>IF(BB6="Stage 2",20,IF(BB6="Stage 1",0,IF(BB6="Stage 3",5,IF(BB6="Stage 4",-5,0))))</f>
        <v/>
      </c>
      <c r="BD6" s="30" t="inlineStr">
        <is>
          <t>Negative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Close to 52 week high or retracement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20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RPTECH</t>
        </is>
      </c>
      <c r="D7" s="30" t="inlineStr">
        <is>
          <t>Rashi Peripherals Ltd</t>
        </is>
      </c>
      <c r="E7" s="30" t="inlineStr">
        <is>
          <t>i.t</t>
        </is>
      </c>
      <c r="F7" s="30" t="inlineStr">
        <is>
          <t>Trading</t>
        </is>
      </c>
      <c r="G7" s="30" t="inlineStr">
        <is>
          <t>midcap</t>
        </is>
      </c>
      <c r="H7" s="31" t="n">
        <v>5856.99</v>
      </c>
      <c r="I7" s="31" t="n">
        <v>882</v>
      </c>
      <c r="J7" s="31" t="n">
        <v>-1.23</v>
      </c>
      <c r="K7" s="31" t="n">
        <v>0</v>
      </c>
      <c r="L7" s="30" t="n">
        <v>82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70.88</v>
      </c>
      <c r="P7" s="31" t="n">
        <v>68.97</v>
      </c>
      <c r="Q7" s="31" t="inlineStr"/>
      <c r="R7" s="30" t="inlineStr">
        <is>
          <t>Earnings / Momentum Support</t>
        </is>
      </c>
      <c r="S7" s="30" t="inlineStr">
        <is>
          <t>Nifty IT</t>
        </is>
      </c>
      <c r="T7" s="31" t="n">
        <v>-16.44</v>
      </c>
      <c r="U7" s="31" t="n">
        <v>183.74</v>
      </c>
      <c r="V7" s="31" t="n">
        <v>239.57</v>
      </c>
      <c r="W7" s="31" t="n">
        <v>32.97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No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3</t>
        </is>
      </c>
      <c r="BC7" s="30">
        <f>IF(BB7="Stage 2",20,IF(BB7="Stage 1",0,IF(BB7="Stage 3",5,IF(BB7="Stage 4",-5,0))))</f>
        <v/>
      </c>
      <c r="BD7" s="30" t="inlineStr">
        <is>
          <t>Negative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Close to 52 week high or retracement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19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BIRLACABLE</t>
        </is>
      </c>
      <c r="D8" s="30" t="inlineStr">
        <is>
          <t>Birla Cable Ltd</t>
        </is>
      </c>
      <c r="E8" s="30" t="inlineStr">
        <is>
          <t>Technology</t>
        </is>
      </c>
      <c r="F8" s="30" t="inlineStr">
        <is>
          <t>Cables Telecom</t>
        </is>
      </c>
      <c r="G8" s="30" t="inlineStr">
        <is>
          <t>smallcap</t>
        </is>
      </c>
      <c r="H8" s="31" t="n">
        <v>1054.5</v>
      </c>
      <c r="I8" s="31" t="n">
        <v>351.5</v>
      </c>
      <c r="J8" s="31" t="n">
        <v>-3.02</v>
      </c>
      <c r="K8" s="31" t="n">
        <v>0</v>
      </c>
      <c r="L8" s="30" t="n">
        <v>89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69.58</v>
      </c>
      <c r="P8" s="31" t="n">
        <v>53.26</v>
      </c>
      <c r="Q8" s="31" t="inlineStr"/>
      <c r="R8" s="30" t="inlineStr">
        <is>
          <t>Earnings / Momentum Support</t>
        </is>
      </c>
      <c r="S8" s="30" t="inlineStr">
        <is>
          <t>Nifty 50</t>
        </is>
      </c>
      <c r="T8" s="31" t="n">
        <v>-6.14</v>
      </c>
      <c r="U8" s="31" t="n">
        <v>133.16</v>
      </c>
      <c r="V8" s="31" t="n">
        <v>148.42</v>
      </c>
      <c r="W8" s="31" t="n">
        <v>41.23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Oligopoly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Headwind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No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3</t>
        </is>
      </c>
      <c r="BC8" s="30">
        <f>IF(BB8="Stage 2",20,IF(BB8="Stage 1",0,IF(BB8="Stage 3",5,IF(BB8="Stage 4",-5,0))))</f>
        <v/>
      </c>
      <c r="BD8" s="30" t="inlineStr">
        <is>
          <t>Negative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Close to 52 week high or retracement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GNA</t>
        </is>
      </c>
      <c r="D9" s="30" t="inlineStr">
        <is>
          <t>GNA Axles Ltd</t>
        </is>
      </c>
      <c r="E9" s="30" t="inlineStr">
        <is>
          <t>auto</t>
        </is>
      </c>
      <c r="F9" s="30" t="inlineStr">
        <is>
          <t>Auto Axles</t>
        </is>
      </c>
      <c r="G9" s="30" t="inlineStr">
        <is>
          <t>smallcap</t>
        </is>
      </c>
      <c r="H9" s="31" t="n">
        <v>2580.14</v>
      </c>
      <c r="I9" s="31" t="n">
        <v>601</v>
      </c>
      <c r="J9" s="31" t="n">
        <v>-2.7</v>
      </c>
      <c r="K9" s="31" t="n">
        <v>0</v>
      </c>
      <c r="L9" s="30" t="inlineStr"/>
      <c r="M9" s="30" t="inlineStr"/>
      <c r="N9" s="31">
        <f>IF(M9="Underperforming",-5,IF(L9&gt;=95,15,IF(L9&gt;=90,10,IF(L9&gt;=80,5,0))))</f>
        <v/>
      </c>
      <c r="O9" s="31" t="n">
        <v>72.70999999999999</v>
      </c>
      <c r="P9" s="31" t="n">
        <v>50.86</v>
      </c>
      <c r="Q9" s="31" t="inlineStr"/>
      <c r="R9" s="30" t="inlineStr">
        <is>
          <t>Earnings / Momentum Support</t>
        </is>
      </c>
      <c r="S9" s="30" t="inlineStr">
        <is>
          <t>Nifty Auto</t>
        </is>
      </c>
      <c r="T9" s="31" t="inlineStr"/>
      <c r="U9" s="31" t="inlineStr"/>
      <c r="V9" s="31" t="inlineStr"/>
      <c r="W9" s="31" t="inlineStr"/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Headwind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No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3</t>
        </is>
      </c>
      <c r="BC9" s="30">
        <f>IF(BB9="Stage 2",20,IF(BB9="Stage 1",0,IF(BB9="Stage 3",5,IF(BB9="Stage 4",-5,0))))</f>
        <v/>
      </c>
      <c r="BD9" s="30" t="inlineStr">
        <is>
          <t>Negative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Close to 52 week high or retracement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22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KINGFA</t>
        </is>
      </c>
      <c r="D10" s="30" t="inlineStr">
        <is>
          <t>Kingfa Science &amp; Technology (India) Ltd</t>
        </is>
      </c>
      <c r="E10" s="30" t="inlineStr">
        <is>
          <t>plastic products</t>
        </is>
      </c>
      <c r="F10" s="30" t="inlineStr">
        <is>
          <t>Plastics Plastic and Plastic Products</t>
        </is>
      </c>
      <c r="G10" s="30" t="inlineStr">
        <is>
          <t>midcap</t>
        </is>
      </c>
      <c r="H10" s="31" t="n">
        <v>8655.27</v>
      </c>
      <c r="I10" s="31" t="n">
        <v>6387</v>
      </c>
      <c r="J10" s="31" t="n">
        <v>2.4</v>
      </c>
      <c r="K10" s="31" t="n">
        <v>0</v>
      </c>
      <c r="L10" s="30" t="n">
        <v>38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68.01000000000001</v>
      </c>
      <c r="P10" s="31" t="n">
        <v>41.63</v>
      </c>
      <c r="Q10" s="31" t="inlineStr"/>
      <c r="R10" s="30" t="inlineStr">
        <is>
          <t>Earnings / Momentum Support</t>
        </is>
      </c>
      <c r="S10" s="30" t="inlineStr">
        <is>
          <t>Nifty 50</t>
        </is>
      </c>
      <c r="T10" s="31" t="n">
        <v>-6.14</v>
      </c>
      <c r="U10" s="31" t="n">
        <v>44.01</v>
      </c>
      <c r="V10" s="31" t="n">
        <v>53.43</v>
      </c>
      <c r="W10" s="31" t="n">
        <v>13.11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Headwind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No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3</t>
        </is>
      </c>
      <c r="BC10" s="30">
        <f>IF(BB10="Stage 2",20,IF(BB10="Stage 1",0,IF(BB10="Stage 3",5,IF(BB10="Stage 4",-5,0))))</f>
        <v/>
      </c>
      <c r="BD10" s="30" t="inlineStr">
        <is>
          <t>Negative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Close to 52 week high or retracement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SHANTIGOLD</t>
        </is>
      </c>
      <c r="D11" s="30" t="inlineStr">
        <is>
          <t>Shanti Gold International Ltd</t>
        </is>
      </c>
      <c r="E11" s="30" t="inlineStr">
        <is>
          <t>consumer discretionary</t>
        </is>
      </c>
      <c r="F11" s="30" t="inlineStr">
        <is>
          <t>Diamond Gems and Jewellery</t>
        </is>
      </c>
      <c r="G11" s="30" t="inlineStr">
        <is>
          <t>smallcap</t>
        </is>
      </c>
      <c r="H11" s="31" t="n">
        <v>2381.99</v>
      </c>
      <c r="I11" s="31" t="n">
        <v>310.4</v>
      </c>
      <c r="J11" s="31" t="n">
        <v>-4.69</v>
      </c>
      <c r="K11" s="31" t="n">
        <v>0</v>
      </c>
      <c r="L11" s="30" t="n">
        <v>57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74.25</v>
      </c>
      <c r="P11" s="31" t="n">
        <v>41.32</v>
      </c>
      <c r="Q11" s="31" t="inlineStr"/>
      <c r="R11" s="30" t="inlineStr">
        <is>
          <t>Earnings / Momentum Support</t>
        </is>
      </c>
      <c r="S11" s="30" t="inlineStr">
        <is>
          <t>Nifty 50</t>
        </is>
      </c>
      <c r="T11" s="31" t="n">
        <v>-6.14</v>
      </c>
      <c r="U11" s="31" t="n">
        <v>49.17</v>
      </c>
      <c r="V11" s="31" t="n">
        <v>58.93</v>
      </c>
      <c r="W11" s="31" t="n">
        <v>20.46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Headwind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3</t>
        </is>
      </c>
      <c r="BC11" s="30">
        <f>IF(BB11="Stage 2",20,IF(BB11="Stage 1",0,IF(BB11="Stage 3",5,IF(BB11="Stage 4",-5,0))))</f>
        <v/>
      </c>
      <c r="BD11" s="30" t="inlineStr">
        <is>
          <t>Negative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VIKRAMTH</t>
        </is>
      </c>
      <c r="D12" s="30" t="inlineStr">
        <is>
          <t>Vikram Thermo (India) Ltd</t>
        </is>
      </c>
      <c r="E12" s="30" t="inlineStr">
        <is>
          <t>Healthcare</t>
        </is>
      </c>
      <c r="F12" s="30" t="inlineStr">
        <is>
          <t>Specialty Chemicals</t>
        </is>
      </c>
      <c r="G12" s="30" t="inlineStr">
        <is>
          <t>smallcap</t>
        </is>
      </c>
      <c r="H12" s="31" t="n">
        <v>1353.25</v>
      </c>
      <c r="I12" s="31" t="n">
        <v>431.55</v>
      </c>
      <c r="J12" s="31" t="n">
        <v>0.89</v>
      </c>
      <c r="K12" s="31" t="n">
        <v>0</v>
      </c>
      <c r="L12" s="30" t="n">
        <v>91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92.40000000000001</v>
      </c>
      <c r="P12" s="31" t="n">
        <v>70.11</v>
      </c>
      <c r="Q12" s="31" t="inlineStr"/>
      <c r="R12" s="30" t="inlineStr">
        <is>
          <t>Earnings / Momentum Support</t>
        </is>
      </c>
      <c r="S12" s="30" t="inlineStr">
        <is>
          <t>Nifty Pharma</t>
        </is>
      </c>
      <c r="T12" s="31" t="n">
        <v>25.55</v>
      </c>
      <c r="U12" s="31" t="n">
        <v>166.12</v>
      </c>
      <c r="V12" s="31" t="n">
        <v>111.96</v>
      </c>
      <c r="W12" s="31" t="n">
        <v>44.87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Headwind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No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3</t>
        </is>
      </c>
      <c r="BC12" s="30">
        <f>IF(BB12="Stage 2",20,IF(BB12="Stage 1",0,IF(BB12="Stage 3",5,IF(BB12="Stage 4",-5,0))))</f>
        <v/>
      </c>
      <c r="BD12" s="30" t="inlineStr">
        <is>
          <t>Negative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26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VINCOFE</t>
        </is>
      </c>
      <c r="D13" s="30" t="inlineStr">
        <is>
          <t>Vintage Coffee &amp; Beverages Ltd</t>
        </is>
      </c>
      <c r="E13" s="30" t="inlineStr">
        <is>
          <t>consumer discretionary</t>
        </is>
      </c>
      <c r="F13" s="30" t="inlineStr">
        <is>
          <t>FMCG Coffee</t>
        </is>
      </c>
      <c r="G13" s="30" t="inlineStr">
        <is>
          <t>smallcap</t>
        </is>
      </c>
      <c r="H13" s="31" t="n">
        <v>2630.2</v>
      </c>
      <c r="I13" s="31" t="n">
        <v>179.55</v>
      </c>
      <c r="J13" s="31" t="n">
        <v>-2.66</v>
      </c>
      <c r="K13" s="31" t="n">
        <v>0</v>
      </c>
      <c r="L13" s="30" t="n">
        <v>25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67.43000000000001</v>
      </c>
      <c r="P13" s="31" t="n">
        <v>29.12</v>
      </c>
      <c r="Q13" s="31" t="inlineStr"/>
      <c r="R13" s="30" t="inlineStr">
        <is>
          <t>Earnings / Momentum Support</t>
        </is>
      </c>
      <c r="S13" s="30" t="inlineStr">
        <is>
          <t>Nifty 50</t>
        </is>
      </c>
      <c r="T13" s="31" t="n">
        <v>-6.14</v>
      </c>
      <c r="U13" s="31" t="n">
        <v>24.54</v>
      </c>
      <c r="V13" s="31" t="n">
        <v>32.69</v>
      </c>
      <c r="W13" s="31" t="n">
        <v>9.619999999999999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Headwind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B2C</t>
        </is>
      </c>
      <c r="AO13" s="30">
        <f>IF(AN13="B2C",10,IF(AN13="B2B",5,0))</f>
        <v/>
      </c>
      <c r="AP13" s="30" t="inlineStr">
        <is>
          <t>No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3</t>
        </is>
      </c>
      <c r="BC13" s="30">
        <f>IF(BB13="Stage 2",20,IF(BB13="Stage 1",0,IF(BB13="Stage 3",5,IF(BB13="Stage 4",-5,0))))</f>
        <v/>
      </c>
      <c r="BD13" s="30" t="inlineStr">
        <is>
          <t>Negative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Close to 52 week high or retracement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19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TBZ</t>
        </is>
      </c>
      <c r="D14" s="30" t="inlineStr">
        <is>
          <t>Tribhovandas Bhimji Zaveri Ltd</t>
        </is>
      </c>
      <c r="E14" s="30" t="inlineStr">
        <is>
          <t>consumer discretionary</t>
        </is>
      </c>
      <c r="F14" s="30" t="inlineStr">
        <is>
          <t>Diamond Gems and Jewellery</t>
        </is>
      </c>
      <c r="G14" s="30" t="inlineStr">
        <is>
          <t>smallcap</t>
        </is>
      </c>
      <c r="H14" s="31" t="n">
        <v>4235.39</v>
      </c>
      <c r="I14" s="31" t="n">
        <v>634.7</v>
      </c>
      <c r="J14" s="31" t="n">
        <v>-3.19</v>
      </c>
      <c r="K14" s="31" t="n">
        <v>0</v>
      </c>
      <c r="L14" s="30" t="n">
        <v>99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92.70999999999999</v>
      </c>
      <c r="P14" s="31" t="n">
        <v>63.54</v>
      </c>
      <c r="Q14" s="31" t="inlineStr"/>
      <c r="R14" s="30" t="inlineStr">
        <is>
          <t>Earnings / Momentum Support</t>
        </is>
      </c>
      <c r="S14" s="30" t="inlineStr">
        <is>
          <t>Nifty 50</t>
        </is>
      </c>
      <c r="T14" s="31" t="n">
        <v>-6.14</v>
      </c>
      <c r="U14" s="31" t="n">
        <v>264.84</v>
      </c>
      <c r="V14" s="31" t="n">
        <v>288.71</v>
      </c>
      <c r="W14" s="31" t="n">
        <v>106.07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Headwind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No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3</t>
        </is>
      </c>
      <c r="BC14" s="30">
        <f>IF(BB14="Stage 2",20,IF(BB14="Stage 1",0,IF(BB14="Stage 3",5,IF(BB14="Stage 4",-5,0))))</f>
        <v/>
      </c>
      <c r="BD14" s="30" t="inlineStr">
        <is>
          <t>Negative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Close to 52 week high or retracement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Between 0.7 to 1.2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NRL</t>
        </is>
      </c>
      <c r="D15" s="30" t="inlineStr">
        <is>
          <t>Nupur Recyclers Ltd</t>
        </is>
      </c>
      <c r="E15" s="30" t="inlineStr">
        <is>
          <t>services</t>
        </is>
      </c>
      <c r="F15" s="30" t="inlineStr">
        <is>
          <t>Trading</t>
        </is>
      </c>
      <c r="G15" s="30" t="inlineStr">
        <is>
          <t>smallcap</t>
        </is>
      </c>
      <c r="H15" s="31" t="n">
        <v>1094.54</v>
      </c>
      <c r="I15" s="31" t="n">
        <v>158.47</v>
      </c>
      <c r="J15" s="31" t="n">
        <v>-2</v>
      </c>
      <c r="K15" s="31" t="n">
        <v>0</v>
      </c>
      <c r="L15" s="30" t="n">
        <v>93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92.91</v>
      </c>
      <c r="P15" s="31" t="n">
        <v>76.47</v>
      </c>
      <c r="Q15" s="31" t="inlineStr"/>
      <c r="R15" s="30" t="inlineStr">
        <is>
          <t>Earnings / Momentum Support</t>
        </is>
      </c>
      <c r="S15" s="30" t="inlineStr">
        <is>
          <t>Nifty 50</t>
        </is>
      </c>
      <c r="T15" s="31" t="n">
        <v>-6.14</v>
      </c>
      <c r="U15" s="31" t="n">
        <v>123.28</v>
      </c>
      <c r="V15" s="31" t="n">
        <v>137.89</v>
      </c>
      <c r="W15" s="31" t="n">
        <v>45.24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Headwind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No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3</t>
        </is>
      </c>
      <c r="BC15" s="30">
        <f>IF(BB15="Stage 2",20,IF(BB15="Stage 1",0,IF(BB15="Stage 3",5,IF(BB15="Stage 4",-5,0))))</f>
        <v/>
      </c>
      <c r="BD15" s="30" t="inlineStr">
        <is>
          <t>Negative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20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FILATEX</t>
        </is>
      </c>
      <c r="D16" s="30" t="inlineStr">
        <is>
          <t>Filatex India Ltd</t>
        </is>
      </c>
      <c r="E16" s="30" t="inlineStr">
        <is>
          <t>textiles</t>
        </is>
      </c>
      <c r="F16" s="30" t="inlineStr">
        <is>
          <t>Textiles Manmade PFY and PSF</t>
        </is>
      </c>
      <c r="G16" s="30" t="inlineStr">
        <is>
          <t>smallcap</t>
        </is>
      </c>
      <c r="H16" s="31" t="n">
        <v>4929.05</v>
      </c>
      <c r="I16" s="31" t="n">
        <v>111</v>
      </c>
      <c r="J16" s="31" t="n">
        <v>3.8</v>
      </c>
      <c r="K16" s="31" t="n">
        <v>0</v>
      </c>
      <c r="L16" s="30" t="n">
        <v>90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83.06999999999999</v>
      </c>
      <c r="P16" s="31" t="n">
        <v>50.53</v>
      </c>
      <c r="Q16" s="31" t="inlineStr"/>
      <c r="R16" s="30" t="inlineStr">
        <is>
          <t>Earnings / Momentum Support</t>
        </is>
      </c>
      <c r="S16" s="30" t="inlineStr">
        <is>
          <t>Nifty 50</t>
        </is>
      </c>
      <c r="T16" s="31" t="n">
        <v>-6.14</v>
      </c>
      <c r="U16" s="31" t="n">
        <v>107.76</v>
      </c>
      <c r="V16" s="31" t="n">
        <v>121.36</v>
      </c>
      <c r="W16" s="31" t="n">
        <v>43.53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Headwind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No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3</t>
        </is>
      </c>
      <c r="BC16" s="30">
        <f>IF(BB16="Stage 2",20,IF(BB16="Stage 1",0,IF(BB16="Stage 3",5,IF(BB16="Stage 4",-5,0))))</f>
        <v/>
      </c>
      <c r="BD16" s="30" t="inlineStr">
        <is>
          <t>Negative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Between 12 to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18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QUADFUTURE</t>
        </is>
      </c>
      <c r="D17" s="30" t="inlineStr">
        <is>
          <t>Quadrant Future Tek Ltd</t>
        </is>
      </c>
      <c r="E17" s="30" t="inlineStr">
        <is>
          <t>industrials</t>
        </is>
      </c>
      <c r="F17" s="30" t="inlineStr">
        <is>
          <t>Railways Kavach and Springs</t>
        </is>
      </c>
      <c r="G17" s="30" t="inlineStr">
        <is>
          <t>smallcap</t>
        </is>
      </c>
      <c r="H17" s="31" t="n">
        <v>2155.2</v>
      </c>
      <c r="I17" s="31" t="n">
        <v>538.8</v>
      </c>
      <c r="J17" s="31" t="n">
        <v>-1.59</v>
      </c>
      <c r="K17" s="31" t="n">
        <v>0</v>
      </c>
      <c r="L17" s="30" t="inlineStr"/>
      <c r="M17" s="30" t="inlineStr"/>
      <c r="N17" s="31">
        <f>IF(M17="Underperforming",-5,IF(L17&gt;=95,15,IF(L17&gt;=90,10,IF(L17&gt;=80,5,0))))</f>
        <v/>
      </c>
      <c r="O17" s="31" t="n">
        <v>71.97</v>
      </c>
      <c r="P17" s="31" t="n">
        <v>40.67</v>
      </c>
      <c r="Q17" s="31" t="inlineStr"/>
      <c r="R17" s="30" t="inlineStr">
        <is>
          <t>Earnings / Momentum Support</t>
        </is>
      </c>
      <c r="S17" s="30" t="inlineStr">
        <is>
          <t>Nifty Energy</t>
        </is>
      </c>
      <c r="T17" s="31" t="inlineStr"/>
      <c r="U17" s="31" t="inlineStr"/>
      <c r="V17" s="31" t="inlineStr"/>
      <c r="W17" s="31" t="inlineStr"/>
      <c r="X17" s="30" t="inlineStr">
        <is>
          <t>Cyclical in an Upturn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Headwind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No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3</t>
        </is>
      </c>
      <c r="BC17" s="30">
        <f>IF(BB17="Stage 2",20,IF(BB17="Stage 1",0,IF(BB17="Stage 3",5,IF(BB17="Stage 4",-5,0))))</f>
        <v/>
      </c>
      <c r="BD17" s="30" t="inlineStr">
        <is>
          <t>Negative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18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BLISSGVS</t>
        </is>
      </c>
      <c r="D18" s="30" t="inlineStr">
        <is>
          <t>Bliss GVS Pharma Ltd</t>
        </is>
      </c>
      <c r="E18" s="30" t="inlineStr">
        <is>
          <t>healthcare</t>
        </is>
      </c>
      <c r="F18" s="30" t="inlineStr">
        <is>
          <t>Pharma Formulations</t>
        </is>
      </c>
      <c r="G18" s="30" t="inlineStr">
        <is>
          <t>midcap</t>
        </is>
      </c>
      <c r="H18" s="31" t="n">
        <v>7867.39</v>
      </c>
      <c r="I18" s="31" t="n">
        <v>739.9</v>
      </c>
      <c r="J18" s="31" t="n">
        <v>5</v>
      </c>
      <c r="K18" s="31" t="n">
        <v>0</v>
      </c>
      <c r="L18" s="30" t="n">
        <v>95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80.98999999999999</v>
      </c>
      <c r="P18" s="31" t="n">
        <v>71.92</v>
      </c>
      <c r="Q18" s="31" t="inlineStr"/>
      <c r="R18" s="30" t="inlineStr">
        <is>
          <t>Volume Spike / Accumulation</t>
        </is>
      </c>
      <c r="S18" s="30" t="inlineStr">
        <is>
          <t>Nifty Pharma</t>
        </is>
      </c>
      <c r="T18" s="31" t="n">
        <v>25.55</v>
      </c>
      <c r="U18" s="31" t="n">
        <v>388.71</v>
      </c>
      <c r="V18" s="31" t="n">
        <v>289.25</v>
      </c>
      <c r="W18" s="31" t="n">
        <v>51.78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Headwind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3</t>
        </is>
      </c>
      <c r="BC18" s="30">
        <f>IF(BB18="Stage 2",20,IF(BB18="Stage 1",0,IF(BB18="Stage 3",5,IF(BB18="Stage 4",-5,0))))</f>
        <v/>
      </c>
      <c r="BD18" s="30" t="inlineStr">
        <is>
          <t>Negative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Between 12 to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19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2" t="inlineStr">
        <is>
          <t>SYNCOMF</t>
        </is>
      </c>
      <c r="D19" s="32" t="inlineStr">
        <is>
          <t>Syncom Formulations (India) Ltd</t>
        </is>
      </c>
      <c r="E19" s="30" t="inlineStr">
        <is>
          <t>healthcare</t>
        </is>
      </c>
      <c r="F19" s="30" t="inlineStr">
        <is>
          <t>Pharma Others</t>
        </is>
      </c>
      <c r="G19" s="30" t="inlineStr">
        <is>
          <t>smallcap</t>
        </is>
      </c>
      <c r="H19" s="31" t="n">
        <v>2099.96</v>
      </c>
      <c r="I19" s="31" t="n">
        <v>22.34</v>
      </c>
      <c r="J19" s="31" t="n">
        <v>11.42</v>
      </c>
      <c r="K19" s="31" t="n">
        <v>0</v>
      </c>
      <c r="L19" s="30" t="n">
        <v>46</v>
      </c>
      <c r="M19" s="30" t="inlineStr">
        <is>
          <t>Underperforming</t>
        </is>
      </c>
      <c r="N19" s="31">
        <f>IF(M19="Underperforming",-5,IF(L19&gt;=95,15,IF(L19&gt;=90,10,IF(L19&gt;=80,5,0))))</f>
        <v/>
      </c>
      <c r="O19" s="31" t="n">
        <v>71.3</v>
      </c>
      <c r="P19" s="31" t="n">
        <v>32.97</v>
      </c>
      <c r="Q19" s="31" t="inlineStr"/>
      <c r="R19" s="30" t="inlineStr">
        <is>
          <t>Volume Spike / Accumulation</t>
        </is>
      </c>
      <c r="S19" s="30" t="inlineStr">
        <is>
          <t>Nifty Pharma</t>
        </is>
      </c>
      <c r="T19" s="31" t="n">
        <v>25.55</v>
      </c>
      <c r="U19" s="31" t="n">
        <v>21.45</v>
      </c>
      <c r="V19" s="31" t="n">
        <v>-3.27</v>
      </c>
      <c r="W19" s="31" t="n">
        <v>15.98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Headwind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3</t>
        </is>
      </c>
      <c r="BC19" s="30">
        <f>IF(BB19="Stage 2",20,IF(BB19="Stage 1",0,IF(BB19="Stage 3",5,IF(BB19="Stage 4",-5,0))))</f>
        <v/>
      </c>
      <c r="BD19" s="30" t="inlineStr">
        <is>
          <t>Negative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Close to 52 week high or retracement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19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SKYGOLD</t>
        </is>
      </c>
      <c r="D20" s="30" t="inlineStr">
        <is>
          <t>Sky Gold &amp; Diamonds Ltd</t>
        </is>
      </c>
      <c r="E20" s="30" t="inlineStr">
        <is>
          <t>Consumer Cyclical</t>
        </is>
      </c>
      <c r="F20" s="30" t="inlineStr">
        <is>
          <t>Diamond Gems and Jewellery</t>
        </is>
      </c>
      <c r="G20" s="30" t="inlineStr">
        <is>
          <t>midcap</t>
        </is>
      </c>
      <c r="H20" s="31" t="n">
        <v>12343.45</v>
      </c>
      <c r="I20" s="31" t="n">
        <v>797</v>
      </c>
      <c r="J20" s="31" t="n">
        <v>0.43</v>
      </c>
      <c r="K20" s="31" t="n">
        <v>0</v>
      </c>
      <c r="L20" s="30" t="n">
        <v>86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71.64</v>
      </c>
      <c r="P20" s="31" t="n">
        <v>67.89</v>
      </c>
      <c r="Q20" s="31" t="inlineStr"/>
      <c r="R20" s="30" t="inlineStr">
        <is>
          <t>Earnings / Momentum Support</t>
        </is>
      </c>
      <c r="S20" s="30" t="inlineStr">
        <is>
          <t>Nifty 50</t>
        </is>
      </c>
      <c r="T20" s="31" t="n">
        <v>-6.14</v>
      </c>
      <c r="U20" s="31" t="n">
        <v>191.21</v>
      </c>
      <c r="V20" s="31" t="n">
        <v>210.27</v>
      </c>
      <c r="W20" s="31" t="n">
        <v>38.15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Headwind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No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3</t>
        </is>
      </c>
      <c r="BC20" s="30">
        <f>IF(BB20="Stage 2",20,IF(BB20="Stage 1",0,IF(BB20="Stage 3",5,IF(BB20="Stage 4",-5,0))))</f>
        <v/>
      </c>
      <c r="BD20" s="30" t="inlineStr">
        <is>
          <t>Negative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24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ARROWGREEN</t>
        </is>
      </c>
      <c r="D21" s="30" t="inlineStr">
        <is>
          <t>Arrow Greentech Ltd</t>
        </is>
      </c>
      <c r="E21" s="30" t="inlineStr">
        <is>
          <t>plastic products</t>
        </is>
      </c>
      <c r="F21" s="30" t="inlineStr">
        <is>
          <t>Plastics Plastic and Plastic Products</t>
        </is>
      </c>
      <c r="G21" s="30" t="inlineStr">
        <is>
          <t>smallcap</t>
        </is>
      </c>
      <c r="H21" s="31" t="n">
        <v>1329.4</v>
      </c>
      <c r="I21" s="31" t="n">
        <v>881.1</v>
      </c>
      <c r="J21" s="31" t="n">
        <v>-2.73</v>
      </c>
      <c r="K21" s="31" t="n">
        <v>0</v>
      </c>
      <c r="L21" s="30" t="n">
        <v>71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71.90000000000001</v>
      </c>
      <c r="P21" s="31" t="n">
        <v>49.83</v>
      </c>
      <c r="Q21" s="31" t="inlineStr"/>
      <c r="R21" s="30" t="inlineStr">
        <is>
          <t>Earnings / Momentum Support</t>
        </is>
      </c>
      <c r="S21" s="30" t="inlineStr">
        <is>
          <t>Nifty 50</t>
        </is>
      </c>
      <c r="T21" s="31" t="n">
        <v>-6.14</v>
      </c>
      <c r="U21" s="31" t="n">
        <v>66.47</v>
      </c>
      <c r="V21" s="31" t="n">
        <v>77.36</v>
      </c>
      <c r="W21" s="31" t="n">
        <v>26.22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Headwind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No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3</t>
        </is>
      </c>
      <c r="BC21" s="30">
        <f>IF(BB21="Stage 2",20,IF(BB21="Stage 1",0,IF(BB21="Stage 3",5,IF(BB21="Stage 4",-5,0))))</f>
        <v/>
      </c>
      <c r="BD21" s="30" t="inlineStr">
        <is>
          <t>Negative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23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PCJEWELLER</t>
        </is>
      </c>
      <c r="D22" s="30" t="inlineStr">
        <is>
          <t>PC Jeweller Ltd</t>
        </is>
      </c>
      <c r="E22" s="30" t="inlineStr">
        <is>
          <t>consumer discretionary</t>
        </is>
      </c>
      <c r="F22" s="30" t="inlineStr">
        <is>
          <t>Diamond Gems and Jewellery</t>
        </is>
      </c>
      <c r="G22" s="30" t="inlineStr">
        <is>
          <t>midcap</t>
        </is>
      </c>
      <c r="H22" s="31" t="n">
        <v>13289.51</v>
      </c>
      <c r="I22" s="31" t="n">
        <v>13.55</v>
      </c>
      <c r="J22" s="31" t="n">
        <v>-3.97</v>
      </c>
      <c r="K22" s="31" t="n">
        <v>0</v>
      </c>
      <c r="L22" s="30" t="n">
        <v>57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69.79000000000001</v>
      </c>
      <c r="P22" s="31" t="n">
        <v>34</v>
      </c>
      <c r="Q22" s="31" t="inlineStr"/>
      <c r="R22" s="30" t="inlineStr">
        <is>
          <t>Earnings / Momentum Support</t>
        </is>
      </c>
      <c r="S22" s="30" t="inlineStr">
        <is>
          <t>Nifty 50</t>
        </is>
      </c>
      <c r="T22" s="31" t="n">
        <v>-6.14</v>
      </c>
      <c r="U22" s="31" t="n">
        <v>16.13</v>
      </c>
      <c r="V22" s="31" t="n">
        <v>23.73</v>
      </c>
      <c r="W22" s="31" t="n">
        <v>19.82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Headwind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3</t>
        </is>
      </c>
      <c r="BC22" s="30">
        <f>IF(BB22="Stage 2",20,IF(BB22="Stage 1",0,IF(BB22="Stage 3",5,IF(BB22="Stage 4",-5,0))))</f>
        <v/>
      </c>
      <c r="BD22" s="30" t="inlineStr">
        <is>
          <t>Negative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23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MOTISONS</t>
        </is>
      </c>
      <c r="D23" s="30" t="inlineStr">
        <is>
          <t>Motisons Jewellers Ltd</t>
        </is>
      </c>
      <c r="E23" s="30" t="inlineStr">
        <is>
          <t>consumer discretionary</t>
        </is>
      </c>
      <c r="F23" s="30" t="inlineStr">
        <is>
          <t>Diamond Gems and Jewellery</t>
        </is>
      </c>
      <c r="G23" s="30" t="inlineStr">
        <is>
          <t>smallcap</t>
        </is>
      </c>
      <c r="H23" s="31" t="n">
        <v>2053.2</v>
      </c>
      <c r="I23" s="31" t="n">
        <v>18.05</v>
      </c>
      <c r="J23" s="31" t="n">
        <v>1.12</v>
      </c>
      <c r="K23" s="31" t="n">
        <v>0</v>
      </c>
      <c r="L23" s="30" t="n">
        <v>19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63.54</v>
      </c>
      <c r="P23" s="31" t="n">
        <v>26.39</v>
      </c>
      <c r="Q23" s="31" t="inlineStr"/>
      <c r="R23" s="30" t="inlineStr">
        <is>
          <t>Earnings / Momentum Support</t>
        </is>
      </c>
      <c r="S23" s="30" t="inlineStr">
        <is>
          <t>Nifty 50</t>
        </is>
      </c>
      <c r="T23" s="31" t="n">
        <v>-6.14</v>
      </c>
      <c r="U23" s="31" t="n">
        <v>-1.92</v>
      </c>
      <c r="V23" s="31" t="n">
        <v>4.49</v>
      </c>
      <c r="W23" s="31" t="n">
        <v>7.28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No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3</t>
        </is>
      </c>
      <c r="BC23" s="30">
        <f>IF(BB23="Stage 2",20,IF(BB23="Stage 1",0,IF(BB23="Stage 3",5,IF(BB23="Stage 4",-5,0))))</f>
        <v/>
      </c>
      <c r="BD23" s="30" t="inlineStr">
        <is>
          <t>Negative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21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IBULLSLTD</t>
        </is>
      </c>
      <c r="D24" s="30" t="inlineStr">
        <is>
          <t>Indiabulls Limited</t>
        </is>
      </c>
      <c r="E24" s="30" t="inlineStr">
        <is>
          <t>miscellaneous</t>
        </is>
      </c>
      <c r="F24" s="30" t="inlineStr">
        <is>
          <t>Diversified</t>
        </is>
      </c>
      <c r="G24" s="30" t="inlineStr">
        <is>
          <t>midcap</t>
        </is>
      </c>
      <c r="H24" s="31" t="n">
        <v>6761.06</v>
      </c>
      <c r="I24" s="31" t="n">
        <v>28.99</v>
      </c>
      <c r="J24" s="31" t="n">
        <v>-2.82</v>
      </c>
      <c r="K24" s="31" t="n">
        <v>0</v>
      </c>
      <c r="L24" s="30" t="n">
        <v>79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64.40000000000001</v>
      </c>
      <c r="P24" s="31" t="n">
        <v>39.66</v>
      </c>
      <c r="Q24" s="31" t="inlineStr"/>
      <c r="R24" s="30" t="inlineStr">
        <is>
          <t>Earnings / Momentum Support</t>
        </is>
      </c>
      <c r="S24" s="30" t="inlineStr">
        <is>
          <t>Nifty 50</t>
        </is>
      </c>
      <c r="T24" s="31" t="n">
        <v>-6.14</v>
      </c>
      <c r="U24" s="31" t="n">
        <v>59.09</v>
      </c>
      <c r="V24" s="31" t="n">
        <v>69.5</v>
      </c>
      <c r="W24" s="31" t="n">
        <v>30.55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Headwind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3</t>
        </is>
      </c>
      <c r="BC24" s="30">
        <f>IF(BB24="Stage 2",20,IF(BB24="Stage 1",0,IF(BB24="Stage 3",5,IF(BB24="Stage 4",-5,0))))</f>
        <v/>
      </c>
      <c r="BD24" s="30" t="inlineStr">
        <is>
          <t>Negative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IGPL</t>
        </is>
      </c>
      <c r="D25" s="30" t="inlineStr">
        <is>
          <t>I G Petrochemicals Ltd</t>
        </is>
      </c>
      <c r="E25" s="30" t="inlineStr">
        <is>
          <t>chemicals</t>
        </is>
      </c>
      <c r="F25" s="30" t="inlineStr">
        <is>
          <t>Chemicals Organic Maleic Anhydride</t>
        </is>
      </c>
      <c r="G25" s="30" t="inlineStr">
        <is>
          <t>smallcap</t>
        </is>
      </c>
      <c r="H25" s="31" t="n">
        <v>1791.34</v>
      </c>
      <c r="I25" s="31" t="n">
        <v>581.7</v>
      </c>
      <c r="J25" s="31" t="n">
        <v>-1.93</v>
      </c>
      <c r="K25" s="31" t="n">
        <v>0</v>
      </c>
      <c r="L25" s="30" t="n">
        <v>45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71.66</v>
      </c>
      <c r="P25" s="31" t="n">
        <v>35.33</v>
      </c>
      <c r="Q25" s="31" t="inlineStr"/>
      <c r="R25" s="30" t="inlineStr">
        <is>
          <t>Earnings / Momentum Support</t>
        </is>
      </c>
      <c r="S25" s="30" t="inlineStr">
        <is>
          <t>Nifty 50</t>
        </is>
      </c>
      <c r="T25" s="31" t="n">
        <v>-6.14</v>
      </c>
      <c r="U25" s="31" t="n">
        <v>43.43</v>
      </c>
      <c r="V25" s="31" t="n">
        <v>52.82</v>
      </c>
      <c r="W25" s="31" t="n">
        <v>15.94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Headwind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No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3</t>
        </is>
      </c>
      <c r="BC25" s="30">
        <f>IF(BB25="Stage 2",20,IF(BB25="Stage 1",0,IF(BB25="Stage 3",5,IF(BB25="Stage 4",-5,0))))</f>
        <v/>
      </c>
      <c r="BD25" s="30" t="inlineStr">
        <is>
          <t>Negative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20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MBECL</t>
        </is>
      </c>
      <c r="D26" s="30" t="inlineStr">
        <is>
          <t>McNally Bharat Engineering Company Ltd</t>
        </is>
      </c>
      <c r="E26" s="30" t="inlineStr">
        <is>
          <t>realty</t>
        </is>
      </c>
      <c r="F26" s="30" t="inlineStr">
        <is>
          <t>Engineering Turnkey Services</t>
        </is>
      </c>
      <c r="G26" s="30" t="inlineStr">
        <is>
          <t>smallcap</t>
        </is>
      </c>
      <c r="H26" s="31" t="n">
        <v>1551.73</v>
      </c>
      <c r="I26" s="31" t="n">
        <v>465.52</v>
      </c>
      <c r="J26" s="31" t="n">
        <v>2</v>
      </c>
      <c r="K26" s="31" t="n">
        <v>0</v>
      </c>
      <c r="L26" s="30" t="inlineStr"/>
      <c r="M26" s="30" t="inlineStr"/>
      <c r="N26" s="31">
        <f>IF(M26="Underperforming",-5,IF(L26&gt;=95,15,IF(L26&gt;=90,10,IF(L26&gt;=80,5,0))))</f>
        <v/>
      </c>
      <c r="O26" s="31" t="n">
        <v>99.95999999999999</v>
      </c>
      <c r="P26" s="31" t="n">
        <v>72.98999999999999</v>
      </c>
      <c r="Q26" s="31" t="inlineStr"/>
      <c r="R26" s="30" t="inlineStr">
        <is>
          <t>Earnings / Momentum Support</t>
        </is>
      </c>
      <c r="S26" s="30" t="inlineStr">
        <is>
          <t>Nifty Realty</t>
        </is>
      </c>
      <c r="T26" s="31" t="inlineStr"/>
      <c r="U26" s="31" t="inlineStr"/>
      <c r="V26" s="31" t="inlineStr"/>
      <c r="W26" s="31" t="inlineStr"/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Headwind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3</t>
        </is>
      </c>
      <c r="BC26" s="30">
        <f>IF(BB26="Stage 2",20,IF(BB26="Stage 1",0,IF(BB26="Stage 3",5,IF(BB26="Stage 4",-5,0))))</f>
        <v/>
      </c>
      <c r="BD26" s="30" t="inlineStr">
        <is>
          <t>Negative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20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MVGJL</t>
        </is>
      </c>
      <c r="D27" s="30" t="inlineStr">
        <is>
          <t>Manoj Vaibhav Gems N Jewellers Ltd</t>
        </is>
      </c>
      <c r="E27" s="30" t="inlineStr">
        <is>
          <t>consumer discretionary</t>
        </is>
      </c>
      <c r="F27" s="30" t="inlineStr">
        <is>
          <t>Diamond Gems and Jewellery</t>
        </is>
      </c>
      <c r="G27" s="30" t="inlineStr">
        <is>
          <t>smallcap</t>
        </is>
      </c>
      <c r="H27" s="31" t="n">
        <v>1058.04</v>
      </c>
      <c r="I27" s="31" t="n">
        <v>216.6</v>
      </c>
      <c r="J27" s="31" t="n">
        <v>-3.47</v>
      </c>
      <c r="K27" s="31" t="n">
        <v>0</v>
      </c>
      <c r="L27" s="30" t="n">
        <v>51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71.81</v>
      </c>
      <c r="P27" s="31" t="n">
        <v>21.48</v>
      </c>
      <c r="Q27" s="31" t="inlineStr"/>
      <c r="R27" s="30" t="inlineStr">
        <is>
          <t>Earnings / Momentum Support</t>
        </is>
      </c>
      <c r="S27" s="30" t="inlineStr">
        <is>
          <t>Nifty 50</t>
        </is>
      </c>
      <c r="T27" s="31" t="n">
        <v>-6.14</v>
      </c>
      <c r="U27" s="31" t="n">
        <v>17.52</v>
      </c>
      <c r="V27" s="31" t="n">
        <v>25.21</v>
      </c>
      <c r="W27" s="31" t="n">
        <v>17.6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Headwind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No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3</t>
        </is>
      </c>
      <c r="BC27" s="30">
        <f>IF(BB27="Stage 2",20,IF(BB27="Stage 1",0,IF(BB27="Stage 3",5,IF(BB27="Stage 4",-5,0))))</f>
        <v/>
      </c>
      <c r="BD27" s="30" t="inlineStr">
        <is>
          <t>Negative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20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CUPID</t>
        </is>
      </c>
      <c r="D28" s="30" t="inlineStr">
        <is>
          <t>Cupid Ltd</t>
        </is>
      </c>
      <c r="E28" s="30" t="inlineStr">
        <is>
          <t>Consumer Defensive</t>
        </is>
      </c>
      <c r="F28" s="30" t="inlineStr">
        <is>
          <t>Contraceptives and Protectives</t>
        </is>
      </c>
      <c r="G28" s="30" t="inlineStr">
        <is>
          <t>largecap</t>
        </is>
      </c>
      <c r="H28" s="31" t="n">
        <v>35505.77</v>
      </c>
      <c r="I28" s="31" t="n">
        <v>264.05</v>
      </c>
      <c r="J28" s="31" t="n">
        <v>-2.2</v>
      </c>
      <c r="K28" s="31" t="n">
        <v>0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76.61</v>
      </c>
      <c r="P28" s="31" t="n">
        <v>66.5</v>
      </c>
      <c r="Q28" s="31" t="inlineStr"/>
      <c r="R28" s="30" t="inlineStr">
        <is>
          <t>Earnings / Momentum Support</t>
        </is>
      </c>
      <c r="S28" s="30" t="inlineStr">
        <is>
          <t>Nifty 50</t>
        </is>
      </c>
      <c r="T28" s="31" t="n">
        <v>-6.14</v>
      </c>
      <c r="U28" s="31" t="n">
        <v>526.39</v>
      </c>
      <c r="V28" s="31" t="n">
        <v>567.38</v>
      </c>
      <c r="W28" s="31" t="n">
        <v>64.44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Headwind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3</t>
        </is>
      </c>
      <c r="BC28" s="30">
        <f>IF(BB28="Stage 2",20,IF(BB28="Stage 1",0,IF(BB28="Stage 3",5,IF(BB28="Stage 4",-5,0))))</f>
        <v/>
      </c>
      <c r="BD28" s="30" t="inlineStr">
        <is>
          <t>Negative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18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GHCLTEXTIL</t>
        </is>
      </c>
      <c r="D29" s="30" t="inlineStr">
        <is>
          <t>GHCL Textiles Ltd</t>
        </is>
      </c>
      <c r="E29" s="30" t="inlineStr">
        <is>
          <t>textiles</t>
        </is>
      </c>
      <c r="F29" s="30" t="inlineStr">
        <is>
          <t>Textiles General</t>
        </is>
      </c>
      <c r="G29" s="30" t="inlineStr">
        <is>
          <t>smallcap</t>
        </is>
      </c>
      <c r="H29" s="31" t="n">
        <v>1286.68</v>
      </c>
      <c r="I29" s="31" t="n">
        <v>134.61</v>
      </c>
      <c r="J29" s="31" t="n">
        <v>-3.24</v>
      </c>
      <c r="K29" s="31" t="n">
        <v>0</v>
      </c>
      <c r="L29" s="30" t="n">
        <v>68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70.64</v>
      </c>
      <c r="P29" s="31" t="n">
        <v>50.37</v>
      </c>
      <c r="Q29" s="31" t="inlineStr"/>
      <c r="R29" s="30" t="inlineStr">
        <is>
          <t>Earnings / Momentum Support</t>
        </is>
      </c>
      <c r="S29" s="30" t="inlineStr">
        <is>
          <t>Nifty 50</t>
        </is>
      </c>
      <c r="T29" s="31" t="n">
        <v>-6.14</v>
      </c>
      <c r="U29" s="31" t="n">
        <v>80.98</v>
      </c>
      <c r="V29" s="31" t="n">
        <v>92.81999999999999</v>
      </c>
      <c r="W29" s="31" t="n">
        <v>24.92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Headwind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No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3</t>
        </is>
      </c>
      <c r="BC29" s="30">
        <f>IF(BB29="Stage 2",20,IF(BB29="Stage 1",0,IF(BB29="Stage 3",5,IF(BB29="Stage 4",-5,0))))</f>
        <v/>
      </c>
      <c r="BD29" s="30" t="inlineStr">
        <is>
          <t>Negative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18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ENTERO</t>
        </is>
      </c>
      <c r="D30" s="30" t="inlineStr">
        <is>
          <t>Entero Healthcare Solutions Ltd</t>
        </is>
      </c>
      <c r="E30" s="30" t="inlineStr">
        <is>
          <t>healthcare</t>
        </is>
      </c>
      <c r="F30" s="30" t="inlineStr">
        <is>
          <t>Pharma Distribution</t>
        </is>
      </c>
      <c r="G30" s="30" t="inlineStr">
        <is>
          <t>midcap</t>
        </is>
      </c>
      <c r="H30" s="31" t="n">
        <v>7744.93</v>
      </c>
      <c r="I30" s="31" t="n">
        <v>1779.5</v>
      </c>
      <c r="J30" s="31" t="n">
        <v>-2.32</v>
      </c>
      <c r="K30" s="31" t="n">
        <v>0</v>
      </c>
      <c r="L30" s="30" t="n">
        <v>66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73.28</v>
      </c>
      <c r="P30" s="31" t="n">
        <v>45.14</v>
      </c>
      <c r="Q30" s="31" t="inlineStr"/>
      <c r="R30" s="30" t="inlineStr">
        <is>
          <t>Earnings / Momentum Support</t>
        </is>
      </c>
      <c r="S30" s="30" t="inlineStr">
        <is>
          <t>Nifty Pharma</t>
        </is>
      </c>
      <c r="T30" s="31" t="n">
        <v>25.55</v>
      </c>
      <c r="U30" s="31" t="n">
        <v>68.19</v>
      </c>
      <c r="V30" s="31" t="n">
        <v>33.96</v>
      </c>
      <c r="W30" s="31" t="n">
        <v>24.39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Headwind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3</t>
        </is>
      </c>
      <c r="BC30" s="30">
        <f>IF(BB30="Stage 2",20,IF(BB30="Stage 1",0,IF(BB30="Stage 3",5,IF(BB30="Stage 4",-5,0))))</f>
        <v/>
      </c>
      <c r="BD30" s="30" t="inlineStr">
        <is>
          <t>Negative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Between 1.5 to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22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MARKSANS</t>
        </is>
      </c>
      <c r="D31" s="30" t="inlineStr">
        <is>
          <t>Marksans Pharma Ltd</t>
        </is>
      </c>
      <c r="E31" s="30" t="inlineStr">
        <is>
          <t>Healthcare</t>
        </is>
      </c>
      <c r="F31" s="30" t="inlineStr">
        <is>
          <t>Pharma Formulations</t>
        </is>
      </c>
      <c r="G31" s="30" t="inlineStr">
        <is>
          <t>midcap</t>
        </is>
      </c>
      <c r="H31" s="31" t="n">
        <v>15045.04</v>
      </c>
      <c r="I31" s="31" t="n">
        <v>332</v>
      </c>
      <c r="J31" s="31" t="n">
        <v>-1.47</v>
      </c>
      <c r="K31" s="31" t="n">
        <v>0</v>
      </c>
      <c r="L31" s="30" t="n">
        <v>65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72.61</v>
      </c>
      <c r="P31" s="31" t="n">
        <v>55.81</v>
      </c>
      <c r="Q31" s="31" t="inlineStr"/>
      <c r="R31" s="30" t="inlineStr">
        <is>
          <t>Earnings / Momentum Support</t>
        </is>
      </c>
      <c r="S31" s="30" t="inlineStr">
        <is>
          <t>Nifty Pharma</t>
        </is>
      </c>
      <c r="T31" s="31" t="n">
        <v>25.55</v>
      </c>
      <c r="U31" s="31" t="n">
        <v>105.55</v>
      </c>
      <c r="V31" s="31" t="n">
        <v>63.71</v>
      </c>
      <c r="W31" s="31" t="n">
        <v>24.18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Headwind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No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3</t>
        </is>
      </c>
      <c r="BC31" s="30">
        <f>IF(BB31="Stage 2",20,IF(BB31="Stage 1",0,IF(BB31="Stage 3",5,IF(BB31="Stage 4",-5,0))))</f>
        <v/>
      </c>
      <c r="BD31" s="30" t="inlineStr">
        <is>
          <t>Negative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20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MOREPENLAB</t>
        </is>
      </c>
      <c r="D32" s="30" t="inlineStr">
        <is>
          <t>Morepen Laboratories Ltd</t>
        </is>
      </c>
      <c r="E32" s="30" t="inlineStr">
        <is>
          <t>healthcare</t>
        </is>
      </c>
      <c r="F32" s="30" t="inlineStr">
        <is>
          <t>Pharma API</t>
        </is>
      </c>
      <c r="G32" s="30" t="inlineStr">
        <is>
          <t>midcap</t>
        </is>
      </c>
      <c r="H32" s="31" t="n">
        <v>6602.84</v>
      </c>
      <c r="I32" s="31" t="n">
        <v>120.5</v>
      </c>
      <c r="J32" s="31" t="n">
        <v>0.1</v>
      </c>
      <c r="K32" s="31" t="n">
        <v>0</v>
      </c>
      <c r="L32" s="30" t="n">
        <v>96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87.95</v>
      </c>
      <c r="P32" s="31" t="n">
        <v>56.46</v>
      </c>
      <c r="Q32" s="31" t="inlineStr"/>
      <c r="R32" s="30" t="inlineStr">
        <is>
          <t>Earnings / Momentum Support</t>
        </is>
      </c>
      <c r="S32" s="30" t="inlineStr">
        <is>
          <t>Nifty Pharma</t>
        </is>
      </c>
      <c r="T32" s="31" t="n">
        <v>25.55</v>
      </c>
      <c r="U32" s="31" t="n">
        <v>146.74</v>
      </c>
      <c r="V32" s="31" t="n">
        <v>96.52</v>
      </c>
      <c r="W32" s="31" t="n">
        <v>54.55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No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3</t>
        </is>
      </c>
      <c r="BC32" s="30">
        <f>IF(BB32="Stage 2",20,IF(BB32="Stage 1",0,IF(BB32="Stage 3",5,IF(BB32="Stage 4",-5,0))))</f>
        <v/>
      </c>
      <c r="BD32" s="30" t="inlineStr">
        <is>
          <t>Negative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20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ASMTEC</t>
        </is>
      </c>
      <c r="D33" s="30" t="inlineStr">
        <is>
          <t>ASM Technologies Ltd</t>
        </is>
      </c>
      <c r="E33" s="30" t="inlineStr">
        <is>
          <t>Technology</t>
        </is>
      </c>
      <c r="F33" s="30" t="inlineStr">
        <is>
          <t>IT Services</t>
        </is>
      </c>
      <c r="G33" s="30" t="inlineStr">
        <is>
          <t>midcap</t>
        </is>
      </c>
      <c r="H33" s="31" t="n">
        <v>9838.700000000001</v>
      </c>
      <c r="I33" s="31" t="n">
        <v>6745</v>
      </c>
      <c r="J33" s="31" t="n">
        <v>-3.7</v>
      </c>
      <c r="K33" s="31" t="n">
        <v>0</v>
      </c>
      <c r="L33" s="30" t="n">
        <v>84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83.11</v>
      </c>
      <c r="P33" s="31" t="n">
        <v>59.39</v>
      </c>
      <c r="Q33" s="31" t="inlineStr"/>
      <c r="R33" s="30" t="inlineStr">
        <is>
          <t>Earnings / Momentum Support</t>
        </is>
      </c>
      <c r="S33" s="30" t="inlineStr">
        <is>
          <t>Nifty 50</t>
        </is>
      </c>
      <c r="T33" s="31" t="n">
        <v>-6.14</v>
      </c>
      <c r="U33" s="31" t="n">
        <v>70.04000000000001</v>
      </c>
      <c r="V33" s="31" t="n">
        <v>81.16</v>
      </c>
      <c r="W33" s="31" t="n">
        <v>35.22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Headwind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3</t>
        </is>
      </c>
      <c r="BC33" s="30">
        <f>IF(BB33="Stage 2",20,IF(BB33="Stage 1",0,IF(BB33="Stage 3",5,IF(BB33="Stage 4",-5,0))))</f>
        <v/>
      </c>
      <c r="BD33" s="30" t="inlineStr">
        <is>
          <t>Negative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Between 1.5 to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INDSWFTLAB</t>
        </is>
      </c>
      <c r="D34" s="30" t="inlineStr">
        <is>
          <t>Ind-Swift Laboratories Ltd</t>
        </is>
      </c>
      <c r="E34" s="30" t="inlineStr">
        <is>
          <t>healthcare</t>
        </is>
      </c>
      <c r="F34" s="30" t="inlineStr">
        <is>
          <t>Pharma Formulations</t>
        </is>
      </c>
      <c r="G34" s="30" t="inlineStr">
        <is>
          <t>smallcap</t>
        </is>
      </c>
      <c r="H34" s="31" t="n">
        <v>3552.38</v>
      </c>
      <c r="I34" s="31" t="n">
        <v>408.5</v>
      </c>
      <c r="J34" s="31" t="n">
        <v>1.03</v>
      </c>
      <c r="K34" s="31" t="n">
        <v>0</v>
      </c>
      <c r="L34" s="30" t="n">
        <v>96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85.42</v>
      </c>
      <c r="P34" s="31" t="n">
        <v>76.11</v>
      </c>
      <c r="Q34" s="31" t="inlineStr"/>
      <c r="R34" s="30" t="inlineStr">
        <is>
          <t>Earnings / Momentum Support</t>
        </is>
      </c>
      <c r="S34" s="30" t="inlineStr">
        <is>
          <t>Nifty Pharma</t>
        </is>
      </c>
      <c r="T34" s="31" t="n">
        <v>25.55</v>
      </c>
      <c r="U34" s="31" t="n">
        <v>304.63</v>
      </c>
      <c r="V34" s="31" t="n">
        <v>222.28</v>
      </c>
      <c r="W34" s="31" t="n">
        <v>58.1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Headwind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3</t>
        </is>
      </c>
      <c r="BC34" s="30">
        <f>IF(BB34="Stage 2",20,IF(BB34="Stage 1",0,IF(BB34="Stage 3",5,IF(BB34="Stage 4",-5,0))))</f>
        <v/>
      </c>
      <c r="BD34" s="30" t="inlineStr">
        <is>
          <t>Negative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20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AVALON</t>
        </is>
      </c>
      <c r="D35" s="30" t="inlineStr">
        <is>
          <t>Avalon Technologies Ltd</t>
        </is>
      </c>
      <c r="E35" s="30" t="inlineStr">
        <is>
          <t>Technology</t>
        </is>
      </c>
      <c r="F35" s="30" t="inlineStr">
        <is>
          <t>EMS</t>
        </is>
      </c>
      <c r="G35" s="30" t="inlineStr">
        <is>
          <t>midcap</t>
        </is>
      </c>
      <c r="H35" s="31" t="n">
        <v>15489.94</v>
      </c>
      <c r="I35" s="31" t="n">
        <v>2316</v>
      </c>
      <c r="J35" s="31" t="n">
        <v>-0.54</v>
      </c>
      <c r="K35" s="31" t="n">
        <v>0</v>
      </c>
      <c r="L35" s="30" t="n">
        <v>76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72.42</v>
      </c>
      <c r="P35" s="31" t="n">
        <v>53.39</v>
      </c>
      <c r="Q35" s="31" t="inlineStr"/>
      <c r="R35" s="30" t="inlineStr">
        <is>
          <t>Earnings / Momentum Support</t>
        </is>
      </c>
      <c r="S35" s="30" t="inlineStr">
        <is>
          <t>Nifty 50</t>
        </is>
      </c>
      <c r="T35" s="31" t="n">
        <v>-6.14</v>
      </c>
      <c r="U35" s="31" t="n">
        <v>134.27</v>
      </c>
      <c r="V35" s="31" t="n">
        <v>149.6</v>
      </c>
      <c r="W35" s="31" t="n">
        <v>29.13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Headwind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3</t>
        </is>
      </c>
      <c r="BC35" s="30">
        <f>IF(BB35="Stage 2",20,IF(BB35="Stage 1",0,IF(BB35="Stage 3",5,IF(BB35="Stage 4",-5,0))))</f>
        <v/>
      </c>
      <c r="BD35" s="30" t="inlineStr">
        <is>
          <t>Negative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19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IOLCP</t>
        </is>
      </c>
      <c r="D36" s="30" t="inlineStr">
        <is>
          <t>IOL Chemicals &amp; Pharmaceuticals Ltd</t>
        </is>
      </c>
      <c r="E36" s="30" t="inlineStr">
        <is>
          <t>Healthcare</t>
        </is>
      </c>
      <c r="F36" s="30" t="inlineStr">
        <is>
          <t>Pharma API</t>
        </is>
      </c>
      <c r="G36" s="30" t="inlineStr">
        <is>
          <t>midcap</t>
        </is>
      </c>
      <c r="H36" s="31" t="n">
        <v>5798.64</v>
      </c>
      <c r="I36" s="31" t="n">
        <v>197.55</v>
      </c>
      <c r="J36" s="31" t="n">
        <v>-3.25</v>
      </c>
      <c r="K36" s="31" t="n">
        <v>0</v>
      </c>
      <c r="L36" s="30" t="n">
        <v>78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77.43000000000001</v>
      </c>
      <c r="P36" s="31" t="n">
        <v>79.37</v>
      </c>
      <c r="Q36" s="31" t="inlineStr"/>
      <c r="R36" s="30" t="inlineStr">
        <is>
          <t>Earnings / Momentum Support</t>
        </is>
      </c>
      <c r="S36" s="30" t="inlineStr">
        <is>
          <t>Nifty Pharma</t>
        </is>
      </c>
      <c r="T36" s="31" t="n">
        <v>25.55</v>
      </c>
      <c r="U36" s="31" t="n">
        <v>99.25</v>
      </c>
      <c r="V36" s="31" t="n">
        <v>58.7</v>
      </c>
      <c r="W36" s="31" t="n">
        <v>30.48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Headwind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3</t>
        </is>
      </c>
      <c r="BC36" s="30">
        <f>IF(BB36="Stage 2",20,IF(BB36="Stage 1",0,IF(BB36="Stage 3",5,IF(BB36="Stage 4",-5,0))))</f>
        <v/>
      </c>
      <c r="BD36" s="30" t="inlineStr">
        <is>
          <t>Negative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19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BODALCHEM</t>
        </is>
      </c>
      <c r="D37" s="30" t="inlineStr">
        <is>
          <t>Bodal Chemicals Ltd</t>
        </is>
      </c>
      <c r="E37" s="30" t="inlineStr">
        <is>
          <t>chemicals</t>
        </is>
      </c>
      <c r="F37" s="30" t="inlineStr">
        <is>
          <t>Dyes and Pigments</t>
        </is>
      </c>
      <c r="G37" s="30" t="inlineStr">
        <is>
          <t>smallcap</t>
        </is>
      </c>
      <c r="H37" s="31" t="n">
        <v>2561.07</v>
      </c>
      <c r="I37" s="31" t="n">
        <v>203.35</v>
      </c>
      <c r="J37" s="31" t="n">
        <v>0.66</v>
      </c>
      <c r="K37" s="31" t="n">
        <v>0</v>
      </c>
      <c r="L37" s="30" t="n">
        <v>98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91.13</v>
      </c>
      <c r="P37" s="31" t="n">
        <v>48.61</v>
      </c>
      <c r="Q37" s="31" t="inlineStr"/>
      <c r="R37" s="30" t="inlineStr">
        <is>
          <t>Earnings / Momentum Support</t>
        </is>
      </c>
      <c r="S37" s="30" t="inlineStr">
        <is>
          <t>Nifty 50</t>
        </is>
      </c>
      <c r="T37" s="31" t="n">
        <v>-6.14</v>
      </c>
      <c r="U37" s="31" t="n">
        <v>221.69</v>
      </c>
      <c r="V37" s="31" t="n">
        <v>242.74</v>
      </c>
      <c r="W37" s="31" t="n">
        <v>83.48999999999999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Headwind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3</t>
        </is>
      </c>
      <c r="BC37" s="30">
        <f>IF(BB37="Stage 2",20,IF(BB37="Stage 1",0,IF(BB37="Stage 3",5,IF(BB37="Stage 4",-5,0))))</f>
        <v/>
      </c>
      <c r="BD37" s="30" t="inlineStr">
        <is>
          <t>Negative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28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BHAGERIA</t>
        </is>
      </c>
      <c r="D38" s="30" t="inlineStr">
        <is>
          <t>Bhageria Industries Ltd</t>
        </is>
      </c>
      <c r="E38" s="30" t="inlineStr">
        <is>
          <t>chemicals</t>
        </is>
      </c>
      <c r="F38" s="30" t="inlineStr">
        <is>
          <t>Dyes and Pigments</t>
        </is>
      </c>
      <c r="G38" s="30" t="inlineStr">
        <is>
          <t>smallcap</t>
        </is>
      </c>
      <c r="H38" s="31" t="n">
        <v>1658.48</v>
      </c>
      <c r="I38" s="31" t="n">
        <v>380</v>
      </c>
      <c r="J38" s="31" t="n">
        <v>-3.7</v>
      </c>
      <c r="K38" s="31" t="n">
        <v>0</v>
      </c>
      <c r="L38" s="30" t="n">
        <v>88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83.45</v>
      </c>
      <c r="P38" s="31" t="n">
        <v>43.05</v>
      </c>
      <c r="Q38" s="31" t="inlineStr"/>
      <c r="R38" s="30" t="inlineStr">
        <is>
          <t>Earnings / Momentum Support</t>
        </is>
      </c>
      <c r="S38" s="30" t="inlineStr">
        <is>
          <t>Nifty 50</t>
        </is>
      </c>
      <c r="T38" s="31" t="n">
        <v>-6.14</v>
      </c>
      <c r="U38" s="31" t="n">
        <v>125.13</v>
      </c>
      <c r="V38" s="31" t="n">
        <v>139.86</v>
      </c>
      <c r="W38" s="31" t="n">
        <v>40.82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Headwind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No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3</t>
        </is>
      </c>
      <c r="BC38" s="30">
        <f>IF(BB38="Stage 2",20,IF(BB38="Stage 1",0,IF(BB38="Stage 3",5,IF(BB38="Stage 4",-5,0))))</f>
        <v/>
      </c>
      <c r="BD38" s="30" t="inlineStr">
        <is>
          <t>Negative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27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MACPOWER</t>
        </is>
      </c>
      <c r="D39" s="30" t="inlineStr">
        <is>
          <t>Macpower CNC Machines Ltd</t>
        </is>
      </c>
      <c r="E39" s="30" t="inlineStr">
        <is>
          <t>industrials</t>
        </is>
      </c>
      <c r="F39" s="30" t="inlineStr">
        <is>
          <t>CNC Machines</t>
        </is>
      </c>
      <c r="G39" s="30" t="inlineStr">
        <is>
          <t>smallcap</t>
        </is>
      </c>
      <c r="H39" s="31" t="n">
        <v>2171.9</v>
      </c>
      <c r="I39" s="31" t="n">
        <v>2171</v>
      </c>
      <c r="J39" s="31" t="n">
        <v>5.26</v>
      </c>
      <c r="K39" s="31" t="n">
        <v>0</v>
      </c>
      <c r="L39" s="30" t="n">
        <v>88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73.15000000000001</v>
      </c>
      <c r="P39" s="31" t="n">
        <v>54.97</v>
      </c>
      <c r="Q39" s="31" t="inlineStr"/>
      <c r="R39" s="30" t="inlineStr">
        <is>
          <t>Earnings / Momentum Support</t>
        </is>
      </c>
      <c r="S39" s="30" t="inlineStr">
        <is>
          <t>Nifty 50</t>
        </is>
      </c>
      <c r="T39" s="31" t="n">
        <v>-6.14</v>
      </c>
      <c r="U39" s="31" t="n">
        <v>147.2</v>
      </c>
      <c r="V39" s="31" t="n">
        <v>163.38</v>
      </c>
      <c r="W39" s="31" t="n">
        <v>40.21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Headwind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3</t>
        </is>
      </c>
      <c r="BC39" s="30">
        <f>IF(BB39="Stage 2",20,IF(BB39="Stage 1",0,IF(BB39="Stage 3",5,IF(BB39="Stage 4",-5,0))))</f>
        <v/>
      </c>
      <c r="BD39" s="30" t="inlineStr">
        <is>
          <t>Negative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23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MARINE</t>
        </is>
      </c>
      <c r="D40" s="30" t="inlineStr">
        <is>
          <t>Marine Electricals (India) Ltd</t>
        </is>
      </c>
      <c r="E40" s="30" t="inlineStr">
        <is>
          <t>industrials</t>
        </is>
      </c>
      <c r="F40" s="30" t="inlineStr">
        <is>
          <t>Shipping Proxy</t>
        </is>
      </c>
      <c r="G40" s="30" t="inlineStr">
        <is>
          <t>midcap</t>
        </is>
      </c>
      <c r="H40" s="31" t="n">
        <v>5975.63</v>
      </c>
      <c r="I40" s="31" t="n">
        <v>427</v>
      </c>
      <c r="J40" s="31" t="n">
        <v>3.2</v>
      </c>
      <c r="K40" s="31" t="n">
        <v>0</v>
      </c>
      <c r="L40" s="30" t="n">
        <v>78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69.92</v>
      </c>
      <c r="P40" s="31" t="n">
        <v>49</v>
      </c>
      <c r="Q40" s="31" t="inlineStr"/>
      <c r="R40" s="30" t="inlineStr">
        <is>
          <t>Earnings / Momentum Support</t>
        </is>
      </c>
      <c r="S40" s="30" t="inlineStr">
        <is>
          <t>Nifty 50</t>
        </is>
      </c>
      <c r="T40" s="31" t="n">
        <v>-6.14</v>
      </c>
      <c r="U40" s="31" t="n">
        <v>94.90000000000001</v>
      </c>
      <c r="V40" s="31" t="n">
        <v>107.66</v>
      </c>
      <c r="W40" s="31" t="n">
        <v>30.21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Headwind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No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3</t>
        </is>
      </c>
      <c r="BC40" s="30">
        <f>IF(BB40="Stage 2",20,IF(BB40="Stage 1",0,IF(BB40="Stage 3",5,IF(BB40="Stage 4",-5,0))))</f>
        <v/>
      </c>
      <c r="BD40" s="30" t="inlineStr">
        <is>
          <t>Negative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Between 1.5 to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23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SYRMA</t>
        </is>
      </c>
      <c r="D41" s="30" t="inlineStr">
        <is>
          <t>Syrma SGS Technology Ltd</t>
        </is>
      </c>
      <c r="E41" s="30" t="inlineStr">
        <is>
          <t>consumer discretionary</t>
        </is>
      </c>
      <c r="F41" s="30" t="inlineStr">
        <is>
          <t>EMS</t>
        </is>
      </c>
      <c r="G41" s="30" t="inlineStr">
        <is>
          <t>largecap</t>
        </is>
      </c>
      <c r="H41" s="31" t="n">
        <v>33648.92</v>
      </c>
      <c r="I41" s="31" t="n">
        <v>1745</v>
      </c>
      <c r="J41" s="31" t="n">
        <v>0.72</v>
      </c>
      <c r="K41" s="31" t="n">
        <v>0</v>
      </c>
      <c r="L41" s="30" t="n">
        <v>64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76.67</v>
      </c>
      <c r="P41" s="31" t="n">
        <v>60.28</v>
      </c>
      <c r="Q41" s="31" t="inlineStr"/>
      <c r="R41" s="30" t="inlineStr">
        <is>
          <t>Earnings / Momentum Support</t>
        </is>
      </c>
      <c r="S41" s="30" t="inlineStr">
        <is>
          <t>Nifty 50</t>
        </is>
      </c>
      <c r="T41" s="31" t="n">
        <v>-6.14</v>
      </c>
      <c r="U41" s="31" t="n">
        <v>116.03</v>
      </c>
      <c r="V41" s="31" t="n">
        <v>130.16</v>
      </c>
      <c r="W41" s="31" t="n">
        <v>23.93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Headwind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3</t>
        </is>
      </c>
      <c r="BC41" s="30">
        <f>IF(BB41="Stage 2",20,IF(BB41="Stage 1",0,IF(BB41="Stage 3",5,IF(BB41="Stage 4",-5,0))))</f>
        <v/>
      </c>
      <c r="BD41" s="30" t="inlineStr">
        <is>
          <t>Negative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22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CASTROLIND</t>
        </is>
      </c>
      <c r="D42" s="30" t="inlineStr">
        <is>
          <t>Castrol India Ltd</t>
        </is>
      </c>
      <c r="E42" s="30" t="inlineStr">
        <is>
          <t>chemicals</t>
        </is>
      </c>
      <c r="F42" s="30" t="inlineStr">
        <is>
          <t>Lubricants</t>
        </is>
      </c>
      <c r="G42" s="30" t="inlineStr">
        <is>
          <t>midcap</t>
        </is>
      </c>
      <c r="H42" s="31" t="n">
        <v>19881.36</v>
      </c>
      <c r="I42" s="31" t="n">
        <v>201</v>
      </c>
      <c r="J42" s="31" t="n">
        <v>-0.33</v>
      </c>
      <c r="K42" s="31" t="n">
        <v>0</v>
      </c>
      <c r="L42" s="30" t="n">
        <v>10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75.54000000000001</v>
      </c>
      <c r="P42" s="31" t="n">
        <v>41.83</v>
      </c>
      <c r="Q42" s="31" t="inlineStr"/>
      <c r="R42" s="30" t="inlineStr">
        <is>
          <t>Earnings / Momentum Support</t>
        </is>
      </c>
      <c r="S42" s="30" t="inlineStr">
        <is>
          <t>Nifty 50</t>
        </is>
      </c>
      <c r="T42" s="31" t="n">
        <v>-6.14</v>
      </c>
      <c r="U42" s="31" t="n">
        <v>9.57</v>
      </c>
      <c r="V42" s="31" t="n">
        <v>16.74</v>
      </c>
      <c r="W42" s="31" t="n">
        <v>4.54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Headwind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3</t>
        </is>
      </c>
      <c r="BC42" s="30">
        <f>IF(BB42="Stage 2",20,IF(BB42="Stage 1",0,IF(BB42="Stage 3",5,IF(BB42="Stage 4",-5,0))))</f>
        <v/>
      </c>
      <c r="BD42" s="30" t="inlineStr">
        <is>
          <t>Negative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22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AFCOM</t>
        </is>
      </c>
      <c r="D43" s="30" t="inlineStr">
        <is>
          <t>Afcom Holdings Ltd</t>
        </is>
      </c>
      <c r="E43" s="30" t="inlineStr">
        <is>
          <t>Industrials</t>
        </is>
      </c>
      <c r="F43" s="30" t="inlineStr">
        <is>
          <t>Air Transport Service</t>
        </is>
      </c>
      <c r="G43" s="30" t="inlineStr">
        <is>
          <t>smallcap</t>
        </is>
      </c>
      <c r="H43" s="31" t="n">
        <v>4206.93</v>
      </c>
      <c r="I43" s="31" t="n">
        <v>1455</v>
      </c>
      <c r="J43" s="31" t="n">
        <v>0.9</v>
      </c>
      <c r="K43" s="31" t="n">
        <v>0</v>
      </c>
      <c r="L43" s="30" t="n">
        <v>53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60.8</v>
      </c>
      <c r="P43" s="31" t="n">
        <v>43.27</v>
      </c>
      <c r="Q43" s="31" t="inlineStr"/>
      <c r="R43" s="30" t="inlineStr">
        <is>
          <t>Earnings / Momentum Support</t>
        </is>
      </c>
      <c r="S43" s="30" t="inlineStr">
        <is>
          <t>Nifty 50</t>
        </is>
      </c>
      <c r="T43" s="31" t="n">
        <v>-6.14</v>
      </c>
      <c r="U43" s="31" t="n">
        <v>66.04000000000001</v>
      </c>
      <c r="V43" s="31" t="n">
        <v>76.91</v>
      </c>
      <c r="W43" s="31" t="n">
        <v>18.37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Headwind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No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3</t>
        </is>
      </c>
      <c r="BC43" s="30">
        <f>IF(BB43="Stage 2",20,IF(BB43="Stage 1",0,IF(BB43="Stage 3",5,IF(BB43="Stage 4",-5,0))))</f>
        <v/>
      </c>
      <c r="BD43" s="30" t="inlineStr">
        <is>
          <t>Negative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Less than 50%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WELSPUNLIV</t>
        </is>
      </c>
      <c r="D44" s="30" t="inlineStr">
        <is>
          <t>Welspun Living Ltd</t>
        </is>
      </c>
      <c r="E44" s="30" t="inlineStr">
        <is>
          <t>textiles</t>
        </is>
      </c>
      <c r="F44" s="30" t="inlineStr">
        <is>
          <t>Textiles Home Textile</t>
        </is>
      </c>
      <c r="G44" s="30" t="inlineStr">
        <is>
          <t>largecap</t>
        </is>
      </c>
      <c r="H44" s="31" t="n">
        <v>21371.25</v>
      </c>
      <c r="I44" s="31" t="n">
        <v>226.21</v>
      </c>
      <c r="J44" s="31" t="n">
        <v>0.68</v>
      </c>
      <c r="K44" s="31" t="n">
        <v>0</v>
      </c>
      <c r="L44" s="30" t="n">
        <v>62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81.95</v>
      </c>
      <c r="P44" s="31" t="n">
        <v>44.94</v>
      </c>
      <c r="Q44" s="31" t="inlineStr"/>
      <c r="R44" s="30" t="inlineStr">
        <is>
          <t>Earnings / Momentum Support</t>
        </is>
      </c>
      <c r="S44" s="30" t="inlineStr">
        <is>
          <t>Nifty 50</t>
        </is>
      </c>
      <c r="T44" s="31" t="n">
        <v>-6.14</v>
      </c>
      <c r="U44" s="31" t="n">
        <v>93.02</v>
      </c>
      <c r="V44" s="31" t="n">
        <v>105.65</v>
      </c>
      <c r="W44" s="31" t="n">
        <v>22.81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Headwind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3</t>
        </is>
      </c>
      <c r="BC44" s="30">
        <f>IF(BB44="Stage 2",20,IF(BB44="Stage 1",0,IF(BB44="Stage 3",5,IF(BB44="Stage 4",-5,0))))</f>
        <v/>
      </c>
      <c r="BD44" s="30" t="inlineStr">
        <is>
          <t>Negative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INDOBORAX</t>
        </is>
      </c>
      <c r="D45" s="30" t="inlineStr">
        <is>
          <t>Indo Borax &amp; Chemicals Ltd</t>
        </is>
      </c>
      <c r="E45" s="30" t="inlineStr">
        <is>
          <t>Basic Materials</t>
        </is>
      </c>
      <c r="F45" s="30" t="inlineStr">
        <is>
          <t>Chemicals Inorganic</t>
        </is>
      </c>
      <c r="G45" s="30" t="inlineStr">
        <is>
          <t>smallcap</t>
        </is>
      </c>
      <c r="H45" s="31" t="n">
        <v>1546.74</v>
      </c>
      <c r="I45" s="31" t="n">
        <v>482</v>
      </c>
      <c r="J45" s="31" t="n">
        <v>7.12</v>
      </c>
      <c r="K45" s="31" t="n">
        <v>0</v>
      </c>
      <c r="L45" s="30" t="n">
        <v>65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62.45</v>
      </c>
      <c r="P45" s="31" t="n">
        <v>67.86</v>
      </c>
      <c r="Q45" s="31" t="inlineStr"/>
      <c r="R45" s="30" t="inlineStr">
        <is>
          <t>Volume Spike / Accumulation</t>
        </is>
      </c>
      <c r="S45" s="30" t="inlineStr">
        <is>
          <t>Nifty 50</t>
        </is>
      </c>
      <c r="T45" s="31" t="n">
        <v>-6.14</v>
      </c>
      <c r="U45" s="31" t="n">
        <v>111.12</v>
      </c>
      <c r="V45" s="31" t="n">
        <v>124.94</v>
      </c>
      <c r="W45" s="31" t="n">
        <v>23.99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Headwind</t>
        </is>
      </c>
      <c r="AE45" s="30">
        <f>IF(AD45="Tailwind",10,0)</f>
        <v/>
      </c>
      <c r="AF45" s="30" t="inlineStr">
        <is>
          <t>Cyclical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Volatile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3</t>
        </is>
      </c>
      <c r="BC45" s="30">
        <f>IF(BB45="Stage 2",20,IF(BB45="Stage 1",0,IF(BB45="Stage 3",5,IF(BB45="Stage 4",-5,0))))</f>
        <v/>
      </c>
      <c r="BD45" s="30" t="inlineStr">
        <is>
          <t>Negative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20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LOTUSDEV</t>
        </is>
      </c>
      <c r="D46" s="30" t="inlineStr">
        <is>
          <t>Sri Lotus Developers &amp; Realty Ltd</t>
        </is>
      </c>
      <c r="E46" s="30" t="inlineStr">
        <is>
          <t>realty</t>
        </is>
      </c>
      <c r="F46" s="30" t="inlineStr">
        <is>
          <t>Construction Factories and Offices and Commercial</t>
        </is>
      </c>
      <c r="G46" s="30" t="inlineStr">
        <is>
          <t>midcap</t>
        </is>
      </c>
      <c r="H46" s="31" t="n">
        <v>10212.86</v>
      </c>
      <c r="I46" s="31" t="n">
        <v>208.97</v>
      </c>
      <c r="J46" s="31" t="n">
        <v>-4.14</v>
      </c>
      <c r="K46" s="31" t="n">
        <v>0</v>
      </c>
      <c r="L46" s="30" t="inlineStr"/>
      <c r="M46" s="30" t="inlineStr"/>
      <c r="N46" s="31">
        <f>IF(M46="Underperforming",-5,IF(L46&gt;=95,15,IF(L46&gt;=90,10,IF(L46&gt;=80,5,0))))</f>
        <v/>
      </c>
      <c r="O46" s="31" t="n">
        <v>67.7</v>
      </c>
      <c r="P46" s="31" t="n">
        <v>29.35</v>
      </c>
      <c r="Q46" s="31" t="inlineStr"/>
      <c r="R46" s="30" t="inlineStr">
        <is>
          <t>Earnings / Momentum Support</t>
        </is>
      </c>
      <c r="S46" s="30" t="inlineStr">
        <is>
          <t>Nifty Realty</t>
        </is>
      </c>
      <c r="T46" s="31" t="inlineStr"/>
      <c r="U46" s="31" t="inlineStr"/>
      <c r="V46" s="31" t="inlineStr"/>
      <c r="W46" s="31" t="inlineStr"/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No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3</t>
        </is>
      </c>
      <c r="BC46" s="30">
        <f>IF(BB46="Stage 2",20,IF(BB46="Stage 1",0,IF(BB46="Stage 3",5,IF(BB46="Stage 4",-5,0))))</f>
        <v/>
      </c>
      <c r="BD46" s="30" t="inlineStr">
        <is>
          <t>Negative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GAYAPROJ</t>
        </is>
      </c>
      <c r="D47" s="30" t="inlineStr">
        <is>
          <t>Gayatri Projects Ltd</t>
        </is>
      </c>
      <c r="E47" s="30" t="inlineStr">
        <is>
          <t>Industrials</t>
        </is>
      </c>
      <c r="F47" s="30" t="inlineStr">
        <is>
          <t>Construction Civil and Turnkey</t>
        </is>
      </c>
      <c r="G47" s="30" t="inlineStr">
        <is>
          <t>smallcap</t>
        </is>
      </c>
      <c r="H47" s="31" t="n">
        <v>1035.39</v>
      </c>
      <c r="I47" s="31" t="n">
        <v>22.3</v>
      </c>
      <c r="J47" s="31" t="n">
        <v>-2.66</v>
      </c>
      <c r="K47" s="31" t="n">
        <v>0</v>
      </c>
      <c r="L47" s="30" t="inlineStr"/>
      <c r="M47" s="30" t="inlineStr"/>
      <c r="N47" s="31">
        <f>IF(M47="Underperforming",-5,IF(L47&gt;=95,15,IF(L47&gt;=90,10,IF(L47&gt;=80,5,0))))</f>
        <v/>
      </c>
      <c r="O47" s="31" t="n">
        <v>59.26</v>
      </c>
      <c r="P47" s="31" t="n">
        <v>26.04</v>
      </c>
      <c r="Q47" s="31" t="inlineStr"/>
      <c r="R47" s="30" t="inlineStr">
        <is>
          <t>Earnings / Momentum Support</t>
        </is>
      </c>
      <c r="S47" s="30" t="inlineStr">
        <is>
          <t>Nifty Infra</t>
        </is>
      </c>
      <c r="T47" s="31" t="inlineStr"/>
      <c r="U47" s="31" t="inlineStr"/>
      <c r="V47" s="31" t="inlineStr"/>
      <c r="W47" s="31" t="inlineStr"/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Headwind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3</t>
        </is>
      </c>
      <c r="BC47" s="30">
        <f>IF(BB47="Stage 2",20,IF(BB47="Stage 1",0,IF(BB47="Stage 3",5,IF(BB47="Stage 4",-5,0))))</f>
        <v/>
      </c>
      <c r="BD47" s="30" t="inlineStr">
        <is>
          <t>Negative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19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KABRAEXTRU</t>
        </is>
      </c>
      <c r="D48" s="30" t="inlineStr">
        <is>
          <t>Kabra Extrusion Technik Ltd</t>
        </is>
      </c>
      <c r="E48" s="30" t="inlineStr">
        <is>
          <t>industrials</t>
        </is>
      </c>
      <c r="F48" s="30" t="inlineStr">
        <is>
          <t>Capital Goods Engineering Heavy</t>
        </is>
      </c>
      <c r="G48" s="30" t="inlineStr">
        <is>
          <t>smallcap</t>
        </is>
      </c>
      <c r="H48" s="31" t="n">
        <v>2990.53</v>
      </c>
      <c r="I48" s="31" t="n">
        <v>855.1</v>
      </c>
      <c r="J48" s="31" t="n">
        <v>1.03</v>
      </c>
      <c r="K48" s="31" t="n">
        <v>0</v>
      </c>
      <c r="L48" s="30" t="n">
        <v>98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86.13</v>
      </c>
      <c r="P48" s="31" t="n">
        <v>71.25</v>
      </c>
      <c r="Q48" s="31" t="inlineStr"/>
      <c r="R48" s="30" t="inlineStr">
        <is>
          <t>Earnings / Momentum Support</t>
        </is>
      </c>
      <c r="S48" s="30" t="inlineStr">
        <is>
          <t>Nifty 50</t>
        </is>
      </c>
      <c r="T48" s="31" t="n">
        <v>-6.14</v>
      </c>
      <c r="U48" s="31" t="n">
        <v>223.36</v>
      </c>
      <c r="V48" s="31" t="n">
        <v>244.52</v>
      </c>
      <c r="W48" s="31" t="n">
        <v>98.06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Headwind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No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3</t>
        </is>
      </c>
      <c r="BC48" s="30">
        <f>IF(BB48="Stage 2",20,IF(BB48="Stage 1",0,IF(BB48="Stage 3",5,IF(BB48="Stage 4",-5,0))))</f>
        <v/>
      </c>
      <c r="BD48" s="30" t="inlineStr">
        <is>
          <t>Negative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Close to 52 week high or retracement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19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AETHER</t>
        </is>
      </c>
      <c r="D49" s="30" t="inlineStr">
        <is>
          <t>Aether Industries Ltd</t>
        </is>
      </c>
      <c r="E49" s="30" t="inlineStr">
        <is>
          <t>chemicals</t>
        </is>
      </c>
      <c r="F49" s="30" t="inlineStr">
        <is>
          <t>Specialty Chemicals</t>
        </is>
      </c>
      <c r="G49" s="30" t="inlineStr">
        <is>
          <t>largecap</t>
        </is>
      </c>
      <c r="H49" s="31" t="n">
        <v>23040.3</v>
      </c>
      <c r="I49" s="31" t="n">
        <v>1735.9</v>
      </c>
      <c r="J49" s="31" t="n">
        <v>-1.76</v>
      </c>
      <c r="K49" s="31" t="n">
        <v>0</v>
      </c>
      <c r="L49" s="30" t="n">
        <v>73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73.65000000000001</v>
      </c>
      <c r="P49" s="31" t="n">
        <v>60.75</v>
      </c>
      <c r="Q49" s="31" t="inlineStr"/>
      <c r="R49" s="30" t="inlineStr">
        <is>
          <t>Earnings / Momentum Support</t>
        </is>
      </c>
      <c r="S49" s="30" t="inlineStr">
        <is>
          <t>Nifty 50</t>
        </is>
      </c>
      <c r="T49" s="31" t="n">
        <v>-6.14</v>
      </c>
      <c r="U49" s="31" t="n">
        <v>140.51</v>
      </c>
      <c r="V49" s="31" t="n">
        <v>156.24</v>
      </c>
      <c r="W49" s="31" t="n">
        <v>26.68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Headwind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3</t>
        </is>
      </c>
      <c r="BC49" s="30">
        <f>IF(BB49="Stage 2",20,IF(BB49="Stage 1",0,IF(BB49="Stage 3",5,IF(BB49="Stage 4",-5,0))))</f>
        <v/>
      </c>
      <c r="BD49" s="30" t="inlineStr">
        <is>
          <t>Negative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19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KPL</t>
        </is>
      </c>
      <c r="D50" s="30" t="inlineStr">
        <is>
          <t>Kwality Pharmaceuticals Ltd</t>
        </is>
      </c>
      <c r="E50" s="30" t="inlineStr">
        <is>
          <t>Healthcare</t>
        </is>
      </c>
      <c r="F50" s="30" t="inlineStr">
        <is>
          <t>Pharma Formulations</t>
        </is>
      </c>
      <c r="G50" s="30" t="inlineStr">
        <is>
          <t>smallcap</t>
        </is>
      </c>
      <c r="H50" s="31" t="n">
        <v>3719.4</v>
      </c>
      <c r="I50" s="31" t="n">
        <v>3584.55</v>
      </c>
      <c r="J50" s="31" t="n">
        <v>-2.37</v>
      </c>
      <c r="K50" s="31" t="n">
        <v>0</v>
      </c>
      <c r="L50" s="30" t="n">
        <v>92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75.16</v>
      </c>
      <c r="P50" s="31" t="n">
        <v>69.34</v>
      </c>
      <c r="Q50" s="31" t="inlineStr"/>
      <c r="R50" s="30" t="inlineStr">
        <is>
          <t>Earnings / Momentum Support</t>
        </is>
      </c>
      <c r="S50" s="30" t="inlineStr">
        <is>
          <t>Nifty Pharma</t>
        </is>
      </c>
      <c r="T50" s="31" t="n">
        <v>25.55</v>
      </c>
      <c r="U50" s="31" t="n">
        <v>306.58</v>
      </c>
      <c r="V50" s="31" t="n">
        <v>223.83</v>
      </c>
      <c r="W50" s="31" t="n">
        <v>45.02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3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24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VALIANT</t>
        </is>
      </c>
      <c r="D51" s="30" t="inlineStr">
        <is>
          <t>Valiant Communications Ltd</t>
        </is>
      </c>
      <c r="E51" s="30" t="inlineStr">
        <is>
          <t>Technology</t>
        </is>
      </c>
      <c r="F51" s="30" t="inlineStr">
        <is>
          <t>Telecommunications Equipment</t>
        </is>
      </c>
      <c r="G51" s="30" t="inlineStr">
        <is>
          <t>smallcap</t>
        </is>
      </c>
      <c r="H51" s="31" t="n">
        <v>1683.66</v>
      </c>
      <c r="I51" s="31" t="n">
        <v>1440</v>
      </c>
      <c r="J51" s="31" t="n">
        <v>-2.5</v>
      </c>
      <c r="K51" s="31" t="n">
        <v>0</v>
      </c>
      <c r="L51" s="30" t="n">
        <v>72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71.70999999999999</v>
      </c>
      <c r="P51" s="31" t="n">
        <v>26.66</v>
      </c>
      <c r="Q51" s="31" t="inlineStr"/>
      <c r="R51" s="30" t="inlineStr">
        <is>
          <t>Earnings / Momentum Support</t>
        </is>
      </c>
      <c r="S51" s="30" t="inlineStr">
        <is>
          <t>Nifty 50</t>
        </is>
      </c>
      <c r="T51" s="31" t="n">
        <v>-6.14</v>
      </c>
      <c r="U51" s="31" t="n">
        <v>125.09</v>
      </c>
      <c r="V51" s="31" t="n">
        <v>139.82</v>
      </c>
      <c r="W51" s="31" t="n">
        <v>26.61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Oligopoly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Headwind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No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3</t>
        </is>
      </c>
      <c r="BC51" s="30">
        <f>IF(BB51="Stage 2",20,IF(BB51="Stage 1",0,IF(BB51="Stage 3",5,IF(BB51="Stage 4",-5,0))))</f>
        <v/>
      </c>
      <c r="BD51" s="30" t="inlineStr">
        <is>
          <t>Negative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21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INNOVACAP</t>
        </is>
      </c>
      <c r="D52" s="30" t="inlineStr">
        <is>
          <t>Innova Captab Ltd</t>
        </is>
      </c>
      <c r="E52" s="30" t="inlineStr">
        <is>
          <t>healthcare</t>
        </is>
      </c>
      <c r="F52" s="30" t="inlineStr">
        <is>
          <t>Pharma CRAMS</t>
        </is>
      </c>
      <c r="G52" s="30" t="inlineStr">
        <is>
          <t>midcap</t>
        </is>
      </c>
      <c r="H52" s="31" t="n">
        <v>7221.79</v>
      </c>
      <c r="I52" s="31" t="n">
        <v>1262</v>
      </c>
      <c r="J52" s="31" t="n">
        <v>-1.48</v>
      </c>
      <c r="K52" s="31" t="n">
        <v>0</v>
      </c>
      <c r="L52" s="30" t="n">
        <v>52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78.13</v>
      </c>
      <c r="P52" s="31" t="n">
        <v>62.5</v>
      </c>
      <c r="Q52" s="31" t="inlineStr"/>
      <c r="R52" s="30" t="inlineStr">
        <is>
          <t>Earnings / Momentum Support</t>
        </is>
      </c>
      <c r="S52" s="30" t="inlineStr">
        <is>
          <t>Nifty Pharma</t>
        </is>
      </c>
      <c r="T52" s="31" t="n">
        <v>25.55</v>
      </c>
      <c r="U52" s="31" t="n">
        <v>52.04</v>
      </c>
      <c r="V52" s="31" t="n">
        <v>21.09</v>
      </c>
      <c r="W52" s="31" t="n">
        <v>18.25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3</t>
        </is>
      </c>
      <c r="BC52" s="30">
        <f>IF(BB52="Stage 2",20,IF(BB52="Stage 1",0,IF(BB52="Stage 3",5,IF(BB52="Stage 4",-5,0))))</f>
        <v/>
      </c>
      <c r="BD52" s="30" t="inlineStr">
        <is>
          <t>Negative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AHCL</t>
        </is>
      </c>
      <c r="D53" s="30" t="inlineStr">
        <is>
          <t>Anlon Healthcare Ltd</t>
        </is>
      </c>
      <c r="E53" s="30" t="inlineStr">
        <is>
          <t>healthcare</t>
        </is>
      </c>
      <c r="F53" s="30" t="inlineStr">
        <is>
          <t>Pharma API</t>
        </is>
      </c>
      <c r="G53" s="30" t="inlineStr">
        <is>
          <t>smallcap</t>
        </is>
      </c>
      <c r="H53" s="31" t="n">
        <v>1842.23</v>
      </c>
      <c r="I53" s="31" t="n">
        <v>34.66</v>
      </c>
      <c r="J53" s="31" t="n">
        <v>10</v>
      </c>
      <c r="K53" s="31" t="n">
        <v>0</v>
      </c>
      <c r="L53" s="30" t="n">
        <v>91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87.42</v>
      </c>
      <c r="P53" s="31" t="n">
        <v>47.11</v>
      </c>
      <c r="Q53" s="31" t="inlineStr"/>
      <c r="R53" s="30" t="inlineStr">
        <is>
          <t>Earnings / Momentum Support</t>
        </is>
      </c>
      <c r="S53" s="30" t="inlineStr">
        <is>
          <t>Nifty Pharma</t>
        </is>
      </c>
      <c r="T53" s="31" t="n">
        <v>25.55</v>
      </c>
      <c r="U53" s="31" t="n">
        <v>144.89</v>
      </c>
      <c r="V53" s="31" t="n">
        <v>95.05</v>
      </c>
      <c r="W53" s="31" t="n">
        <v>44.02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Headwind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3</t>
        </is>
      </c>
      <c r="BC53" s="30">
        <f>IF(BB53="Stage 2",20,IF(BB53="Stage 1",0,IF(BB53="Stage 3",5,IF(BB53="Stage 4",-5,0))))</f>
        <v/>
      </c>
      <c r="BD53" s="30" t="inlineStr">
        <is>
          <t>Negative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NRAIL</t>
        </is>
      </c>
      <c r="D54" s="30" t="inlineStr">
        <is>
          <t>N R Agarwal Industries Ltd</t>
        </is>
      </c>
      <c r="E54" s="30" t="inlineStr">
        <is>
          <t>building materials</t>
        </is>
      </c>
      <c r="F54" s="30" t="inlineStr">
        <is>
          <t>Paper</t>
        </is>
      </c>
      <c r="G54" s="30" t="inlineStr">
        <is>
          <t>smallcap</t>
        </is>
      </c>
      <c r="H54" s="31" t="n">
        <v>1115.01</v>
      </c>
      <c r="I54" s="31" t="n">
        <v>655.15</v>
      </c>
      <c r="J54" s="31" t="n">
        <v>-3.26</v>
      </c>
      <c r="K54" s="31" t="n">
        <v>0</v>
      </c>
      <c r="L54" s="30" t="inlineStr"/>
      <c r="M54" s="30" t="inlineStr"/>
      <c r="N54" s="31">
        <f>IF(M54="Underperforming",-5,IF(L54&gt;=95,15,IF(L54&gt;=90,10,IF(L54&gt;=80,5,0))))</f>
        <v/>
      </c>
      <c r="O54" s="31" t="n">
        <v>72.78</v>
      </c>
      <c r="P54" s="31" t="n">
        <v>41.63</v>
      </c>
      <c r="Q54" s="31" t="inlineStr"/>
      <c r="R54" s="30" t="inlineStr">
        <is>
          <t>Earnings / Momentum Support</t>
        </is>
      </c>
      <c r="S54" s="30" t="inlineStr">
        <is>
          <t>Nifty Infra</t>
        </is>
      </c>
      <c r="T54" s="31" t="inlineStr"/>
      <c r="U54" s="31" t="inlineStr"/>
      <c r="V54" s="31" t="inlineStr"/>
      <c r="W54" s="31" t="inlineStr"/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3</t>
        </is>
      </c>
      <c r="BC54" s="30">
        <f>IF(BB54="Stage 2",20,IF(BB54="Stage 1",0,IF(BB54="Stage 3",5,IF(BB54="Stage 4",-5,0))))</f>
        <v/>
      </c>
      <c r="BD54" s="30" t="inlineStr">
        <is>
          <t>Negative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Between 0.7 to 1.2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23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EMUDHRA</t>
        </is>
      </c>
      <c r="D55" s="30" t="inlineStr">
        <is>
          <t>eMudhra Ltd</t>
        </is>
      </c>
      <c r="E55" s="30" t="inlineStr">
        <is>
          <t>i.t</t>
        </is>
      </c>
      <c r="F55" s="30" t="inlineStr">
        <is>
          <t>Services Others</t>
        </is>
      </c>
      <c r="G55" s="30" t="inlineStr">
        <is>
          <t>midcap</t>
        </is>
      </c>
      <c r="H55" s="31" t="n">
        <v>5382.76</v>
      </c>
      <c r="I55" s="31" t="n">
        <v>650</v>
      </c>
      <c r="J55" s="31" t="n">
        <v>-0.53</v>
      </c>
      <c r="K55" s="31" t="n">
        <v>0</v>
      </c>
      <c r="L55" s="30" t="n">
        <v>40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68.18000000000001</v>
      </c>
      <c r="P55" s="31" t="n">
        <v>28.95</v>
      </c>
      <c r="Q55" s="31" t="inlineStr"/>
      <c r="R55" s="30" t="inlineStr">
        <is>
          <t>Earnings / Momentum Support</t>
        </is>
      </c>
      <c r="S55" s="30" t="inlineStr">
        <is>
          <t>Nifty IT</t>
        </is>
      </c>
      <c r="T55" s="31" t="n">
        <v>-16.44</v>
      </c>
      <c r="U55" s="31" t="n">
        <v>3.63</v>
      </c>
      <c r="V55" s="31" t="n">
        <v>24.02</v>
      </c>
      <c r="W55" s="31" t="n">
        <v>14.11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Headwind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3</t>
        </is>
      </c>
      <c r="BC55" s="30">
        <f>IF(BB55="Stage 2",20,IF(BB55="Stage 1",0,IF(BB55="Stage 3",5,IF(BB55="Stage 4",-5,0))))</f>
        <v/>
      </c>
      <c r="BD55" s="30" t="inlineStr">
        <is>
          <t>Negative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Between 1.5 to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22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FCL</t>
        </is>
      </c>
      <c r="D56" s="30" t="inlineStr">
        <is>
          <t>Fineotex Chemical Ltd</t>
        </is>
      </c>
      <c r="E56" s="30" t="inlineStr">
        <is>
          <t>chemicals</t>
        </is>
      </c>
      <c r="F56" s="30" t="inlineStr">
        <is>
          <t>Specialty Chemicals</t>
        </is>
      </c>
      <c r="G56" s="30" t="inlineStr">
        <is>
          <t>midcap</t>
        </is>
      </c>
      <c r="H56" s="31" t="n">
        <v>6695.88</v>
      </c>
      <c r="I56" s="31" t="n">
        <v>57.5</v>
      </c>
      <c r="J56" s="31" t="n">
        <v>-4.93</v>
      </c>
      <c r="K56" s="31" t="n">
        <v>0</v>
      </c>
      <c r="L56" s="30" t="n">
        <v>85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81.65000000000001</v>
      </c>
      <c r="P56" s="31" t="n">
        <v>48.6</v>
      </c>
      <c r="Q56" s="31" t="inlineStr"/>
      <c r="R56" s="30" t="inlineStr">
        <is>
          <t>Earnings / Momentum Support</t>
        </is>
      </c>
      <c r="S56" s="30" t="inlineStr">
        <is>
          <t>Nifty 50</t>
        </is>
      </c>
      <c r="T56" s="31" t="n">
        <v>-6.14</v>
      </c>
      <c r="U56" s="31" t="n">
        <v>142.52</v>
      </c>
      <c r="V56" s="31" t="n">
        <v>158.39</v>
      </c>
      <c r="W56" s="31" t="n">
        <v>35.96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Headwind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3</t>
        </is>
      </c>
      <c r="BC56" s="30">
        <f>IF(BB56="Stage 2",20,IF(BB56="Stage 1",0,IF(BB56="Stage 3",5,IF(BB56="Stage 4",-5,0))))</f>
        <v/>
      </c>
      <c r="BD56" s="30" t="inlineStr">
        <is>
          <t>Negative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22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ENGINERSIN</t>
        </is>
      </c>
      <c r="D57" s="30" t="inlineStr">
        <is>
          <t>Engineers India Ltd</t>
        </is>
      </c>
      <c r="E57" s="30" t="inlineStr">
        <is>
          <t>realty</t>
        </is>
      </c>
      <c r="F57" s="30" t="inlineStr">
        <is>
          <t>Infra Engineering General</t>
        </is>
      </c>
      <c r="G57" s="30" t="inlineStr">
        <is>
          <t>midcap</t>
        </is>
      </c>
      <c r="H57" s="31" t="n">
        <v>17608.79</v>
      </c>
      <c r="I57" s="31" t="n">
        <v>313.3</v>
      </c>
      <c r="J57" s="31" t="n">
        <v>-0.74</v>
      </c>
      <c r="K57" s="31" t="n">
        <v>0</v>
      </c>
      <c r="L57" s="30" t="inlineStr"/>
      <c r="M57" s="30" t="inlineStr"/>
      <c r="N57" s="31">
        <f>IF(M57="Underperforming",-5,IF(L57&gt;=95,15,IF(L57&gt;=90,10,IF(L57&gt;=80,5,0))))</f>
        <v/>
      </c>
      <c r="O57" s="31" t="n">
        <v>73.18000000000001</v>
      </c>
      <c r="P57" s="31" t="n">
        <v>20.04</v>
      </c>
      <c r="Q57" s="31" t="inlineStr"/>
      <c r="R57" s="30" t="inlineStr">
        <is>
          <t>Earnings / Momentum Support</t>
        </is>
      </c>
      <c r="S57" s="30" t="inlineStr">
        <is>
          <t>Nifty Realty</t>
        </is>
      </c>
      <c r="T57" s="31" t="inlineStr"/>
      <c r="U57" s="31" t="inlineStr"/>
      <c r="V57" s="31" t="inlineStr"/>
      <c r="W57" s="31" t="inlineStr"/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Headwind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3</t>
        </is>
      </c>
      <c r="BC57" s="30">
        <f>IF(BB57="Stage 2",20,IF(BB57="Stage 1",0,IF(BB57="Stage 3",5,IF(BB57="Stage 4",-5,0))))</f>
        <v/>
      </c>
      <c r="BD57" s="30" t="inlineStr">
        <is>
          <t>Negative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22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OPTIEMUS</t>
        </is>
      </c>
      <c r="D58" s="30" t="inlineStr">
        <is>
          <t>Optiemus Infracom Ltd</t>
        </is>
      </c>
      <c r="E58" s="30" t="inlineStr">
        <is>
          <t>telecom</t>
        </is>
      </c>
      <c r="F58" s="30" t="inlineStr">
        <is>
          <t>EMS</t>
        </is>
      </c>
      <c r="G58" s="30" t="inlineStr">
        <is>
          <t>midcap</t>
        </is>
      </c>
      <c r="H58" s="31" t="n">
        <v>7285.45</v>
      </c>
      <c r="I58" s="31" t="n">
        <v>808</v>
      </c>
      <c r="J58" s="31" t="n">
        <v>6.52</v>
      </c>
      <c r="K58" s="31" t="n">
        <v>0</v>
      </c>
      <c r="L58" s="30" t="n">
        <v>61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73.93000000000001</v>
      </c>
      <c r="P58" s="31" t="n">
        <v>43.09</v>
      </c>
      <c r="Q58" s="31" t="inlineStr"/>
      <c r="R58" s="30" t="inlineStr">
        <is>
          <t>Earnings / Momentum Support</t>
        </is>
      </c>
      <c r="S58" s="30" t="inlineStr">
        <is>
          <t>Nifty 50</t>
        </is>
      </c>
      <c r="T58" s="31" t="n">
        <v>-6.14</v>
      </c>
      <c r="U58" s="31" t="n">
        <v>15.53</v>
      </c>
      <c r="V58" s="31" t="n">
        <v>23.09</v>
      </c>
      <c r="W58" s="31" t="n">
        <v>22.4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Oligopoly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No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3</t>
        </is>
      </c>
      <c r="BC58" s="30">
        <f>IF(BB58="Stage 2",20,IF(BB58="Stage 1",0,IF(BB58="Stage 3",5,IF(BB58="Stage 4",-5,0))))</f>
        <v/>
      </c>
      <c r="BD58" s="30" t="inlineStr">
        <is>
          <t>Negative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20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NRBBEARING</t>
        </is>
      </c>
      <c r="D59" s="30" t="inlineStr">
        <is>
          <t>NRB Bearings Ltd</t>
        </is>
      </c>
      <c r="E59" s="30" t="inlineStr">
        <is>
          <t>industrials</t>
        </is>
      </c>
      <c r="F59" s="30" t="inlineStr">
        <is>
          <t>Bearings</t>
        </is>
      </c>
      <c r="G59" s="30" t="inlineStr">
        <is>
          <t>midcap</t>
        </is>
      </c>
      <c r="H59" s="31" t="n">
        <v>5239.15</v>
      </c>
      <c r="I59" s="31" t="n">
        <v>540.55</v>
      </c>
      <c r="J59" s="31" t="n">
        <v>1.08</v>
      </c>
      <c r="K59" s="31" t="n">
        <v>0</v>
      </c>
      <c r="L59" s="30" t="n">
        <v>66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74.94</v>
      </c>
      <c r="P59" s="31" t="n">
        <v>50.92</v>
      </c>
      <c r="Q59" s="31" t="inlineStr"/>
      <c r="R59" s="30" t="inlineStr">
        <is>
          <t>Earnings / Momentum Support</t>
        </is>
      </c>
      <c r="S59" s="30" t="inlineStr">
        <is>
          <t>Nifty 50</t>
        </is>
      </c>
      <c r="T59" s="31" t="n">
        <v>-6.14</v>
      </c>
      <c r="U59" s="31" t="n">
        <v>96.40000000000001</v>
      </c>
      <c r="V59" s="31" t="n">
        <v>109.25</v>
      </c>
      <c r="W59" s="31" t="n">
        <v>24.37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Headwind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3</t>
        </is>
      </c>
      <c r="BC59" s="30">
        <f>IF(BB59="Stage 2",20,IF(BB59="Stage 1",0,IF(BB59="Stage 3",5,IF(BB59="Stage 4",-5,0))))</f>
        <v/>
      </c>
      <c r="BD59" s="30" t="inlineStr">
        <is>
          <t>Negative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Between 12 to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EBGNG</t>
        </is>
      </c>
      <c r="D60" s="30" t="inlineStr">
        <is>
          <t>GNG Electronics Ltd</t>
        </is>
      </c>
      <c r="E60" s="30" t="inlineStr">
        <is>
          <t>services</t>
        </is>
      </c>
      <c r="F60" s="30" t="inlineStr">
        <is>
          <t>New age Platform E Retail</t>
        </is>
      </c>
      <c r="G60" s="30" t="inlineStr">
        <is>
          <t>midcap</t>
        </is>
      </c>
      <c r="H60" s="31" t="n">
        <v>7672.98</v>
      </c>
      <c r="I60" s="31" t="n">
        <v>673</v>
      </c>
      <c r="J60" s="31" t="n">
        <v>0.6</v>
      </c>
      <c r="K60" s="31" t="n">
        <v>0</v>
      </c>
      <c r="L60" s="30" t="n">
        <v>56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65.09</v>
      </c>
      <c r="P60" s="31" t="n">
        <v>39.54</v>
      </c>
      <c r="Q60" s="31" t="inlineStr"/>
      <c r="R60" s="30" t="inlineStr">
        <is>
          <t>Earnings / Momentum Support</t>
        </is>
      </c>
      <c r="S60" s="30" t="inlineStr">
        <is>
          <t>Nifty 50</t>
        </is>
      </c>
      <c r="T60" s="31" t="n">
        <v>-6.14</v>
      </c>
      <c r="U60" s="31" t="n">
        <v>93.63</v>
      </c>
      <c r="V60" s="31" t="n">
        <v>106.3</v>
      </c>
      <c r="W60" s="31" t="n">
        <v>19.6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Headwind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3</t>
        </is>
      </c>
      <c r="BC60" s="30">
        <f>IF(BB60="Stage 2",20,IF(BB60="Stage 1",0,IF(BB60="Stage 3",5,IF(BB60="Stage 4",-5,0))))</f>
        <v/>
      </c>
      <c r="BD60" s="30" t="inlineStr">
        <is>
          <t>Negative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19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SOMANYCERA</t>
        </is>
      </c>
      <c r="D61" s="30" t="inlineStr">
        <is>
          <t>Somany Ceramics Ltd</t>
        </is>
      </c>
      <c r="E61" s="30" t="inlineStr">
        <is>
          <t>building materials</t>
        </is>
      </c>
      <c r="F61" s="30" t="inlineStr">
        <is>
          <t>Ceramics Tiles and Sanitaryware</t>
        </is>
      </c>
      <c r="G61" s="30" t="inlineStr">
        <is>
          <t>smallcap</t>
        </is>
      </c>
      <c r="H61" s="31" t="n">
        <v>2539.1</v>
      </c>
      <c r="I61" s="31" t="n">
        <v>619.1</v>
      </c>
      <c r="J61" s="31" t="n">
        <v>0.17</v>
      </c>
      <c r="K61" s="31" t="n">
        <v>0</v>
      </c>
      <c r="L61" s="30" t="inlineStr"/>
      <c r="M61" s="30" t="inlineStr"/>
      <c r="N61" s="31">
        <f>IF(M61="Underperforming",-5,IF(L61&gt;=95,15,IF(L61&gt;=90,10,IF(L61&gt;=80,5,0))))</f>
        <v/>
      </c>
      <c r="O61" s="31" t="n">
        <v>72.95999999999999</v>
      </c>
      <c r="P61" s="31" t="n">
        <v>33.56</v>
      </c>
      <c r="Q61" s="31" t="inlineStr"/>
      <c r="R61" s="30" t="inlineStr">
        <is>
          <t>Earnings / Momentum Support</t>
        </is>
      </c>
      <c r="S61" s="30" t="inlineStr">
        <is>
          <t>Nifty Infra</t>
        </is>
      </c>
      <c r="T61" s="31" t="inlineStr"/>
      <c r="U61" s="31" t="inlineStr"/>
      <c r="V61" s="31" t="inlineStr"/>
      <c r="W61" s="31" t="inlineStr"/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Headwind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No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3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18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FINCABLES</t>
        </is>
      </c>
      <c r="D62" s="30" t="inlineStr">
        <is>
          <t>Finolex Cables Ltd</t>
        </is>
      </c>
      <c r="E62" s="30" t="inlineStr">
        <is>
          <t>industrials</t>
        </is>
      </c>
      <c r="F62" s="30" t="inlineStr">
        <is>
          <t>Cables Telecom</t>
        </is>
      </c>
      <c r="G62" s="30" t="inlineStr">
        <is>
          <t>largecap</t>
        </is>
      </c>
      <c r="H62" s="31" t="n">
        <v>21533.86</v>
      </c>
      <c r="I62" s="31" t="n">
        <v>1408</v>
      </c>
      <c r="J62" s="31" t="n">
        <v>-3.62</v>
      </c>
      <c r="K62" s="31" t="n">
        <v>0</v>
      </c>
      <c r="L62" s="30" t="inlineStr"/>
      <c r="M62" s="30" t="inlineStr"/>
      <c r="N62" s="31">
        <f>IF(M62="Underperforming",-5,IF(L62&gt;=95,15,IF(L62&gt;=90,10,IF(L62&gt;=80,5,0))))</f>
        <v/>
      </c>
      <c r="O62" s="31" t="n">
        <v>71.22</v>
      </c>
      <c r="P62" s="31" t="n">
        <v>39.08</v>
      </c>
      <c r="Q62" s="31" t="inlineStr"/>
      <c r="R62" s="30" t="inlineStr">
        <is>
          <t>Earnings / Momentum Support</t>
        </is>
      </c>
      <c r="S62" s="30" t="inlineStr">
        <is>
          <t>Nifty Energy</t>
        </is>
      </c>
      <c r="T62" s="31" t="inlineStr"/>
      <c r="U62" s="31" t="inlineStr"/>
      <c r="V62" s="31" t="inlineStr"/>
      <c r="W62" s="31" t="inlineStr"/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Oligopoly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Headwind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3</t>
        </is>
      </c>
      <c r="BC62" s="30">
        <f>IF(BB62="Stage 2",20,IF(BB62="Stage 1",0,IF(BB62="Stage 3",5,IF(BB62="Stage 4",-5,0))))</f>
        <v/>
      </c>
      <c r="BD62" s="30" t="inlineStr">
        <is>
          <t>Negative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18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KMEW</t>
        </is>
      </c>
      <c r="D63" s="30" t="inlineStr">
        <is>
          <t>Knowledge Marine &amp; Engineering Works Ltd</t>
        </is>
      </c>
      <c r="E63" s="30" t="inlineStr">
        <is>
          <t>Industrials</t>
        </is>
      </c>
      <c r="F63" s="30" t="inlineStr">
        <is>
          <t>Shipping</t>
        </is>
      </c>
      <c r="G63" s="30" t="inlineStr">
        <is>
          <t>midcap</t>
        </is>
      </c>
      <c r="H63" s="31" t="n">
        <v>7283.36</v>
      </c>
      <c r="I63" s="31" t="n">
        <v>2871.5</v>
      </c>
      <c r="J63" s="31" t="n">
        <v>0.37</v>
      </c>
      <c r="K63" s="31" t="n">
        <v>0</v>
      </c>
      <c r="L63" s="30" t="n">
        <v>74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71.01000000000001</v>
      </c>
      <c r="P63" s="31" t="n">
        <v>58</v>
      </c>
      <c r="Q63" s="31" t="inlineStr"/>
      <c r="R63" s="30" t="inlineStr">
        <is>
          <t>Earnings / Momentum Support</t>
        </is>
      </c>
      <c r="S63" s="30" t="inlineStr">
        <is>
          <t>Nifty 50</t>
        </is>
      </c>
      <c r="T63" s="31" t="n">
        <v>-6.14</v>
      </c>
      <c r="U63" s="31" t="n">
        <v>129.94</v>
      </c>
      <c r="V63" s="31" t="n">
        <v>144.99</v>
      </c>
      <c r="W63" s="31" t="n">
        <v>26.93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Headwind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3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18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2" t="inlineStr">
        <is>
          <t>AARTIPHARM</t>
        </is>
      </c>
      <c r="D64" s="32" t="inlineStr">
        <is>
          <t>Aarti Pharmalabs Ltd</t>
        </is>
      </c>
      <c r="E64" s="30" t="inlineStr">
        <is>
          <t>healthcare</t>
        </is>
      </c>
      <c r="F64" s="30" t="inlineStr">
        <is>
          <t>Pharma API</t>
        </is>
      </c>
      <c r="G64" s="30" t="inlineStr">
        <is>
          <t>midcap</t>
        </is>
      </c>
      <c r="H64" s="31" t="n">
        <v>8306.27</v>
      </c>
      <c r="I64" s="31" t="n">
        <v>916</v>
      </c>
      <c r="J64" s="31" t="n">
        <v>-2.51</v>
      </c>
      <c r="K64" s="31" t="n">
        <v>0</v>
      </c>
      <c r="L64" s="30" t="n">
        <v>34</v>
      </c>
      <c r="M64" s="30" t="inlineStr">
        <is>
          <t>Underperforming</t>
        </is>
      </c>
      <c r="N64" s="31">
        <f>IF(M64="Underperforming",-5,IF(L64&gt;=95,15,IF(L64&gt;=90,10,IF(L64&gt;=80,5,0))))</f>
        <v/>
      </c>
      <c r="O64" s="31" t="n">
        <v>69.12</v>
      </c>
      <c r="P64" s="31" t="n">
        <v>25.15</v>
      </c>
      <c r="Q64" s="31" t="inlineStr"/>
      <c r="R64" s="30" t="inlineStr">
        <is>
          <t>Earnings / Momentum Support</t>
        </is>
      </c>
      <c r="S64" s="30" t="inlineStr">
        <is>
          <t>Nifty Pharma</t>
        </is>
      </c>
      <c r="T64" s="31" t="n">
        <v>25.55</v>
      </c>
      <c r="U64" s="31" t="n">
        <v>14.53</v>
      </c>
      <c r="V64" s="31" t="n">
        <v>-8.779999999999999</v>
      </c>
      <c r="W64" s="31" t="n">
        <v>11.69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3</t>
        </is>
      </c>
      <c r="BC64" s="30">
        <f>IF(BB64="Stage 2",20,IF(BB64="Stage 1",0,IF(BB64="Stage 3",5,IF(BB64="Stage 4",-5,0))))</f>
        <v/>
      </c>
      <c r="BD64" s="30" t="inlineStr">
        <is>
          <t>Negative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25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SHILPAMED</t>
        </is>
      </c>
      <c r="D65" s="30" t="inlineStr">
        <is>
          <t>Shilpa Medicare Ltd</t>
        </is>
      </c>
      <c r="E65" s="30" t="inlineStr">
        <is>
          <t>healthcare</t>
        </is>
      </c>
      <c r="F65" s="30" t="inlineStr">
        <is>
          <t>Pharma API</t>
        </is>
      </c>
      <c r="G65" s="30" t="inlineStr">
        <is>
          <t>largecap</t>
        </is>
      </c>
      <c r="H65" s="31" t="n">
        <v>20203.6</v>
      </c>
      <c r="I65" s="31" t="n">
        <v>1033</v>
      </c>
      <c r="J65" s="31" t="n">
        <v>1.93</v>
      </c>
      <c r="K65" s="31" t="n">
        <v>0</v>
      </c>
      <c r="L65" s="30" t="n">
        <v>89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90.44</v>
      </c>
      <c r="P65" s="31" t="n">
        <v>82.64</v>
      </c>
      <c r="Q65" s="31" t="inlineStr"/>
      <c r="R65" s="30" t="inlineStr">
        <is>
          <t>Earnings / Momentum Support</t>
        </is>
      </c>
      <c r="S65" s="30" t="inlineStr">
        <is>
          <t>Nifty Pharma</t>
        </is>
      </c>
      <c r="T65" s="31" t="n">
        <v>25.55</v>
      </c>
      <c r="U65" s="31" t="n">
        <v>162.77</v>
      </c>
      <c r="V65" s="31" t="n">
        <v>109.29</v>
      </c>
      <c r="W65" s="31" t="n">
        <v>42.08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3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21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ACMESOLAR</t>
        </is>
      </c>
      <c r="D66" s="30" t="inlineStr">
        <is>
          <t>ACME Solar Holdings Ltd</t>
        </is>
      </c>
      <c r="E66" s="30" t="inlineStr">
        <is>
          <t>realty</t>
        </is>
      </c>
      <c r="F66" s="30" t="inlineStr">
        <is>
          <t>Power Generation and Distribution</t>
        </is>
      </c>
      <c r="G66" s="30" t="inlineStr">
        <is>
          <t>largecap</t>
        </is>
      </c>
      <c r="H66" s="31" t="n">
        <v>30925.75</v>
      </c>
      <c r="I66" s="31" t="n">
        <v>437.5</v>
      </c>
      <c r="J66" s="31" t="n">
        <v>-1.22</v>
      </c>
      <c r="K66" s="31" t="n">
        <v>0</v>
      </c>
      <c r="L66" s="30" t="inlineStr"/>
      <c r="M66" s="30" t="inlineStr"/>
      <c r="N66" s="31">
        <f>IF(M66="Underperforming",-5,IF(L66&gt;=95,15,IF(L66&gt;=90,10,IF(L66&gt;=80,5,0))))</f>
        <v/>
      </c>
      <c r="O66" s="31" t="n">
        <v>72.20999999999999</v>
      </c>
      <c r="P66" s="31" t="n">
        <v>54.05</v>
      </c>
      <c r="Q66" s="31" t="inlineStr"/>
      <c r="R66" s="30" t="inlineStr">
        <is>
          <t>Earnings / Momentum Support</t>
        </is>
      </c>
      <c r="S66" s="30" t="inlineStr">
        <is>
          <t>Nifty Realty</t>
        </is>
      </c>
      <c r="T66" s="31" t="inlineStr"/>
      <c r="U66" s="31" t="inlineStr"/>
      <c r="V66" s="31" t="inlineStr"/>
      <c r="W66" s="31" t="inlineStr"/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3</t>
        </is>
      </c>
      <c r="BC66" s="30">
        <f>IF(BB66="Stage 2",20,IF(BB66="Stage 1",0,IF(BB66="Stage 3",5,IF(BB66="Stage 4",-5,0))))</f>
        <v/>
      </c>
      <c r="BD66" s="30" t="inlineStr">
        <is>
          <t>Negative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More than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23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SANSERA</t>
        </is>
      </c>
      <c r="D67" s="30" t="inlineStr">
        <is>
          <t>Sansera Engineering Ltd</t>
        </is>
      </c>
      <c r="E67" s="30" t="inlineStr">
        <is>
          <t>auto</t>
        </is>
      </c>
      <c r="F67" s="30" t="inlineStr">
        <is>
          <t>Diversified Auto Components</t>
        </is>
      </c>
      <c r="G67" s="30" t="inlineStr">
        <is>
          <t>largecap</t>
        </is>
      </c>
      <c r="H67" s="31" t="n">
        <v>27744.69</v>
      </c>
      <c r="I67" s="31" t="n">
        <v>4445</v>
      </c>
      <c r="J67" s="31" t="n">
        <v>-4.66</v>
      </c>
      <c r="K67" s="31" t="n">
        <v>0</v>
      </c>
      <c r="L67" s="30" t="inlineStr"/>
      <c r="M67" s="30" t="inlineStr"/>
      <c r="N67" s="31">
        <f>IF(M67="Underperforming",-5,IF(L67&gt;=95,15,IF(L67&gt;=90,10,IF(L67&gt;=80,5,0))))</f>
        <v/>
      </c>
      <c r="O67" s="31" t="n">
        <v>85.7</v>
      </c>
      <c r="P67" s="31" t="n">
        <v>69.36</v>
      </c>
      <c r="Q67" s="31" t="inlineStr"/>
      <c r="R67" s="30" t="inlineStr">
        <is>
          <t>Earnings / Momentum Support</t>
        </is>
      </c>
      <c r="S67" s="30" t="inlineStr">
        <is>
          <t>Nifty Auto</t>
        </is>
      </c>
      <c r="T67" s="31" t="inlineStr"/>
      <c r="U67" s="31" t="inlineStr"/>
      <c r="V67" s="31" t="inlineStr"/>
      <c r="W67" s="31" t="inlineStr"/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Headwind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3</t>
        </is>
      </c>
      <c r="BC67" s="30">
        <f>IF(BB67="Stage 2",20,IF(BB67="Stage 1",0,IF(BB67="Stage 3",5,IF(BB67="Stage 4",-5,0))))</f>
        <v/>
      </c>
      <c r="BD67" s="30" t="inlineStr">
        <is>
          <t>Negative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18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KMCSHIL</t>
        </is>
      </c>
      <c r="D68" s="30" t="inlineStr">
        <is>
          <t>KMC Speciality Hospitals (India) Ltd</t>
        </is>
      </c>
      <c r="E68" s="30" t="inlineStr">
        <is>
          <t>Healthcare</t>
        </is>
      </c>
      <c r="F68" s="30" t="inlineStr">
        <is>
          <t>Hospitals</t>
        </is>
      </c>
      <c r="G68" s="30" t="inlineStr">
        <is>
          <t>smallcap</t>
        </is>
      </c>
      <c r="H68" s="31" t="n">
        <v>2625.67</v>
      </c>
      <c r="I68" s="31" t="n">
        <v>161</v>
      </c>
      <c r="J68" s="31" t="n">
        <v>2.97</v>
      </c>
      <c r="K68" s="31" t="n">
        <v>0</v>
      </c>
      <c r="L68" s="30" t="n">
        <v>67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77.5</v>
      </c>
      <c r="P68" s="31" t="n">
        <v>52.6</v>
      </c>
      <c r="Q68" s="31" t="inlineStr"/>
      <c r="R68" s="30" t="inlineStr">
        <is>
          <t>Earnings / Momentum Support</t>
        </is>
      </c>
      <c r="S68" s="30" t="inlineStr">
        <is>
          <t>Nifty Pharma</t>
        </is>
      </c>
      <c r="T68" s="31" t="n">
        <v>25.55</v>
      </c>
      <c r="U68" s="31" t="n">
        <v>136.18</v>
      </c>
      <c r="V68" s="31" t="n">
        <v>88.11</v>
      </c>
      <c r="W68" s="31" t="n">
        <v>24.7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3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25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LAURUSLABS</t>
        </is>
      </c>
      <c r="D69" s="30" t="inlineStr">
        <is>
          <t>Laurus Labs Ltd</t>
        </is>
      </c>
      <c r="E69" s="30" t="inlineStr">
        <is>
          <t>healthcare</t>
        </is>
      </c>
      <c r="F69" s="30" t="inlineStr">
        <is>
          <t>Pharma API</t>
        </is>
      </c>
      <c r="G69" s="30" t="inlineStr">
        <is>
          <t>largecap</t>
        </is>
      </c>
      <c r="H69" s="31" t="n">
        <v>108640.58</v>
      </c>
      <c r="I69" s="31" t="n">
        <v>2010.7</v>
      </c>
      <c r="J69" s="31" t="n">
        <v>0.18</v>
      </c>
      <c r="K69" s="31" t="n">
        <v>0</v>
      </c>
      <c r="L69" s="30" t="n">
        <v>75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77.54000000000001</v>
      </c>
      <c r="P69" s="31" t="n">
        <v>76.51000000000001</v>
      </c>
      <c r="Q69" s="31" t="inlineStr"/>
      <c r="R69" s="30" t="inlineStr">
        <is>
          <t>Earnings / Momentum Support</t>
        </is>
      </c>
      <c r="S69" s="30" t="inlineStr">
        <is>
          <t>Nifty Pharma</t>
        </is>
      </c>
      <c r="T69" s="31" t="n">
        <v>25.55</v>
      </c>
      <c r="U69" s="31" t="n">
        <v>141.58</v>
      </c>
      <c r="V69" s="31" t="n">
        <v>92.41</v>
      </c>
      <c r="W69" s="31" t="n">
        <v>28.83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3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ONEPOINT</t>
        </is>
      </c>
      <c r="D70" s="30" t="inlineStr">
        <is>
          <t>One Point One Solutions Ltd</t>
        </is>
      </c>
      <c r="E70" s="30" t="inlineStr">
        <is>
          <t>i.t</t>
        </is>
      </c>
      <c r="F70" s="30" t="inlineStr">
        <is>
          <t>IT Enabled Services</t>
        </is>
      </c>
      <c r="G70" s="30" t="inlineStr">
        <is>
          <t>smallcap</t>
        </is>
      </c>
      <c r="H70" s="31" t="n">
        <v>1823.47</v>
      </c>
      <c r="I70" s="31" t="n">
        <v>69.34999999999999</v>
      </c>
      <c r="J70" s="31" t="n">
        <v>-0.36</v>
      </c>
      <c r="K70" s="31" t="n">
        <v>0</v>
      </c>
      <c r="L70" s="30" t="n">
        <v>48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68.75</v>
      </c>
      <c r="P70" s="31" t="n">
        <v>15.84</v>
      </c>
      <c r="Q70" s="31" t="inlineStr"/>
      <c r="R70" s="30" t="inlineStr">
        <is>
          <t>Earnings / Momentum Support</t>
        </is>
      </c>
      <c r="S70" s="30" t="inlineStr">
        <is>
          <t>Nifty IT</t>
        </is>
      </c>
      <c r="T70" s="31" t="n">
        <v>-16.44</v>
      </c>
      <c r="U70" s="31" t="n">
        <v>58.72</v>
      </c>
      <c r="V70" s="31" t="n">
        <v>89.95</v>
      </c>
      <c r="W70" s="31" t="n">
        <v>16.48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3</t>
        </is>
      </c>
      <c r="BC70" s="30">
        <f>IF(BB70="Stage 2",20,IF(BB70="Stage 1",0,IF(BB70="Stage 3",5,IF(BB70="Stage 4",-5,0))))</f>
        <v/>
      </c>
      <c r="BD70" s="30" t="inlineStr">
        <is>
          <t>Negative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25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GANDHAR</t>
        </is>
      </c>
      <c r="D71" s="30" t="inlineStr">
        <is>
          <t>Gandhar Oil Refinery (India) Ltd</t>
        </is>
      </c>
      <c r="E71" s="30" t="inlineStr">
        <is>
          <t>Energy</t>
        </is>
      </c>
      <c r="F71" s="30" t="inlineStr">
        <is>
          <t>Refineries</t>
        </is>
      </c>
      <c r="G71" s="30" t="inlineStr">
        <is>
          <t>smallcap</t>
        </is>
      </c>
      <c r="H71" s="31" t="n">
        <v>2563.95</v>
      </c>
      <c r="I71" s="31" t="n">
        <v>261.95</v>
      </c>
      <c r="J71" s="31" t="n">
        <v>0.11</v>
      </c>
      <c r="K71" s="31" t="n">
        <v>0</v>
      </c>
      <c r="L71" s="30" t="inlineStr"/>
      <c r="M71" s="30" t="inlineStr"/>
      <c r="N71" s="31">
        <f>IF(M71="Underperforming",-5,IF(L71&gt;=95,15,IF(L71&gt;=90,10,IF(L71&gt;=80,5,0))))</f>
        <v/>
      </c>
      <c r="O71" s="31" t="n">
        <v>65.48999999999999</v>
      </c>
      <c r="P71" s="31" t="n">
        <v>77.08</v>
      </c>
      <c r="Q71" s="31" t="inlineStr"/>
      <c r="R71" s="30" t="inlineStr">
        <is>
          <t>Earnings / Momentum Support</t>
        </is>
      </c>
      <c r="S71" s="30" t="inlineStr">
        <is>
          <t>Nifty Energy</t>
        </is>
      </c>
      <c r="T71" s="31" t="inlineStr"/>
      <c r="U71" s="31" t="inlineStr"/>
      <c r="V71" s="31" t="inlineStr"/>
      <c r="W71" s="31" t="inlineStr"/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Oligopoly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Cyclical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Volatile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3</t>
        </is>
      </c>
      <c r="BC71" s="30">
        <f>IF(BB71="Stage 2",20,IF(BB71="Stage 1",0,IF(BB71="Stage 3",5,IF(BB71="Stage 4",-5,0))))</f>
        <v/>
      </c>
      <c r="BD71" s="30" t="inlineStr">
        <is>
          <t>Negative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23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RGL</t>
        </is>
      </c>
      <c r="D72" s="30" t="inlineStr">
        <is>
          <t>Renaissance Global Ltd</t>
        </is>
      </c>
      <c r="E72" s="30" t="inlineStr">
        <is>
          <t>consumer discretionary</t>
        </is>
      </c>
      <c r="F72" s="30" t="inlineStr">
        <is>
          <t>Lab Grown Diamonds</t>
        </is>
      </c>
      <c r="G72" s="30" t="inlineStr">
        <is>
          <t>smallcap</t>
        </is>
      </c>
      <c r="H72" s="31" t="n">
        <v>1765.78</v>
      </c>
      <c r="I72" s="31" t="n">
        <v>164.4</v>
      </c>
      <c r="J72" s="31" t="n">
        <v>-1.83</v>
      </c>
      <c r="K72" s="31" t="n">
        <v>0</v>
      </c>
      <c r="L72" s="30" t="n">
        <v>55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77.28</v>
      </c>
      <c r="P72" s="31" t="n">
        <v>34.96</v>
      </c>
      <c r="Q72" s="31" t="inlineStr"/>
      <c r="R72" s="30" t="inlineStr">
        <is>
          <t>Earnings / Momentum Support</t>
        </is>
      </c>
      <c r="S72" s="30" t="inlineStr">
        <is>
          <t>Nifty 50</t>
        </is>
      </c>
      <c r="T72" s="31" t="n">
        <v>-6.14</v>
      </c>
      <c r="U72" s="31" t="n">
        <v>47.21</v>
      </c>
      <c r="V72" s="31" t="n">
        <v>56.85</v>
      </c>
      <c r="W72" s="31" t="n">
        <v>19.3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No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3</t>
        </is>
      </c>
      <c r="BC72" s="30">
        <f>IF(BB72="Stage 2",20,IF(BB72="Stage 1",0,IF(BB72="Stage 3",5,IF(BB72="Stage 4",-5,0))))</f>
        <v/>
      </c>
      <c r="BD72" s="30" t="inlineStr">
        <is>
          <t>Negative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19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JASH</t>
        </is>
      </c>
      <c r="D73" s="30" t="inlineStr">
        <is>
          <t>Jash Engineering Ltd</t>
        </is>
      </c>
      <c r="E73" s="30" t="inlineStr">
        <is>
          <t>industrials</t>
        </is>
      </c>
      <c r="F73" s="30" t="inlineStr">
        <is>
          <t>Water Treatment</t>
        </is>
      </c>
      <c r="G73" s="30" t="inlineStr">
        <is>
          <t>smallcap</t>
        </is>
      </c>
      <c r="H73" s="31" t="n">
        <v>3734.75</v>
      </c>
      <c r="I73" s="31" t="n">
        <v>591</v>
      </c>
      <c r="J73" s="31" t="n">
        <v>-0.48</v>
      </c>
      <c r="K73" s="31" t="n">
        <v>0</v>
      </c>
      <c r="L73" s="30" t="n">
        <v>22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69.98999999999999</v>
      </c>
      <c r="P73" s="31" t="n">
        <v>20.85</v>
      </c>
      <c r="Q73" s="31" t="inlineStr"/>
      <c r="R73" s="30" t="inlineStr">
        <is>
          <t>Earnings / Momentum Support</t>
        </is>
      </c>
      <c r="S73" s="30" t="inlineStr">
        <is>
          <t>Nifty 50</t>
        </is>
      </c>
      <c r="T73" s="31" t="n">
        <v>-6.14</v>
      </c>
      <c r="U73" s="31" t="n">
        <v>18.76</v>
      </c>
      <c r="V73" s="31" t="n">
        <v>26.53</v>
      </c>
      <c r="W73" s="31" t="n">
        <v>8.630000000000001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Headwind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3</t>
        </is>
      </c>
      <c r="BC73" s="30">
        <f>IF(BB73="Stage 2",20,IF(BB73="Stage 1",0,IF(BB73="Stage 3",5,IF(BB73="Stage 4",-5,0))))</f>
        <v/>
      </c>
      <c r="BD73" s="30" t="inlineStr">
        <is>
          <t>Negative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19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SPECTRUM</t>
        </is>
      </c>
      <c r="D74" s="30" t="inlineStr">
        <is>
          <t>Spectrum Electrical Industries Ltd</t>
        </is>
      </c>
      <c r="E74" s="30" t="inlineStr">
        <is>
          <t>industrials</t>
        </is>
      </c>
      <c r="F74" s="30" t="inlineStr">
        <is>
          <t>Capital Goods Electric General</t>
        </is>
      </c>
      <c r="G74" s="30" t="inlineStr">
        <is>
          <t>midcap</t>
        </is>
      </c>
      <c r="H74" s="31" t="n">
        <v>6148.07</v>
      </c>
      <c r="I74" s="31" t="n">
        <v>3598</v>
      </c>
      <c r="J74" s="31" t="n">
        <v>2.25</v>
      </c>
      <c r="K74" s="31" t="n">
        <v>0</v>
      </c>
      <c r="L74" s="30" t="n">
        <v>92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82.53</v>
      </c>
      <c r="P74" s="31" t="n">
        <v>64.26000000000001</v>
      </c>
      <c r="Q74" s="31" t="inlineStr"/>
      <c r="R74" s="30" t="inlineStr">
        <is>
          <t>Earnings / Momentum Support</t>
        </is>
      </c>
      <c r="S74" s="30" t="inlineStr">
        <is>
          <t>Nifty 50</t>
        </is>
      </c>
      <c r="T74" s="31" t="n">
        <v>-6.14</v>
      </c>
      <c r="U74" s="31" t="n">
        <v>156.12</v>
      </c>
      <c r="V74" s="31" t="n">
        <v>172.88</v>
      </c>
      <c r="W74" s="31" t="n">
        <v>44.93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Headwind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3</t>
        </is>
      </c>
      <c r="BC74" s="30">
        <f>IF(BB74="Stage 2",20,IF(BB74="Stage 1",0,IF(BB74="Stage 3",5,IF(BB74="Stage 4",-5,0))))</f>
        <v/>
      </c>
      <c r="BD74" s="30" t="inlineStr">
        <is>
          <t>Negative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Between 0.7 to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18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UNIFIED</t>
        </is>
      </c>
      <c r="D75" s="30" t="inlineStr">
        <is>
          <t>Unified Data- Tech Solutions Ltd</t>
        </is>
      </c>
      <c r="E75" s="30" t="inlineStr">
        <is>
          <t>Technology</t>
        </is>
      </c>
      <c r="F75" s="30" t="inlineStr">
        <is>
          <t>IT Services</t>
        </is>
      </c>
      <c r="G75" s="30" t="inlineStr">
        <is>
          <t>smallcap</t>
        </is>
      </c>
      <c r="H75" s="31" t="n">
        <v>1012.54</v>
      </c>
      <c r="I75" s="31" t="n">
        <v>504</v>
      </c>
      <c r="J75" s="31" t="n">
        <v>2.97</v>
      </c>
      <c r="K75" s="31" t="n">
        <v>0</v>
      </c>
      <c r="L75" s="30" t="n">
        <v>35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69.81999999999999</v>
      </c>
      <c r="P75" s="31" t="n">
        <v>15.34</v>
      </c>
      <c r="Q75" s="31" t="inlineStr"/>
      <c r="R75" s="30" t="inlineStr">
        <is>
          <t>Earnings / Momentum Support</t>
        </is>
      </c>
      <c r="S75" s="30" t="inlineStr">
        <is>
          <t>Nifty 50</t>
        </is>
      </c>
      <c r="T75" s="31" t="n">
        <v>-6.14</v>
      </c>
      <c r="U75" s="31" t="n">
        <v>26.92</v>
      </c>
      <c r="V75" s="31" t="n">
        <v>35.23</v>
      </c>
      <c r="W75" s="31" t="n">
        <v>11.8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Headwind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Annuity, Lower One Time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3</t>
        </is>
      </c>
      <c r="BC75" s="30">
        <f>IF(BB75="Stage 2",20,IF(BB75="Stage 1",0,IF(BB75="Stage 3",5,IF(BB75="Stage 4",-5,0))))</f>
        <v/>
      </c>
      <c r="BD75" s="30" t="inlineStr">
        <is>
          <t>Negative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SAMBHV</t>
        </is>
      </c>
      <c r="D76" s="30" t="inlineStr">
        <is>
          <t>Sambhv Steel Tubes Ltd</t>
        </is>
      </c>
      <c r="E76" s="30" t="inlineStr">
        <is>
          <t>metals &amp; mining</t>
        </is>
      </c>
      <c r="F76" s="30" t="inlineStr">
        <is>
          <t>Steel Tubes and Pipes</t>
        </is>
      </c>
      <c r="G76" s="30" t="inlineStr">
        <is>
          <t>smallcap</t>
        </is>
      </c>
      <c r="H76" s="31" t="n">
        <v>4532.05</v>
      </c>
      <c r="I76" s="31" t="n">
        <v>153.8</v>
      </c>
      <c r="J76" s="31" t="n">
        <v>-3.34</v>
      </c>
      <c r="K76" s="31" t="n">
        <v>0</v>
      </c>
      <c r="L76" s="30" t="inlineStr"/>
      <c r="M76" s="30" t="inlineStr"/>
      <c r="N76" s="31">
        <f>IF(M76="Underperforming",-5,IF(L76&gt;=95,15,IF(L76&gt;=90,10,IF(L76&gt;=80,5,0))))</f>
        <v/>
      </c>
      <c r="O76" s="31" t="n">
        <v>78.29000000000001</v>
      </c>
      <c r="P76" s="31" t="n">
        <v>45.59</v>
      </c>
      <c r="Q76" s="31" t="inlineStr"/>
      <c r="R76" s="30" t="inlineStr">
        <is>
          <t>Earnings / Momentum Support</t>
        </is>
      </c>
      <c r="S76" s="30" t="inlineStr">
        <is>
          <t>Nifty Metal</t>
        </is>
      </c>
      <c r="T76" s="31" t="inlineStr"/>
      <c r="U76" s="31" t="inlineStr"/>
      <c r="V76" s="31" t="inlineStr"/>
      <c r="W76" s="31" t="inlineStr"/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Headwind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3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25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MANINDS</t>
        </is>
      </c>
      <c r="D77" s="30" t="inlineStr">
        <is>
          <t>Man Industries (India) Ltd</t>
        </is>
      </c>
      <c r="E77" s="30" t="inlineStr">
        <is>
          <t>metals &amp; mining</t>
        </is>
      </c>
      <c r="F77" s="30" t="inlineStr">
        <is>
          <t>Steel Tubes and Pipes</t>
        </is>
      </c>
      <c r="G77" s="30" t="inlineStr">
        <is>
          <t>midcap</t>
        </is>
      </c>
      <c r="H77" s="31" t="n">
        <v>7143.91</v>
      </c>
      <c r="I77" s="31" t="n">
        <v>952.4</v>
      </c>
      <c r="J77" s="31" t="n">
        <v>-6.66</v>
      </c>
      <c r="K77" s="31" t="n">
        <v>0</v>
      </c>
      <c r="L77" s="30" t="inlineStr"/>
      <c r="M77" s="30" t="inlineStr"/>
      <c r="N77" s="31">
        <f>IF(M77="Underperforming",-5,IF(L77&gt;=95,15,IF(L77&gt;=90,10,IF(L77&gt;=80,5,0))))</f>
        <v/>
      </c>
      <c r="O77" s="31" t="n">
        <v>83.56</v>
      </c>
      <c r="P77" s="31" t="n">
        <v>43.19</v>
      </c>
      <c r="Q77" s="31" t="inlineStr"/>
      <c r="R77" s="30" t="inlineStr">
        <is>
          <t>Earnings / Momentum Support</t>
        </is>
      </c>
      <c r="S77" s="30" t="inlineStr">
        <is>
          <t>Nifty Metal</t>
        </is>
      </c>
      <c r="T77" s="31" t="inlineStr"/>
      <c r="U77" s="31" t="inlineStr"/>
      <c r="V77" s="31" t="inlineStr"/>
      <c r="W77" s="31" t="inlineStr"/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Headwind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3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25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AVTNPL</t>
        </is>
      </c>
      <c r="D78" s="30" t="inlineStr">
        <is>
          <t>AVT Natural Products Ltd</t>
        </is>
      </c>
      <c r="E78" s="30" t="inlineStr">
        <is>
          <t>Basic Materials</t>
        </is>
      </c>
      <c r="F78" s="30" t="inlineStr">
        <is>
          <t>Natural Extracts and Food Ingredients</t>
        </is>
      </c>
      <c r="G78" s="30" t="inlineStr">
        <is>
          <t>smallcap</t>
        </is>
      </c>
      <c r="H78" s="31" t="n">
        <v>1324.87</v>
      </c>
      <c r="I78" s="31" t="n">
        <v>87</v>
      </c>
      <c r="J78" s="31" t="n">
        <v>-6.03</v>
      </c>
      <c r="K78" s="31" t="n">
        <v>0</v>
      </c>
      <c r="L78" s="30" t="n">
        <v>40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70.95999999999999</v>
      </c>
      <c r="P78" s="31" t="n">
        <v>48.91</v>
      </c>
      <c r="Q78" s="31" t="inlineStr"/>
      <c r="R78" s="30" t="inlineStr">
        <is>
          <t>Earnings / Momentum Support</t>
        </is>
      </c>
      <c r="S78" s="30" t="inlineStr">
        <is>
          <t>Nifty 50</t>
        </is>
      </c>
      <c r="T78" s="31" t="n">
        <v>-6.14</v>
      </c>
      <c r="U78" s="31" t="n">
        <v>31.4</v>
      </c>
      <c r="V78" s="31" t="n">
        <v>39.99</v>
      </c>
      <c r="W78" s="31" t="n">
        <v>13.82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Headwind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No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3</t>
        </is>
      </c>
      <c r="BC78" s="30">
        <f>IF(BB78="Stage 2",20,IF(BB78="Stage 1",0,IF(BB78="Stage 3",5,IF(BB78="Stage 4",-5,0))))</f>
        <v/>
      </c>
      <c r="BD78" s="30" t="inlineStr">
        <is>
          <t>Negative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20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STLTECH</t>
        </is>
      </c>
      <c r="D79" s="30" t="inlineStr">
        <is>
          <t>Sterlite Technologies Ltd</t>
        </is>
      </c>
      <c r="E79" s="30" t="inlineStr">
        <is>
          <t>industrials</t>
        </is>
      </c>
      <c r="F79" s="30" t="inlineStr">
        <is>
          <t>Cables Telecom</t>
        </is>
      </c>
      <c r="G79" s="30" t="inlineStr">
        <is>
          <t>largecap</t>
        </is>
      </c>
      <c r="H79" s="31" t="n">
        <v>42049.9</v>
      </c>
      <c r="I79" s="31" t="n">
        <v>818</v>
      </c>
      <c r="J79" s="31" t="n">
        <v>-2.29</v>
      </c>
      <c r="K79" s="31" t="n">
        <v>0</v>
      </c>
      <c r="L79" s="30" t="inlineStr"/>
      <c r="M79" s="30" t="inlineStr"/>
      <c r="N79" s="31">
        <f>IF(M79="Underperforming",-5,IF(L79&gt;=95,15,IF(L79&gt;=90,10,IF(L79&gt;=80,5,0))))</f>
        <v/>
      </c>
      <c r="O79" s="31" t="n">
        <v>73.72</v>
      </c>
      <c r="P79" s="31" t="n">
        <v>70.64</v>
      </c>
      <c r="Q79" s="31" t="inlineStr"/>
      <c r="R79" s="30" t="inlineStr">
        <is>
          <t>Earnings / Momentum Support</t>
        </is>
      </c>
      <c r="S79" s="30" t="inlineStr">
        <is>
          <t>Nifty Infra</t>
        </is>
      </c>
      <c r="T79" s="31" t="inlineStr"/>
      <c r="U79" s="31" t="inlineStr"/>
      <c r="V79" s="31" t="inlineStr"/>
      <c r="W79" s="31" t="inlineStr"/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Headwind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No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Above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3</t>
        </is>
      </c>
      <c r="BC79" s="30">
        <f>IF(BB79="Stage 2",20,IF(BB79="Stage 1",0,IF(BB79="Stage 3",5,IF(BB79="Stage 4",-5,0))))</f>
        <v/>
      </c>
      <c r="BD79" s="30" t="inlineStr">
        <is>
          <t>Negative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20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MMP</t>
        </is>
      </c>
      <c r="D80" s="30" t="inlineStr">
        <is>
          <t>MMP Industries Ltd</t>
        </is>
      </c>
      <c r="E80" s="30" t="inlineStr">
        <is>
          <t>metals &amp; mining</t>
        </is>
      </c>
      <c r="F80" s="30" t="inlineStr">
        <is>
          <t>Aluminium Products</t>
        </is>
      </c>
      <c r="G80" s="30" t="inlineStr">
        <is>
          <t>smallcap</t>
        </is>
      </c>
      <c r="H80" s="31" t="n">
        <v>1147.44</v>
      </c>
      <c r="I80" s="31" t="n">
        <v>451.7</v>
      </c>
      <c r="J80" s="31" t="n">
        <v>-1.86</v>
      </c>
      <c r="K80" s="31" t="n">
        <v>0</v>
      </c>
      <c r="L80" s="30" t="inlineStr"/>
      <c r="M80" s="30" t="inlineStr"/>
      <c r="N80" s="31">
        <f>IF(M80="Underperforming",-5,IF(L80&gt;=95,15,IF(L80&gt;=90,10,IF(L80&gt;=80,5,0))))</f>
        <v/>
      </c>
      <c r="O80" s="31" t="n">
        <v>81.34</v>
      </c>
      <c r="P80" s="31" t="n">
        <v>59.46</v>
      </c>
      <c r="Q80" s="31" t="inlineStr"/>
      <c r="R80" s="30" t="inlineStr">
        <is>
          <t>Earnings / Momentum Support</t>
        </is>
      </c>
      <c r="S80" s="30" t="inlineStr">
        <is>
          <t>Nifty Metal</t>
        </is>
      </c>
      <c r="T80" s="31" t="inlineStr"/>
      <c r="U80" s="31" t="inlineStr"/>
      <c r="V80" s="31" t="inlineStr"/>
      <c r="W80" s="31" t="inlineStr"/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Headwind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3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19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NEOGEN</t>
        </is>
      </c>
      <c r="D81" s="30" t="inlineStr">
        <is>
          <t>Neogen Chemicals Ltd</t>
        </is>
      </c>
      <c r="E81" s="30" t="inlineStr">
        <is>
          <t>chemicals</t>
        </is>
      </c>
      <c r="F81" s="30" t="inlineStr">
        <is>
          <t>Specialty Chemicals</t>
        </is>
      </c>
      <c r="G81" s="30" t="inlineStr">
        <is>
          <t>midcap</t>
        </is>
      </c>
      <c r="H81" s="31" t="n">
        <v>7198.17</v>
      </c>
      <c r="I81" s="31" t="n">
        <v>2396</v>
      </c>
      <c r="J81" s="31" t="n">
        <v>0.45</v>
      </c>
      <c r="K81" s="31" t="n">
        <v>0</v>
      </c>
      <c r="L81" s="30" t="n">
        <v>53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66.93000000000001</v>
      </c>
      <c r="P81" s="31" t="n">
        <v>59.21</v>
      </c>
      <c r="Q81" s="31" t="inlineStr"/>
      <c r="R81" s="30" t="inlineStr">
        <is>
          <t>Earnings / Momentum Support</t>
        </is>
      </c>
      <c r="S81" s="30" t="inlineStr">
        <is>
          <t>Nifty 50</t>
        </is>
      </c>
      <c r="T81" s="31" t="n">
        <v>-6.14</v>
      </c>
      <c r="U81" s="31" t="n">
        <v>57.08</v>
      </c>
      <c r="V81" s="31" t="n">
        <v>67.36</v>
      </c>
      <c r="W81" s="31" t="n">
        <v>18.33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Headwind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3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More than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19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SAPL</t>
        </is>
      </c>
      <c r="D82" s="30" t="inlineStr">
        <is>
          <t>Sar Auto Products Ltd</t>
        </is>
      </c>
      <c r="E82" s="30" t="inlineStr">
        <is>
          <t>Consumer Cyclical</t>
        </is>
      </c>
      <c r="F82" s="30" t="inlineStr">
        <is>
          <t>Auto Gears</t>
        </is>
      </c>
      <c r="G82" s="30" t="inlineStr">
        <is>
          <t>smallcap</t>
        </is>
      </c>
      <c r="H82" s="31" t="n">
        <v>3907.09</v>
      </c>
      <c r="I82" s="31" t="n">
        <v>8200</v>
      </c>
      <c r="J82" s="31" t="n">
        <v>2.19</v>
      </c>
      <c r="K82" s="31" t="n">
        <v>0</v>
      </c>
      <c r="L82" s="30" t="inlineStr"/>
      <c r="M82" s="30" t="inlineStr"/>
      <c r="N82" s="31">
        <f>IF(M82="Underperforming",-5,IF(L82&gt;=95,15,IF(L82&gt;=90,10,IF(L82&gt;=80,5,0))))</f>
        <v/>
      </c>
      <c r="O82" s="31" t="n">
        <v>91.63</v>
      </c>
      <c r="P82" s="31" t="n">
        <v>52.11</v>
      </c>
      <c r="Q82" s="31" t="inlineStr"/>
      <c r="R82" s="30" t="inlineStr">
        <is>
          <t>Earnings / Momentum Support</t>
        </is>
      </c>
      <c r="S82" s="30" t="inlineStr">
        <is>
          <t>Nifty Auto</t>
        </is>
      </c>
      <c r="T82" s="31" t="inlineStr"/>
      <c r="U82" s="31" t="inlineStr"/>
      <c r="V82" s="31" t="inlineStr"/>
      <c r="W82" s="31" t="inlineStr"/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Headwind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3</t>
        </is>
      </c>
      <c r="BC82" s="30">
        <f>IF(BB82="Stage 2",20,IF(BB82="Stage 1",0,IF(BB82="Stage 3",5,IF(BB82="Stage 4",-5,0))))</f>
        <v/>
      </c>
      <c r="BD82" s="30" t="inlineStr">
        <is>
          <t>Negative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More than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24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AEGISLOG</t>
        </is>
      </c>
      <c r="D83" s="30" t="inlineStr">
        <is>
          <t>Aegis Logistics Ltd</t>
        </is>
      </c>
      <c r="E83" s="30" t="inlineStr">
        <is>
          <t>Energy</t>
        </is>
      </c>
      <c r="F83" s="30" t="inlineStr">
        <is>
          <t>Logistics</t>
        </is>
      </c>
      <c r="G83" s="30" t="inlineStr">
        <is>
          <t>largecap</t>
        </is>
      </c>
      <c r="H83" s="31" t="n">
        <v>45970.47</v>
      </c>
      <c r="I83" s="31" t="n">
        <v>1309.7</v>
      </c>
      <c r="J83" s="31" t="n">
        <v>-4.08</v>
      </c>
      <c r="K83" s="31" t="n">
        <v>0</v>
      </c>
      <c r="L83" s="30" t="inlineStr"/>
      <c r="M83" s="30" t="inlineStr"/>
      <c r="N83" s="31">
        <f>IF(M83="Underperforming",-5,IF(L83&gt;=95,15,IF(L83&gt;=90,10,IF(L83&gt;=80,5,0))))</f>
        <v/>
      </c>
      <c r="O83" s="31" t="n">
        <v>63.83</v>
      </c>
      <c r="P83" s="31" t="n">
        <v>59.61</v>
      </c>
      <c r="Q83" s="31" t="inlineStr"/>
      <c r="R83" s="30" t="inlineStr">
        <is>
          <t>Earnings / Momentum Support</t>
        </is>
      </c>
      <c r="S83" s="30" t="inlineStr">
        <is>
          <t>Nifty Energy</t>
        </is>
      </c>
      <c r="T83" s="31" t="inlineStr"/>
      <c r="U83" s="31" t="inlineStr"/>
      <c r="V83" s="31" t="inlineStr"/>
      <c r="W83" s="31" t="inlineStr"/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Headwind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3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22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DEEPINDS</t>
        </is>
      </c>
      <c r="D84" s="30" t="inlineStr">
        <is>
          <t>Deep Industries Ltd</t>
        </is>
      </c>
      <c r="E84" s="30" t="inlineStr">
        <is>
          <t>energy</t>
        </is>
      </c>
      <c r="F84" s="30" t="inlineStr">
        <is>
          <t>Oil Drilling and Exploration</t>
        </is>
      </c>
      <c r="G84" s="30" t="inlineStr">
        <is>
          <t>smallcap</t>
        </is>
      </c>
      <c r="H84" s="31" t="n">
        <v>4928</v>
      </c>
      <c r="I84" s="31" t="n">
        <v>770</v>
      </c>
      <c r="J84" s="31" t="n">
        <v>-1.42</v>
      </c>
      <c r="K84" s="31" t="n">
        <v>0</v>
      </c>
      <c r="L84" s="30" t="inlineStr"/>
      <c r="M84" s="30" t="inlineStr"/>
      <c r="N84" s="31">
        <f>IF(M84="Underperforming",-5,IF(L84&gt;=95,15,IF(L84&gt;=90,10,IF(L84&gt;=80,5,0))))</f>
        <v/>
      </c>
      <c r="O84" s="31" t="n">
        <v>74.87</v>
      </c>
      <c r="P84" s="31" t="n">
        <v>37.07</v>
      </c>
      <c r="Q84" s="31" t="inlineStr"/>
      <c r="R84" s="30" t="inlineStr">
        <is>
          <t>Earnings / Momentum Support</t>
        </is>
      </c>
      <c r="S84" s="30" t="inlineStr">
        <is>
          <t>Nifty Energy</t>
        </is>
      </c>
      <c r="T84" s="31" t="inlineStr"/>
      <c r="U84" s="31" t="inlineStr"/>
      <c r="V84" s="31" t="inlineStr"/>
      <c r="W84" s="31" t="inlineStr"/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Oligopoly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Yes</t>
        </is>
      </c>
      <c r="AC84" s="30">
        <f>IF(AB84="No",5,0)</f>
        <v/>
      </c>
      <c r="AD84" s="30" t="inlineStr">
        <is>
          <t>Headwind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3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18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GNFC</t>
        </is>
      </c>
      <c r="D85" s="30" t="inlineStr">
        <is>
          <t>Gujarat Narmada Valley Fertilizers &amp; Chemicals Ltd</t>
        </is>
      </c>
      <c r="E85" s="30" t="inlineStr">
        <is>
          <t>chemicals</t>
        </is>
      </c>
      <c r="F85" s="30" t="inlineStr">
        <is>
          <t>Fertilisers</t>
        </is>
      </c>
      <c r="G85" s="30" t="inlineStr">
        <is>
          <t>midcap</t>
        </is>
      </c>
      <c r="H85" s="31" t="n">
        <v>9127.959999999999</v>
      </c>
      <c r="I85" s="31" t="n">
        <v>621.2</v>
      </c>
      <c r="J85" s="31" t="n">
        <v>-1.44</v>
      </c>
      <c r="K85" s="31" t="n">
        <v>0</v>
      </c>
      <c r="L85" s="30" t="n">
        <v>34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74.20999999999999</v>
      </c>
      <c r="P85" s="31" t="n">
        <v>39.93</v>
      </c>
      <c r="Q85" s="31" t="inlineStr"/>
      <c r="R85" s="30" t="inlineStr">
        <is>
          <t>Earnings / Momentum Support</t>
        </is>
      </c>
      <c r="S85" s="30" t="inlineStr">
        <is>
          <t>Nifty 50</t>
        </is>
      </c>
      <c r="T85" s="31" t="n">
        <v>-6.14</v>
      </c>
      <c r="U85" s="31" t="n">
        <v>31.43</v>
      </c>
      <c r="V85" s="31" t="n">
        <v>40.03</v>
      </c>
      <c r="W85" s="31" t="n">
        <v>11.6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Shallow Cyclical (2 to 3 Years Growth)</t>
        </is>
      </c>
      <c r="AG85" s="30">
        <f>IF(AF85="Structural (10 Years Consistency)",10,IF(AF85="Shallow Cyclical (2 to 3 years growth)",5,0))</f>
        <v/>
      </c>
      <c r="AH85" s="30" t="inlineStr">
        <is>
          <t>Yes due to Product Mix change or Operating Leverage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Allocated capital in Non-core Areas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3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Sideways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Overhead supply in last 2 years in last 2 years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More than 15%</t>
        </is>
      </c>
      <c r="CC85" s="30">
        <f>IF(CB85="More than 15%",-10,IF(CB85="Less than 15%",10,0))</f>
        <v/>
      </c>
      <c r="CD85" s="30" t="inlineStr">
        <is>
          <t>Yes Upto 10%</t>
        </is>
      </c>
      <c r="CE85" s="30">
        <f>IF(CD85="Yes, more than 10%",-10,IF(CD85="No",10,0))</f>
        <v/>
      </c>
      <c r="CF85" s="30" t="inlineStr">
        <is>
          <t>25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MUKANDLTD</t>
        </is>
      </c>
      <c r="D86" s="30" t="inlineStr">
        <is>
          <t>Mukand Ltd</t>
        </is>
      </c>
      <c r="E86" s="30" t="inlineStr">
        <is>
          <t>metals &amp; mining</t>
        </is>
      </c>
      <c r="F86" s="30" t="inlineStr">
        <is>
          <t>Steel</t>
        </is>
      </c>
      <c r="G86" s="30" t="inlineStr">
        <is>
          <t>smallcap</t>
        </is>
      </c>
      <c r="H86" s="31" t="n">
        <v>2454.98</v>
      </c>
      <c r="I86" s="31" t="n">
        <v>169.9</v>
      </c>
      <c r="J86" s="31" t="n">
        <v>1.71</v>
      </c>
      <c r="K86" s="31" t="n">
        <v>0</v>
      </c>
      <c r="L86" s="30" t="inlineStr"/>
      <c r="M86" s="30" t="inlineStr"/>
      <c r="N86" s="31">
        <f>IF(M86="Underperforming",-5,IF(L86&gt;=95,15,IF(L86&gt;=90,10,IF(L86&gt;=80,5,0))))</f>
        <v/>
      </c>
      <c r="O86" s="31" t="n">
        <v>69.47</v>
      </c>
      <c r="P86" s="31" t="n">
        <v>39.39</v>
      </c>
      <c r="Q86" s="31" t="inlineStr"/>
      <c r="R86" s="30" t="inlineStr">
        <is>
          <t>Earnings / Momentum Support</t>
        </is>
      </c>
      <c r="S86" s="30" t="inlineStr">
        <is>
          <t>Nifty Metal</t>
        </is>
      </c>
      <c r="T86" s="31" t="inlineStr"/>
      <c r="U86" s="31" t="inlineStr"/>
      <c r="V86" s="31" t="inlineStr"/>
      <c r="W86" s="31" t="inlineStr"/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Headwind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3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Between 0.7 to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INOVSYNTH</t>
        </is>
      </c>
      <c r="D87" s="30" t="inlineStr">
        <is>
          <t>Innovassynth Technologies (India) Ltd</t>
        </is>
      </c>
      <c r="E87" s="30" t="inlineStr">
        <is>
          <t>Basic Materials</t>
        </is>
      </c>
      <c r="F87" s="30" t="inlineStr">
        <is>
          <t>Specialty Chemicals</t>
        </is>
      </c>
      <c r="G87" s="30" t="inlineStr">
        <is>
          <t>smallcap</t>
        </is>
      </c>
      <c r="H87" s="31" t="n">
        <v>1377.59</v>
      </c>
      <c r="I87" s="31" t="n">
        <v>148.35</v>
      </c>
      <c r="J87" s="31" t="n">
        <v/>
      </c>
      <c r="K87" s="31" t="n">
        <v>0</v>
      </c>
      <c r="L87" s="30" t="n">
        <v>44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80.42</v>
      </c>
      <c r="P87" s="31" t="n">
        <v>56.08</v>
      </c>
      <c r="Q87" s="31" t="inlineStr"/>
      <c r="R87" s="30" t="inlineStr">
        <is>
          <t>Earnings / Momentum Support</t>
        </is>
      </c>
      <c r="S87" s="30" t="inlineStr">
        <is>
          <t>Nifty 50</t>
        </is>
      </c>
      <c r="T87" s="31" t="n">
        <v>-6.14</v>
      </c>
      <c r="U87" s="31" t="n">
        <v>57.98</v>
      </c>
      <c r="V87" s="31" t="n">
        <v>68.31</v>
      </c>
      <c r="W87" s="31" t="n">
        <v>15.86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Cyclical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Volatile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3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Between 0.7 to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19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KRISHANA</t>
        </is>
      </c>
      <c r="D88" s="30" t="inlineStr">
        <is>
          <t>Krishana Phoschem Ltd</t>
        </is>
      </c>
      <c r="E88" s="30" t="inlineStr">
        <is>
          <t>Basic Materials</t>
        </is>
      </c>
      <c r="F88" s="30" t="inlineStr">
        <is>
          <t>Fertilisers</t>
        </is>
      </c>
      <c r="G88" s="30" t="inlineStr">
        <is>
          <t>midcap</t>
        </is>
      </c>
      <c r="H88" s="31" t="n">
        <v>5780.57</v>
      </c>
      <c r="I88" s="31" t="n">
        <v>186.99</v>
      </c>
      <c r="J88" s="31" t="n">
        <v>-0.13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n">
        <v>68.39</v>
      </c>
      <c r="P88" s="31" t="n">
        <v>51.61</v>
      </c>
      <c r="Q88" s="31" t="inlineStr"/>
      <c r="R88" s="30" t="inlineStr">
        <is>
          <t>Earnings / Momentum Support</t>
        </is>
      </c>
      <c r="S88" s="30" t="inlineStr">
        <is>
          <t>Nifty FMCG</t>
        </is>
      </c>
      <c r="T88" s="31" t="inlineStr"/>
      <c r="U88" s="31" t="inlineStr"/>
      <c r="V88" s="31" t="inlineStr"/>
      <c r="W88" s="31" t="inlineStr"/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3</t>
        </is>
      </c>
      <c r="BC88" s="30">
        <f>IF(BB88="Stage 2",20,IF(BB88="Stage 1",0,IF(BB88="Stage 3",5,IF(BB88="Stage 4",-5,0))))</f>
        <v/>
      </c>
      <c r="BD88" s="30" t="inlineStr">
        <is>
          <t>Negative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More than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18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ANTELOPUS</t>
        </is>
      </c>
      <c r="D89" s="30" t="inlineStr">
        <is>
          <t>Antelopus Selan Energy Ltd</t>
        </is>
      </c>
      <c r="E89" s="30" t="inlineStr">
        <is>
          <t>energy</t>
        </is>
      </c>
      <c r="F89" s="30" t="inlineStr">
        <is>
          <t>Oil Drilling and Exploration</t>
        </is>
      </c>
      <c r="G89" s="30" t="inlineStr">
        <is>
          <t>smallcap</t>
        </is>
      </c>
      <c r="H89" s="31" t="n">
        <v>4086.33</v>
      </c>
      <c r="I89" s="31" t="n">
        <v>1158</v>
      </c>
      <c r="J89" s="31" t="n">
        <v>-8.220000000000001</v>
      </c>
      <c r="K89" s="31" t="n">
        <v>0</v>
      </c>
      <c r="L89" s="30" t="inlineStr"/>
      <c r="M89" s="30" t="inlineStr"/>
      <c r="N89" s="31">
        <f>IF(M89="Underperforming",-5,IF(L89&gt;=95,15,IF(L89&gt;=90,10,IF(L89&gt;=80,5,0))))</f>
        <v/>
      </c>
      <c r="O89" s="31" t="n">
        <v>76.15000000000001</v>
      </c>
      <c r="P89" s="31" t="n">
        <v>49.48</v>
      </c>
      <c r="Q89" s="31" t="inlineStr"/>
      <c r="R89" s="30" t="inlineStr">
        <is>
          <t>Earnings / Momentum Support</t>
        </is>
      </c>
      <c r="S89" s="30" t="inlineStr">
        <is>
          <t>Nifty Energy</t>
        </is>
      </c>
      <c r="T89" s="31" t="inlineStr"/>
      <c r="U89" s="31" t="inlineStr"/>
      <c r="V89" s="31" t="inlineStr"/>
      <c r="W89" s="31" t="inlineStr"/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Headwind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28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RAMRAT</t>
        </is>
      </c>
      <c r="D90" s="30" t="inlineStr">
        <is>
          <t>Ram Ratna Wires Ltd</t>
        </is>
      </c>
      <c r="E90" s="30" t="inlineStr">
        <is>
          <t>metals &amp; mining</t>
        </is>
      </c>
      <c r="F90" s="30" t="inlineStr">
        <is>
          <t>Copper Wires</t>
        </is>
      </c>
      <c r="G90" s="30" t="inlineStr">
        <is>
          <t>midcap</t>
        </is>
      </c>
      <c r="H90" s="31" t="n">
        <v>5311.56</v>
      </c>
      <c r="I90" s="31" t="n">
        <v>569</v>
      </c>
      <c r="J90" s="31" t="n">
        <v>-0.18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n">
        <v>70.55</v>
      </c>
      <c r="P90" s="31" t="n">
        <v>48.66</v>
      </c>
      <c r="Q90" s="31" t="inlineStr"/>
      <c r="R90" s="30" t="inlineStr">
        <is>
          <t>Earnings / Momentum Support</t>
        </is>
      </c>
      <c r="S90" s="30" t="inlineStr">
        <is>
          <t>Nifty Metal</t>
        </is>
      </c>
      <c r="T90" s="31" t="inlineStr"/>
      <c r="U90" s="31" t="inlineStr"/>
      <c r="V90" s="31" t="inlineStr"/>
      <c r="W90" s="31" t="inlineStr"/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3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18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SBC</t>
        </is>
      </c>
      <c r="D91" s="30" t="inlineStr">
        <is>
          <t>SBC Exports Ltd</t>
        </is>
      </c>
      <c r="E91" s="30" t="inlineStr">
        <is>
          <t>textiles</t>
        </is>
      </c>
      <c r="F91" s="30" t="inlineStr">
        <is>
          <t>Textiles Readymade Apparel</t>
        </is>
      </c>
      <c r="G91" s="30" t="inlineStr">
        <is>
          <t>smallcap</t>
        </is>
      </c>
      <c r="H91" s="31" t="n">
        <v>2548.57</v>
      </c>
      <c r="I91" s="31" t="n">
        <v>53.52</v>
      </c>
      <c r="J91" s="31" t="n">
        <v>0.9399999999999999</v>
      </c>
      <c r="K91" s="31" t="n">
        <v>0</v>
      </c>
      <c r="L91" s="30" t="n">
        <v>70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80.45</v>
      </c>
      <c r="P91" s="31" t="n">
        <v>31.07</v>
      </c>
      <c r="Q91" s="31" t="inlineStr"/>
      <c r="R91" s="30" t="inlineStr">
        <is>
          <t>Earnings / Momentum Support</t>
        </is>
      </c>
      <c r="S91" s="30" t="inlineStr">
        <is>
          <t>Nifty 50</t>
        </is>
      </c>
      <c r="T91" s="31" t="n">
        <v>-6.14</v>
      </c>
      <c r="U91" s="31" t="n">
        <v>145.58</v>
      </c>
      <c r="V91" s="31" t="n">
        <v>161.65</v>
      </c>
      <c r="W91" s="31" t="n">
        <v>25.95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3</t>
        </is>
      </c>
      <c r="BC91" s="30">
        <f>IF(BB91="Stage 2",20,IF(BB91="Stage 1",0,IF(BB91="Stage 3",5,IF(BB91="Stage 4",-5,0))))</f>
        <v/>
      </c>
      <c r="BD91" s="30" t="inlineStr">
        <is>
          <t>Negative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More than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22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RATNAVEER</t>
        </is>
      </c>
      <c r="D92" s="30" t="inlineStr">
        <is>
          <t>Ratnaveer Precision Engineering Ltd</t>
        </is>
      </c>
      <c r="E92" s="30" t="inlineStr">
        <is>
          <t>metals &amp; mining</t>
        </is>
      </c>
      <c r="F92" s="30" t="inlineStr">
        <is>
          <t>Stainless Steel</t>
        </is>
      </c>
      <c r="G92" s="30" t="inlineStr">
        <is>
          <t>smallcap</t>
        </is>
      </c>
      <c r="H92" s="31" t="n">
        <v>2773.77</v>
      </c>
      <c r="I92" s="31" t="n">
        <v>330.5</v>
      </c>
      <c r="J92" s="31" t="n">
        <v>-1.03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n">
        <v>81.02</v>
      </c>
      <c r="P92" s="31" t="n">
        <v>65.36</v>
      </c>
      <c r="Q92" s="31" t="inlineStr"/>
      <c r="R92" s="30" t="inlineStr">
        <is>
          <t>Earnings / Momentum Support</t>
        </is>
      </c>
      <c r="S92" s="30" t="inlineStr">
        <is>
          <t>Nifty Metal</t>
        </is>
      </c>
      <c r="T92" s="31" t="inlineStr"/>
      <c r="U92" s="31" t="inlineStr"/>
      <c r="V92" s="31" t="inlineStr"/>
      <c r="W92" s="31" t="inlineStr"/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Less than 12%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22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ROSSTECH</t>
        </is>
      </c>
      <c r="D93" s="30" t="inlineStr">
        <is>
          <t>Rossell Techsys Ltd</t>
        </is>
      </c>
      <c r="E93" s="30" t="inlineStr">
        <is>
          <t>aerospace &amp; defence</t>
        </is>
      </c>
      <c r="F93" s="30" t="inlineStr">
        <is>
          <t>Aerospace and Defence Equipment</t>
        </is>
      </c>
      <c r="G93" s="30" t="inlineStr">
        <is>
          <t>midcap</t>
        </is>
      </c>
      <c r="H93" s="31" t="n">
        <v>5243.2</v>
      </c>
      <c r="I93" s="31" t="n">
        <v>1390.9</v>
      </c>
      <c r="J93" s="31" t="n">
        <v>-0.84</v>
      </c>
      <c r="K93" s="31" t="n">
        <v>0</v>
      </c>
      <c r="L93" s="30" t="n">
        <v>72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77.31</v>
      </c>
      <c r="P93" s="31" t="n">
        <v>31.82</v>
      </c>
      <c r="Q93" s="31" t="inlineStr"/>
      <c r="R93" s="30" t="inlineStr">
        <is>
          <t>Earnings / Momentum Support</t>
        </is>
      </c>
      <c r="S93" s="30" t="inlineStr">
        <is>
          <t>Nifty 50</t>
        </is>
      </c>
      <c r="T93" s="31" t="n">
        <v>-6.14</v>
      </c>
      <c r="U93" s="31" t="n">
        <v>92.31</v>
      </c>
      <c r="V93" s="31" t="n">
        <v>104.9</v>
      </c>
      <c r="W93" s="31" t="n">
        <v>26.36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21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UTSSAV</t>
        </is>
      </c>
      <c r="D94" s="30" t="inlineStr">
        <is>
          <t>Utssav CZ Gold Jewels Ltd</t>
        </is>
      </c>
      <c r="E94" s="30" t="inlineStr">
        <is>
          <t>unknown</t>
        </is>
      </c>
      <c r="F94" s="30" t="inlineStr">
        <is>
          <t>Diamond Gems and Jewellery</t>
        </is>
      </c>
      <c r="G94" s="30" t="inlineStr">
        <is>
          <t>smallcap</t>
        </is>
      </c>
      <c r="H94" s="31" t="n">
        <v>1726.58</v>
      </c>
      <c r="I94" s="31" t="n">
        <v>715</v>
      </c>
      <c r="J94" s="31" t="n">
        <v>-0.98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CAPINVIT</t>
        </is>
      </c>
      <c r="D95" s="30" t="inlineStr">
        <is>
          <t>Capital Infra Trust</t>
        </is>
      </c>
      <c r="E95" s="30" t="inlineStr">
        <is>
          <t>unknown</t>
        </is>
      </c>
      <c r="F95" s="30" t="inlineStr">
        <is>
          <t>Infra and Real Estate Investment Trust</t>
        </is>
      </c>
      <c r="G95" s="30" t="inlineStr">
        <is>
          <t>smallcap</t>
        </is>
      </c>
      <c r="H95" s="31" t="n">
        <v>3782.49</v>
      </c>
      <c r="I95" s="31" t="n">
        <v>76.95</v>
      </c>
      <c r="J95" s="31" t="n">
        <v>0.47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SMCGLOBAL</t>
        </is>
      </c>
      <c r="D2" s="30" t="inlineStr">
        <is>
          <t>SMC Global Securities Ltd</t>
        </is>
      </c>
      <c r="E2" s="30" t="inlineStr">
        <is>
          <t>financials</t>
        </is>
      </c>
      <c r="F2" s="30" t="inlineStr">
        <is>
          <t>Finance Capital Markets Brokers</t>
        </is>
      </c>
      <c r="G2" s="30" t="inlineStr">
        <is>
          <t>smallcap</t>
        </is>
      </c>
      <c r="H2" s="31" t="n">
        <v>2024.9</v>
      </c>
      <c r="I2" s="31" t="n">
        <v>96.7</v>
      </c>
      <c r="J2" s="31" t="n">
        <v>12.97</v>
      </c>
      <c r="K2" s="31" t="n">
        <v>0</v>
      </c>
      <c r="L2" s="30" t="n">
        <v>28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60.91</v>
      </c>
      <c r="P2" s="31" t="n">
        <v>32.32</v>
      </c>
      <c r="Q2" s="31" t="inlineStr"/>
      <c r="R2" s="30" t="inlineStr">
        <is>
          <t>Volume Spike / Accumulation</t>
        </is>
      </c>
      <c r="S2" s="30" t="inlineStr">
        <is>
          <t>Nifty Bank</t>
        </is>
      </c>
      <c r="T2" s="31" t="n">
        <v>2.19</v>
      </c>
      <c r="U2" s="31" t="n">
        <v>23.95</v>
      </c>
      <c r="V2" s="31" t="n">
        <v>21.29</v>
      </c>
      <c r="W2" s="31" t="n">
        <v>10.57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Headwind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3</t>
        </is>
      </c>
      <c r="BQ2" s="30">
        <f>IF(BP2="Stage 2",20,IF(BP2="Stage 1",0,IF(BP2="Stage 3",5,IF(BP2="Stage 4",-5,0))))</f>
        <v/>
      </c>
      <c r="BR2" s="30" t="inlineStr">
        <is>
          <t>Negative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SHAREINDIA</t>
        </is>
      </c>
      <c r="D3" s="30" t="inlineStr">
        <is>
          <t>Share India Securities Ltd</t>
        </is>
      </c>
      <c r="E3" s="30" t="inlineStr">
        <is>
          <t>financials</t>
        </is>
      </c>
      <c r="F3" s="30" t="inlineStr">
        <is>
          <t>Finance Capital Markets Brokers</t>
        </is>
      </c>
      <c r="G3" s="30" t="inlineStr">
        <is>
          <t>smallcap</t>
        </is>
      </c>
      <c r="H3" s="31" t="n">
        <v>4503.43</v>
      </c>
      <c r="I3" s="31" t="n">
        <v>205.8</v>
      </c>
      <c r="J3" s="31" t="n">
        <v>-1.82</v>
      </c>
      <c r="K3" s="31" t="n">
        <v>0</v>
      </c>
      <c r="L3" s="30" t="n">
        <v>69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64.64</v>
      </c>
      <c r="P3" s="31" t="n">
        <v>41.56</v>
      </c>
      <c r="Q3" s="31" t="inlineStr"/>
      <c r="R3" s="30" t="inlineStr">
        <is>
          <t>Earnings / Momentum Support</t>
        </is>
      </c>
      <c r="S3" s="30" t="inlineStr">
        <is>
          <t>Nifty Bank</t>
        </is>
      </c>
      <c r="T3" s="31" t="n">
        <v>2.19</v>
      </c>
      <c r="U3" s="31" t="n">
        <v>65.5</v>
      </c>
      <c r="V3" s="31" t="n">
        <v>61.95</v>
      </c>
      <c r="W3" s="31" t="n">
        <v>25.57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Headwind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3</t>
        </is>
      </c>
      <c r="BQ3" s="30">
        <f>IF(BP3="Stage 2",20,IF(BP3="Stage 1",0,IF(BP3="Stage 3",5,IF(BP3="Stage 4",-5,0))))</f>
        <v/>
      </c>
      <c r="BR3" s="30" t="inlineStr">
        <is>
          <t>Negative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19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TFCILTD</t>
        </is>
      </c>
      <c r="D4" s="30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PSU Lending</t>
        </is>
      </c>
      <c r="G4" s="30" t="inlineStr">
        <is>
          <t>midcap</t>
        </is>
      </c>
      <c r="H4" s="31" t="n">
        <v>6490.94</v>
      </c>
      <c r="I4" s="31" t="n">
        <v>140.2</v>
      </c>
      <c r="J4" s="31" t="n">
        <v>1.37</v>
      </c>
      <c r="K4" s="31" t="n">
        <v>0</v>
      </c>
      <c r="L4" s="30" t="n">
        <v>82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80</v>
      </c>
      <c r="P4" s="31" t="n">
        <v>72.17</v>
      </c>
      <c r="Q4" s="31" t="inlineStr"/>
      <c r="R4" s="30" t="inlineStr">
        <is>
          <t>Earnings / Momentum Support</t>
        </is>
      </c>
      <c r="S4" s="30" t="inlineStr">
        <is>
          <t>Nifty Bank</t>
        </is>
      </c>
      <c r="T4" s="31" t="n">
        <v>2.19</v>
      </c>
      <c r="U4" s="31" t="n">
        <v>91.51000000000001</v>
      </c>
      <c r="V4" s="31" t="n">
        <v>87.40000000000001</v>
      </c>
      <c r="W4" s="31" t="n">
        <v>32.99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Headwind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No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3</t>
        </is>
      </c>
      <c r="BQ4" s="30">
        <f>IF(BP4="Stage 2",20,IF(BP4="Stage 1",0,IF(BP4="Stage 3",5,IF(BP4="Stage 4",-5,0))))</f>
        <v/>
      </c>
      <c r="BR4" s="30" t="inlineStr">
        <is>
          <t>Negative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18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 Services</t>
        </is>
      </c>
      <c r="F5" s="30" t="inlineStr">
        <is>
          <t>Finance and Investments Gold Loan</t>
        </is>
      </c>
      <c r="G5" s="30" t="inlineStr">
        <is>
          <t>largecap</t>
        </is>
      </c>
      <c r="H5" s="31" t="n">
        <v>23851.8</v>
      </c>
      <c r="I5" s="31" t="n">
        <v>247.9</v>
      </c>
      <c r="J5" s="31" t="n">
        <v>-2.29</v>
      </c>
      <c r="K5" s="31" t="n">
        <v>0</v>
      </c>
      <c r="L5" s="30" t="n">
        <v>29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59.98</v>
      </c>
      <c r="P5" s="31" t="n">
        <v>37.52</v>
      </c>
      <c r="Q5" s="31" t="inlineStr"/>
      <c r="R5" s="30" t="inlineStr">
        <is>
          <t>Earnings / Momentum Support</t>
        </is>
      </c>
      <c r="S5" s="30" t="inlineStr">
        <is>
          <t>Nifty Bank</t>
        </is>
      </c>
      <c r="T5" s="31" t="n">
        <v>2.19</v>
      </c>
      <c r="U5" s="31" t="n">
        <v>37.04</v>
      </c>
      <c r="V5" s="31" t="n">
        <v>34.11</v>
      </c>
      <c r="W5" s="31" t="n">
        <v>10.79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Headwind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No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3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20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ALGOQUANT</t>
        </is>
      </c>
      <c r="D6" s="30" t="inlineStr">
        <is>
          <t>Algoquant Fintech Ltd</t>
        </is>
      </c>
      <c r="E6" s="30" t="inlineStr">
        <is>
          <t>Financial Services</t>
        </is>
      </c>
      <c r="F6" s="30" t="inlineStr">
        <is>
          <t>Finance and Investments Others</t>
        </is>
      </c>
      <c r="G6" s="30" t="inlineStr">
        <is>
          <t>smallcap</t>
        </is>
      </c>
      <c r="H6" s="31" t="n">
        <v>1939.56</v>
      </c>
      <c r="I6" s="31" t="n">
        <v>69</v>
      </c>
      <c r="J6" s="31" t="n">
        <v>-4.74</v>
      </c>
      <c r="K6" s="31" t="n">
        <v>0</v>
      </c>
      <c r="L6" s="30" t="n">
        <v>10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66.06999999999999</v>
      </c>
      <c r="P6" s="31" t="n">
        <v>31.92</v>
      </c>
      <c r="Q6" s="31" t="inlineStr"/>
      <c r="R6" s="30" t="inlineStr">
        <is>
          <t>Earnings / Momentum Support</t>
        </is>
      </c>
      <c r="S6" s="30" t="inlineStr">
        <is>
          <t>Nifty Bank</t>
        </is>
      </c>
      <c r="T6" s="31" t="n">
        <v>-6.2</v>
      </c>
      <c r="U6" s="31" t="n">
        <v>7.64</v>
      </c>
      <c r="V6" s="31" t="n">
        <v>14.75</v>
      </c>
      <c r="W6" s="31" t="n">
        <v>4.51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Headwind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3</t>
        </is>
      </c>
      <c r="BQ6" s="30">
        <f>IF(BP6="Stage 2",20,IF(BP6="Stage 1",0,IF(BP6="Stage 3",5,IF(BP6="Stage 4",-5,0))))</f>
        <v/>
      </c>
      <c r="BR6" s="30" t="inlineStr">
        <is>
          <t>Negative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20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GCSL</t>
        </is>
      </c>
      <c r="D7" s="30" t="inlineStr">
        <is>
          <t>Gretex Corporate Services Ltd</t>
        </is>
      </c>
      <c r="E7" s="30" t="inlineStr">
        <is>
          <t>financials</t>
        </is>
      </c>
      <c r="F7" s="30" t="inlineStr">
        <is>
          <t>Finance and Investments Others</t>
        </is>
      </c>
      <c r="G7" s="30" t="inlineStr">
        <is>
          <t>smallcap</t>
        </is>
      </c>
      <c r="H7" s="31" t="n">
        <v>1670.36</v>
      </c>
      <c r="I7" s="31" t="n">
        <v>668</v>
      </c>
      <c r="J7" s="31" t="n">
        <v>2.18</v>
      </c>
      <c r="K7" s="31" t="n">
        <v>0</v>
      </c>
      <c r="L7" s="30" t="n">
        <v>84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78.69</v>
      </c>
      <c r="P7" s="31" t="n">
        <v>34.2</v>
      </c>
      <c r="Q7" s="31" t="inlineStr"/>
      <c r="R7" s="30" t="inlineStr">
        <is>
          <t>Earnings / Momentum Support</t>
        </is>
      </c>
      <c r="S7" s="30" t="inlineStr">
        <is>
          <t>Nifty Bank</t>
        </is>
      </c>
      <c r="T7" s="31" t="n">
        <v>2.19</v>
      </c>
      <c r="U7" s="31" t="n">
        <v>152.64</v>
      </c>
      <c r="V7" s="31" t="n">
        <v>147.23</v>
      </c>
      <c r="W7" s="31" t="n">
        <v>34.01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Headwind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No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3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23</t>
        </is>
      </c>
      <c r="CC7" s="30">
        <f>IF(CB7&gt;20,10,IF(CB7&gt;=10,5,2))</f>
        <v/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2026-09-28T18:12:39Z</dcterms:created>
  <dcterms:modified xmlns:dcterms="http://purl.org/dc/terms/" xmlns:xsi="http://www.w3.org/2001/XMLSchema-instance" xsi:type="dcterms:W3CDTF">2026-09-28T18:14:06Z</dcterms:modified>
</cp:coreProperties>
</file>