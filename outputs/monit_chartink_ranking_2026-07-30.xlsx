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Universe'!$A$1:$J$286</definedName>
    <definedName name="_xlnm._FilterDatabase" localSheetId="3" hidden="1">'Confluence Overlap'!$A$1:$K$27</definedName>
    <definedName name="_xlnm._FilterDatabase" localSheetId="4" hidden="1">'Monit Non Financial'!$A$1:$CE$250</definedName>
    <definedName name="_xlnm._FilterDatabase" localSheetId="5" hidden="1">'Monit Banks NBFC'!$A$1:$CA$37</definedName>
    <definedName name="_xlnm._FilterDatabase" localSheetId="6" hidden="1">'Scanner Non Financial'!$A$1:$CJ$2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30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534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74</v>
      </c>
      <c r="G6" s="19" t="n">
        <v>44765.27</v>
      </c>
      <c r="H6" s="18" t="inlineStr">
        <is>
          <t>Potential Leader</t>
        </is>
      </c>
      <c r="J6" s="18" t="inlineStr">
        <is>
          <t>plastic products</t>
        </is>
      </c>
      <c r="K6" s="16" t="n">
        <v>27</v>
      </c>
      <c r="L6" s="16" t="n">
        <v>15</v>
      </c>
      <c r="M6" s="20" t="inlineStr">
        <is>
          <t>80.0%</t>
        </is>
      </c>
    </row>
    <row r="7">
      <c r="A7" s="16" t="n">
        <v>2</v>
      </c>
      <c r="B7" s="17" t="n">
        <v>426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56</v>
      </c>
      <c r="G7" s="19" t="n">
        <v>2714.88</v>
      </c>
      <c r="H7" s="18" t="inlineStr">
        <is>
          <t>Potential Leader</t>
        </is>
      </c>
      <c r="J7" s="18" t="inlineStr">
        <is>
          <t>media</t>
        </is>
      </c>
      <c r="K7" s="16" t="n">
        <v>14</v>
      </c>
      <c r="L7" s="16" t="n">
        <v>14</v>
      </c>
      <c r="M7" s="20" t="inlineStr">
        <is>
          <t>0.0%</t>
        </is>
      </c>
    </row>
    <row r="8">
      <c r="A8" s="16" t="n">
        <v>3</v>
      </c>
      <c r="B8" s="17" t="n">
        <v>420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55</v>
      </c>
      <c r="G8" s="19" t="n">
        <v>96234.66</v>
      </c>
      <c r="H8" s="18" t="inlineStr">
        <is>
          <t>Potential Leader</t>
        </is>
      </c>
      <c r="J8" s="18" t="inlineStr">
        <is>
          <t>energy</t>
        </is>
      </c>
      <c r="K8" s="16" t="n">
        <v>34</v>
      </c>
      <c r="L8" s="16" t="n">
        <v>37</v>
      </c>
      <c r="M8" s="21" t="inlineStr">
        <is>
          <t>-8.1%</t>
        </is>
      </c>
    </row>
    <row r="9">
      <c r="A9" s="16" t="n">
        <v>4</v>
      </c>
      <c r="B9" s="17" t="n">
        <v>372</v>
      </c>
      <c r="C9" s="17" t="inlineStr">
        <is>
          <t>PAISALO</t>
        </is>
      </c>
      <c r="D9" s="18" t="inlineStr">
        <is>
          <t>Paisalo Digital Ltd</t>
        </is>
      </c>
      <c r="E9" s="18" t="inlineStr">
        <is>
          <t>financials</t>
        </is>
      </c>
      <c r="F9" s="16" t="n">
        <v>47</v>
      </c>
      <c r="G9" s="19" t="n">
        <v>6493.08</v>
      </c>
      <c r="H9" s="18" t="inlineStr">
        <is>
          <t>Potential Leader</t>
        </is>
      </c>
      <c r="J9" s="18" t="inlineStr">
        <is>
          <t>chemicals</t>
        </is>
      </c>
      <c r="K9" s="16" t="n">
        <v>111</v>
      </c>
      <c r="L9" s="16" t="n">
        <v>122</v>
      </c>
      <c r="M9" s="21" t="inlineStr">
        <is>
          <t>-9.0%</t>
        </is>
      </c>
    </row>
    <row r="10">
      <c r="A10" s="16" t="n">
        <v>5</v>
      </c>
      <c r="B10" s="17" t="n">
        <v>354</v>
      </c>
      <c r="C10" s="17" t="inlineStr">
        <is>
          <t>YASHO</t>
        </is>
      </c>
      <c r="D10" s="18" t="inlineStr">
        <is>
          <t>Yasho Industries Ltd</t>
        </is>
      </c>
      <c r="E10" s="18" t="inlineStr">
        <is>
          <t>chemicals</t>
        </is>
      </c>
      <c r="F10" s="16" t="n">
        <v>44</v>
      </c>
      <c r="G10" s="19" t="n">
        <v>3761.61</v>
      </c>
      <c r="H10" s="18" t="inlineStr">
        <is>
          <t>Potential Leader</t>
        </is>
      </c>
      <c r="J10" s="18" t="inlineStr">
        <is>
          <t>auto</t>
        </is>
      </c>
      <c r="K10" s="16" t="n">
        <v>136</v>
      </c>
      <c r="L10" s="16" t="n">
        <v>160</v>
      </c>
      <c r="M10" s="21" t="inlineStr">
        <is>
          <t>-15.0%</t>
        </is>
      </c>
    </row>
    <row r="11">
      <c r="A11" s="16" t="n">
        <v>6</v>
      </c>
      <c r="B11" s="17" t="n">
        <v>348</v>
      </c>
      <c r="C11" s="17" t="inlineStr">
        <is>
          <t>CUPID</t>
        </is>
      </c>
      <c r="D11" s="18" t="inlineStr">
        <is>
          <t>Cupid Limited</t>
        </is>
      </c>
      <c r="E11" s="18" t="inlineStr">
        <is>
          <t>fmcg</t>
        </is>
      </c>
      <c r="F11" s="16" t="n">
        <v>43</v>
      </c>
      <c r="G11" s="19" t="n">
        <v>31434.13</v>
      </c>
      <c r="H11" s="18" t="inlineStr">
        <is>
          <t>Potential Leader</t>
        </is>
      </c>
      <c r="J11" s="18" t="inlineStr">
        <is>
          <t>textiles</t>
        </is>
      </c>
      <c r="K11" s="16" t="n">
        <v>68</v>
      </c>
      <c r="L11" s="16" t="n">
        <v>80</v>
      </c>
      <c r="M11" s="21" t="inlineStr">
        <is>
          <t>-15.0%</t>
        </is>
      </c>
    </row>
    <row r="12">
      <c r="A12" s="16" t="n">
        <v>7</v>
      </c>
      <c r="B12" s="17" t="n">
        <v>330</v>
      </c>
      <c r="C12" s="17" t="inlineStr">
        <is>
          <t>HESTERBIO</t>
        </is>
      </c>
      <c r="D12" s="18" t="inlineStr">
        <is>
          <t>Hester Biosciences Limited</t>
        </is>
      </c>
      <c r="E12" s="18" t="inlineStr">
        <is>
          <t>healthcare</t>
        </is>
      </c>
      <c r="F12" s="16" t="n">
        <v>40</v>
      </c>
      <c r="G12" s="19" t="n">
        <v>2124.08</v>
      </c>
      <c r="H12" s="18" t="inlineStr">
        <is>
          <t>Potential Leader</t>
        </is>
      </c>
      <c r="J12" s="18" t="inlineStr">
        <is>
          <t>transportation</t>
        </is>
      </c>
      <c r="K12" s="16" t="n">
        <v>35</v>
      </c>
      <c r="L12" s="16" t="n">
        <v>43</v>
      </c>
      <c r="M12" s="21" t="inlineStr">
        <is>
          <t>-18.6%</t>
        </is>
      </c>
    </row>
    <row r="13">
      <c r="A13" s="16" t="n">
        <v>8</v>
      </c>
      <c r="B13" s="17" t="n">
        <v>330</v>
      </c>
      <c r="C13" s="17" t="inlineStr">
        <is>
          <t>RUBYMILLS</t>
        </is>
      </c>
      <c r="D13" s="18" t="inlineStr">
        <is>
          <t>The Ruby Mills Limited</t>
        </is>
      </c>
      <c r="E13" s="18" t="inlineStr">
        <is>
          <t>textiles</t>
        </is>
      </c>
      <c r="F13" s="16" t="n">
        <v>40</v>
      </c>
      <c r="G13" s="19" t="n">
        <v>1318.2</v>
      </c>
      <c r="H13" s="18" t="inlineStr">
        <is>
          <t>Potential Leader</t>
        </is>
      </c>
      <c r="J13" s="18" t="inlineStr">
        <is>
          <t>i.t</t>
        </is>
      </c>
      <c r="K13" s="16" t="n">
        <v>65</v>
      </c>
      <c r="L13" s="16" t="n">
        <v>80</v>
      </c>
      <c r="M13" s="21" t="inlineStr">
        <is>
          <t>-18.8%</t>
        </is>
      </c>
    </row>
    <row r="14">
      <c r="A14" s="16" t="n">
        <v>9</v>
      </c>
      <c r="B14" s="17" t="n">
        <v>318</v>
      </c>
      <c r="C14" s="17" t="inlineStr">
        <is>
          <t>SPECTRUM</t>
        </is>
      </c>
      <c r="D14" s="18" t="inlineStr">
        <is>
          <t>Spectrum Electrical Industries Ltd</t>
        </is>
      </c>
      <c r="E14" s="18" t="inlineStr">
        <is>
          <t>industrials</t>
        </is>
      </c>
      <c r="F14" s="16" t="n">
        <v>38</v>
      </c>
      <c r="G14" s="19" t="n">
        <v>3841.72</v>
      </c>
      <c r="H14" s="18" t="inlineStr">
        <is>
          <t>Potential Leader</t>
        </is>
      </c>
      <c r="J14" s="18" t="inlineStr">
        <is>
          <t>miscellaneous</t>
        </is>
      </c>
      <c r="K14" s="16" t="n">
        <v>39</v>
      </c>
      <c r="L14" s="16" t="n">
        <v>50</v>
      </c>
      <c r="M14" s="21" t="inlineStr">
        <is>
          <t>-22.0%</t>
        </is>
      </c>
    </row>
    <row r="15">
      <c r="A15" s="16" t="n">
        <v>10</v>
      </c>
      <c r="B15" s="17" t="n">
        <v>288</v>
      </c>
      <c r="C15" s="17" t="inlineStr">
        <is>
          <t>VADILALIND</t>
        </is>
      </c>
      <c r="D15" s="18" t="inlineStr">
        <is>
          <t>Vadilal Industries Limited</t>
        </is>
      </c>
      <c r="E15" s="18" t="inlineStr">
        <is>
          <t>fmcg</t>
        </is>
      </c>
      <c r="F15" s="16" t="n">
        <v>33</v>
      </c>
      <c r="G15" s="19" t="n">
        <v>5224.47</v>
      </c>
      <c r="H15" s="18" t="inlineStr">
        <is>
          <t>Potential Leader</t>
        </is>
      </c>
      <c r="J15" s="18" t="inlineStr">
        <is>
          <t>building materials</t>
        </is>
      </c>
      <c r="K15" s="16" t="n">
        <v>53</v>
      </c>
      <c r="L15" s="16" t="n">
        <v>68</v>
      </c>
      <c r="M15" s="21" t="inlineStr">
        <is>
          <t>-22.1%</t>
        </is>
      </c>
    </row>
    <row r="16">
      <c r="A16" s="16" t="n">
        <v>11</v>
      </c>
      <c r="B16" s="17" t="n">
        <v>282</v>
      </c>
      <c r="C16" s="17" t="inlineStr">
        <is>
          <t>FEDERALBNK</t>
        </is>
      </c>
      <c r="D16" s="18" t="inlineStr">
        <is>
          <t>The Federal Bank  Limited</t>
        </is>
      </c>
      <c r="E16" s="18" t="inlineStr">
        <is>
          <t>bank</t>
        </is>
      </c>
      <c r="F16" s="16" t="n">
        <v>32</v>
      </c>
      <c r="G16" s="19" t="n">
        <v>88639.62</v>
      </c>
      <c r="H16" s="18" t="inlineStr">
        <is>
          <t>Potential Leader</t>
        </is>
      </c>
      <c r="J16" s="18" t="inlineStr">
        <is>
          <t>industrials</t>
        </is>
      </c>
      <c r="K16" s="16" t="n">
        <v>170</v>
      </c>
      <c r="L16" s="16" t="n">
        <v>230</v>
      </c>
      <c r="M16" s="21" t="inlineStr">
        <is>
          <t>-26.1%</t>
        </is>
      </c>
    </row>
    <row r="17">
      <c r="A17" s="16" t="n">
        <v>12</v>
      </c>
      <c r="B17" s="17" t="n">
        <v>270</v>
      </c>
      <c r="C17" s="17" t="inlineStr">
        <is>
          <t>HITECHCORP</t>
        </is>
      </c>
      <c r="D17" s="18" t="inlineStr">
        <is>
          <t>Hitech Corporation</t>
        </is>
      </c>
      <c r="E17" s="18" t="inlineStr">
        <is>
          <t>industrials</t>
        </is>
      </c>
      <c r="F17" s="16" t="n">
        <v>30</v>
      </c>
      <c r="G17" s="19" t="n">
        <v>549.62</v>
      </c>
      <c r="H17" s="18" t="inlineStr">
        <is>
          <t>Potential Leader</t>
        </is>
      </c>
      <c r="J17" s="18" t="inlineStr">
        <is>
          <t>consumer discretionary</t>
        </is>
      </c>
      <c r="K17" s="16" t="n">
        <v>110</v>
      </c>
      <c r="L17" s="16" t="n">
        <v>151</v>
      </c>
      <c r="M17" s="21" t="inlineStr">
        <is>
          <t>-27.2%</t>
        </is>
      </c>
    </row>
    <row r="18">
      <c r="A18" s="16" t="n">
        <v>13</v>
      </c>
      <c r="B18" s="17" t="n">
        <v>237</v>
      </c>
      <c r="C18" s="17" t="inlineStr">
        <is>
          <t>SSWL</t>
        </is>
      </c>
      <c r="D18" s="18" t="inlineStr">
        <is>
          <t>Steel Strips Wheels Limited</t>
        </is>
      </c>
      <c r="E18" s="18" t="inlineStr">
        <is>
          <t>auto</t>
        </is>
      </c>
      <c r="F18" s="16" t="n">
        <v>25</v>
      </c>
      <c r="G18" s="19" t="n">
        <v>4680.52</v>
      </c>
      <c r="H18" s="18" t="inlineStr">
        <is>
          <t>Potential Leader</t>
        </is>
      </c>
      <c r="J18" s="18" t="inlineStr">
        <is>
          <t>fmcg</t>
        </is>
      </c>
      <c r="K18" s="16" t="n">
        <v>79</v>
      </c>
      <c r="L18" s="16" t="n">
        <v>110</v>
      </c>
      <c r="M18" s="21" t="inlineStr">
        <is>
          <t>-28.2%</t>
        </is>
      </c>
    </row>
    <row r="19">
      <c r="A19" s="16" t="n">
        <v>14</v>
      </c>
      <c r="B19" s="17" t="n">
        <v>222</v>
      </c>
      <c r="C19" s="17" t="inlineStr">
        <is>
          <t>SBC</t>
        </is>
      </c>
      <c r="D19" s="18" t="inlineStr">
        <is>
          <t>SBC Exports Ltd</t>
        </is>
      </c>
      <c r="E19" s="18" t="inlineStr">
        <is>
          <t>textiles</t>
        </is>
      </c>
      <c r="F19" s="16" t="n">
        <v>23</v>
      </c>
      <c r="G19" s="19" t="n">
        <v>2003.81</v>
      </c>
      <c r="H19" s="18" t="inlineStr">
        <is>
          <t>Potential Leader</t>
        </is>
      </c>
      <c r="J19" s="18" t="inlineStr">
        <is>
          <t>telecom</t>
        </is>
      </c>
      <c r="K19" s="16" t="n">
        <v>12</v>
      </c>
      <c r="L19" s="16" t="n">
        <v>17</v>
      </c>
      <c r="M19" s="21" t="inlineStr">
        <is>
          <t>-29.4%</t>
        </is>
      </c>
    </row>
    <row r="20">
      <c r="A20" s="16" t="n">
        <v>15</v>
      </c>
      <c r="B20" s="17" t="n">
        <v>219</v>
      </c>
      <c r="C20" s="17" t="inlineStr">
        <is>
          <t>ADOR</t>
        </is>
      </c>
      <c r="D20" s="18" t="inlineStr">
        <is>
          <t>Ador Welding Ltd</t>
        </is>
      </c>
      <c r="E20" s="18" t="inlineStr">
        <is>
          <t>industrials</t>
        </is>
      </c>
      <c r="F20" s="16" t="n">
        <v>22</v>
      </c>
      <c r="G20" s="19" t="n">
        <v>2477.12</v>
      </c>
      <c r="H20" s="18" t="inlineStr">
        <is>
          <t>Potential Leader</t>
        </is>
      </c>
      <c r="J20" s="18" t="inlineStr">
        <is>
          <t>bank</t>
        </is>
      </c>
      <c r="K20" s="16" t="n">
        <v>62</v>
      </c>
      <c r="L20" s="16" t="n">
        <v>88</v>
      </c>
      <c r="M20" s="21" t="inlineStr">
        <is>
          <t>-29.5%</t>
        </is>
      </c>
    </row>
    <row r="21">
      <c r="A21" s="16" t="n">
        <v>16</v>
      </c>
      <c r="B21" s="17" t="n">
        <v>219</v>
      </c>
      <c r="C21" s="17" t="inlineStr">
        <is>
          <t>BHARATFORG</t>
        </is>
      </c>
      <c r="D21" s="18" t="inlineStr">
        <is>
          <t>Bharat Forge Limited</t>
        </is>
      </c>
      <c r="E21" s="18" t="inlineStr">
        <is>
          <t>industrials</t>
        </is>
      </c>
      <c r="F21" s="16" t="n">
        <v>24</v>
      </c>
      <c r="G21" s="19" t="n">
        <v>103816.95</v>
      </c>
      <c r="H21" s="18" t="inlineStr">
        <is>
          <t>Potential Leader</t>
        </is>
      </c>
    </row>
    <row r="22">
      <c r="A22" s="16" t="n">
        <v>17</v>
      </c>
      <c r="B22" s="17" t="n">
        <v>219</v>
      </c>
      <c r="C22" s="17" t="inlineStr">
        <is>
          <t>CENTENKA</t>
        </is>
      </c>
      <c r="D22" s="18" t="inlineStr">
        <is>
          <t>Century Enka Limited</t>
        </is>
      </c>
      <c r="E22" s="18" t="inlineStr">
        <is>
          <t>textiles</t>
        </is>
      </c>
      <c r="F22" s="16" t="n">
        <v>22</v>
      </c>
      <c r="G22" s="19" t="n">
        <v>1335.62</v>
      </c>
      <c r="H22" s="18" t="inlineStr">
        <is>
          <t>Potential Leader</t>
        </is>
      </c>
    </row>
    <row r="23">
      <c r="A23" s="16" t="n">
        <v>18</v>
      </c>
      <c r="B23" s="17" t="n">
        <v>219</v>
      </c>
      <c r="C23" s="17" t="inlineStr">
        <is>
          <t>CYIENTDLM</t>
        </is>
      </c>
      <c r="D23" s="18" t="inlineStr">
        <is>
          <t>Cyient DLM Ltd</t>
        </is>
      </c>
      <c r="E23" s="18" t="inlineStr">
        <is>
          <t>consumer discretionary</t>
        </is>
      </c>
      <c r="F23" s="16" t="n">
        <v>22</v>
      </c>
      <c r="G23" s="19" t="n">
        <v>5411.96</v>
      </c>
      <c r="H23" s="18" t="inlineStr">
        <is>
          <t>Potential Leader</t>
        </is>
      </c>
    </row>
    <row r="24">
      <c r="A24" s="16" t="n">
        <v>19</v>
      </c>
      <c r="B24" s="17" t="n">
        <v>216</v>
      </c>
      <c r="C24" s="17" t="inlineStr">
        <is>
          <t>INDNIPPON</t>
        </is>
      </c>
      <c r="D24" s="18" t="inlineStr">
        <is>
          <t>India Nippon Electricals Limited</t>
        </is>
      </c>
      <c r="E24" s="18" t="inlineStr">
        <is>
          <t>auto</t>
        </is>
      </c>
      <c r="F24" s="16" t="n">
        <v>22</v>
      </c>
      <c r="G24" s="19" t="n">
        <v>2651</v>
      </c>
      <c r="H24" s="18" t="inlineStr">
        <is>
          <t>Potential Leader</t>
        </is>
      </c>
    </row>
    <row r="25">
      <c r="A25" s="16" t="n">
        <v>20</v>
      </c>
      <c r="B25" s="17" t="n">
        <v>216</v>
      </c>
      <c r="C25" s="17" t="inlineStr">
        <is>
          <t>RADICO</t>
        </is>
      </c>
      <c r="D25" s="18" t="inlineStr">
        <is>
          <t>Radico Khaitan Limited</t>
        </is>
      </c>
      <c r="E25" s="18" t="inlineStr">
        <is>
          <t>fmcg</t>
        </is>
      </c>
      <c r="F25" s="16" t="n">
        <v>22</v>
      </c>
      <c r="G25" s="19" t="n">
        <v>58578.89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NELCO</t>
        </is>
      </c>
      <c r="B30" s="18" t="inlineStr">
        <is>
          <t>Nelco Limited</t>
        </is>
      </c>
      <c r="C30" s="18" t="inlineStr">
        <is>
          <t>telecom</t>
        </is>
      </c>
      <c r="D30" s="16" t="n">
        <v>10</v>
      </c>
      <c r="E30" s="16" t="n">
        <v>1</v>
      </c>
      <c r="F30" s="19" t="n">
        <v>2131.47</v>
      </c>
      <c r="J30" s="17" t="inlineStr">
        <is>
          <t>SATIN</t>
        </is>
      </c>
      <c r="K30" s="18" t="inlineStr">
        <is>
          <t>Financial Services</t>
        </is>
      </c>
      <c r="L30" s="19" t="n">
        <v>297</v>
      </c>
      <c r="M30" s="19" t="n">
        <v>2831.31</v>
      </c>
      <c r="N30" s="16" t="n">
        <v>25</v>
      </c>
    </row>
    <row r="31">
      <c r="A31" s="17" t="inlineStr">
        <is>
          <t>QUESS</t>
        </is>
      </c>
      <c r="B31" s="18" t="inlineStr">
        <is>
          <t>Quess Corp Limited</t>
        </is>
      </c>
      <c r="C31" s="18" t="inlineStr">
        <is>
          <t>miscellaneous</t>
        </is>
      </c>
      <c r="D31" s="16" t="n">
        <v>10</v>
      </c>
      <c r="E31" s="16" t="n">
        <v>0</v>
      </c>
      <c r="F31" s="19" t="n">
        <v>4591.32</v>
      </c>
      <c r="J31" s="17" t="inlineStr">
        <is>
          <t>WELINV</t>
        </is>
      </c>
      <c r="K31" s="18" t="inlineStr">
        <is>
          <t>financials</t>
        </is>
      </c>
      <c r="L31" s="19" t="n">
        <v>295</v>
      </c>
      <c r="M31" s="19" t="n">
        <v>690.7</v>
      </c>
      <c r="N31" s="16" t="n">
        <v>13</v>
      </c>
    </row>
    <row r="32">
      <c r="A32" s="17" t="inlineStr">
        <is>
          <t>KABRAEXTRU</t>
        </is>
      </c>
      <c r="B32" s="18" t="inlineStr">
        <is>
          <t>Kabra Extrusion Technik Limited</t>
        </is>
      </c>
      <c r="C32" s="18" t="inlineStr">
        <is>
          <t>industrials</t>
        </is>
      </c>
      <c r="D32" s="16" t="n">
        <v>10</v>
      </c>
      <c r="E32" s="16" t="n">
        <v>0</v>
      </c>
      <c r="F32" s="19" t="n">
        <v>1364.47</v>
      </c>
      <c r="J32" s="17" t="inlineStr">
        <is>
          <t>KTKBANK</t>
        </is>
      </c>
      <c r="K32" s="18" t="inlineStr">
        <is>
          <t>bank</t>
        </is>
      </c>
      <c r="L32" s="19" t="n">
        <v>295</v>
      </c>
      <c r="M32" s="19" t="n">
        <v>10551.87</v>
      </c>
      <c r="N32" s="16" t="n">
        <v>17</v>
      </c>
    </row>
    <row r="33">
      <c r="A33" s="17" t="inlineStr">
        <is>
          <t>TTKPRESTIG</t>
        </is>
      </c>
      <c r="B33" s="18" t="inlineStr">
        <is>
          <t>Ttk Prestige Limited</t>
        </is>
      </c>
      <c r="C33" s="18" t="inlineStr">
        <is>
          <t>consumer discretionary</t>
        </is>
      </c>
      <c r="D33" s="16" t="n">
        <v>9</v>
      </c>
      <c r="E33" s="16" t="n">
        <v>0</v>
      </c>
      <c r="F33" s="19" t="n">
        <v>9273.639999999999</v>
      </c>
      <c r="J33" s="17" t="inlineStr">
        <is>
          <t>E2E</t>
        </is>
      </c>
      <c r="K33" s="18" t="inlineStr">
        <is>
          <t>i.t</t>
        </is>
      </c>
      <c r="L33" s="19" t="n">
        <v>290</v>
      </c>
      <c r="M33" s="19" t="n">
        <v>10102.49</v>
      </c>
      <c r="N33" s="16" t="n">
        <v>9</v>
      </c>
    </row>
    <row r="34">
      <c r="A34" s="17" t="inlineStr">
        <is>
          <t>HUHTAMAKI</t>
        </is>
      </c>
      <c r="B34" s="18" t="inlineStr">
        <is>
          <t>Huhtamaki India Ltd</t>
        </is>
      </c>
      <c r="C34" s="18" t="inlineStr">
        <is>
          <t>industrials</t>
        </is>
      </c>
      <c r="D34" s="16" t="n">
        <v>8</v>
      </c>
      <c r="E34" s="16" t="n">
        <v>0</v>
      </c>
      <c r="F34" s="19" t="n">
        <v>2242.17</v>
      </c>
      <c r="J34" s="17" t="inlineStr">
        <is>
          <t>MENONBE</t>
        </is>
      </c>
      <c r="K34" s="18" t="inlineStr">
        <is>
          <t>auto</t>
        </is>
      </c>
      <c r="L34" s="19" t="n">
        <v>288</v>
      </c>
      <c r="M34" s="19" t="n">
        <v>1230.53</v>
      </c>
      <c r="N34" s="16" t="n">
        <v>22</v>
      </c>
    </row>
    <row r="35">
      <c r="A35" s="17" t="inlineStr">
        <is>
          <t>BHARTIHEXA</t>
        </is>
      </c>
      <c r="B35" s="18" t="inlineStr">
        <is>
          <t>Bharti Hexacom Ltd</t>
        </is>
      </c>
      <c r="C35" s="18" t="inlineStr">
        <is>
          <t>telecom-service</t>
        </is>
      </c>
      <c r="D35" s="16" t="n">
        <v>8</v>
      </c>
      <c r="E35" s="16" t="n">
        <v>0</v>
      </c>
      <c r="F35" s="19" t="n">
        <v>82725</v>
      </c>
      <c r="J35" s="17" t="inlineStr">
        <is>
          <t>CONFIPET</t>
        </is>
      </c>
      <c r="K35" s="18" t="inlineStr">
        <is>
          <t>miscellaneous</t>
        </is>
      </c>
      <c r="L35" s="19" t="n">
        <v>288</v>
      </c>
      <c r="M35" s="19" t="n">
        <v>2600.78</v>
      </c>
      <c r="N35" s="16" t="n">
        <v>24</v>
      </c>
    </row>
    <row r="36">
      <c r="A36" s="17" t="inlineStr">
        <is>
          <t>TIMETECHNO</t>
        </is>
      </c>
      <c r="B36" s="18" t="inlineStr">
        <is>
          <t>Time Technoplast Limited</t>
        </is>
      </c>
      <c r="C36" s="18" t="inlineStr">
        <is>
          <t>plastic products</t>
        </is>
      </c>
      <c r="D36" s="16" t="n">
        <v>8</v>
      </c>
      <c r="E36" s="16" t="n">
        <v>0</v>
      </c>
      <c r="F36" s="19" t="n">
        <v>10680.3</v>
      </c>
      <c r="J36" s="17" t="inlineStr">
        <is>
          <t>RPTECH</t>
        </is>
      </c>
      <c r="K36" s="18" t="inlineStr">
        <is>
          <t>services</t>
        </is>
      </c>
      <c r="L36" s="19" t="n">
        <v>285</v>
      </c>
      <c r="M36" s="19" t="n">
        <v>5097.67</v>
      </c>
      <c r="N36" s="16" t="n">
        <v>28</v>
      </c>
    </row>
    <row r="37">
      <c r="A37" s="17" t="inlineStr">
        <is>
          <t>PICCADIL</t>
        </is>
      </c>
      <c r="B37" s="18" t="inlineStr">
        <is>
          <t>Piccadily Agro Industries Ltd</t>
        </is>
      </c>
      <c r="C37" s="18" t="inlineStr">
        <is>
          <t>fmcg</t>
        </is>
      </c>
      <c r="D37" s="16" t="n">
        <v>8</v>
      </c>
      <c r="E37" s="16" t="n">
        <v>0</v>
      </c>
      <c r="F37" s="19" t="n">
        <v>7208.09</v>
      </c>
      <c r="J37" s="17" t="inlineStr">
        <is>
          <t>TMB</t>
        </is>
      </c>
      <c r="K37" s="18" t="inlineStr">
        <is>
          <t>bank</t>
        </is>
      </c>
      <c r="L37" s="19" t="n">
        <v>285</v>
      </c>
      <c r="M37" s="19" t="n">
        <v>13700.57</v>
      </c>
      <c r="N37" s="16" t="n">
        <v>25</v>
      </c>
    </row>
    <row r="38">
      <c r="A38" s="17" t="inlineStr">
        <is>
          <t>JGCHEM</t>
        </is>
      </c>
      <c r="B38" s="18" t="inlineStr">
        <is>
          <t>J.G.Chemicals Ltd</t>
        </is>
      </c>
      <c r="C38" s="18" t="inlineStr">
        <is>
          <t>chemicals</t>
        </is>
      </c>
      <c r="D38" s="16" t="n">
        <v>8</v>
      </c>
      <c r="E38" s="16" t="n">
        <v>0</v>
      </c>
      <c r="F38" s="19" t="n">
        <v>1969.49</v>
      </c>
      <c r="J38" s="17" t="inlineStr">
        <is>
          <t>UJJIVANSFB</t>
        </is>
      </c>
      <c r="K38" s="18" t="inlineStr">
        <is>
          <t>bank</t>
        </is>
      </c>
      <c r="L38" s="19" t="n">
        <v>285</v>
      </c>
      <c r="M38" s="19" t="n">
        <v>13688.77</v>
      </c>
      <c r="N38" s="16" t="n">
        <v>16</v>
      </c>
    </row>
    <row r="39">
      <c r="A39" s="17" t="inlineStr">
        <is>
          <t>IIFL</t>
        </is>
      </c>
      <c r="B39" s="18" t="inlineStr">
        <is>
          <t>IIFL Finance Ltd</t>
        </is>
      </c>
      <c r="C39" s="18" t="inlineStr">
        <is>
          <t>financials</t>
        </is>
      </c>
      <c r="D39" s="16" t="n">
        <v>8</v>
      </c>
      <c r="E39" s="16" t="n">
        <v>0</v>
      </c>
      <c r="F39" s="19" t="n">
        <v>25311.09</v>
      </c>
      <c r="J39" s="17" t="inlineStr">
        <is>
          <t>TFCILTD</t>
        </is>
      </c>
      <c r="K39" s="18" t="inlineStr">
        <is>
          <t>financials</t>
        </is>
      </c>
      <c r="L39" s="19" t="n">
        <v>285</v>
      </c>
      <c r="M39" s="19" t="n">
        <v>4656.16</v>
      </c>
      <c r="N39" s="16" t="n">
        <v>15</v>
      </c>
    </row>
    <row r="40">
      <c r="A40" s="17" t="inlineStr">
        <is>
          <t>AEGISVOPAK</t>
        </is>
      </c>
      <c r="B40" s="18" t="inlineStr">
        <is>
          <t>Aegis Vopak Terminals Ltd</t>
        </is>
      </c>
      <c r="C40" s="18" t="inlineStr">
        <is>
          <t>transportation</t>
        </is>
      </c>
      <c r="D40" s="16" t="n">
        <v>8</v>
      </c>
      <c r="E40" s="16" t="n">
        <v>2</v>
      </c>
      <c r="F40" s="19" t="n">
        <v>32731.18</v>
      </c>
      <c r="J40" s="17" t="inlineStr">
        <is>
          <t>INDIAGLYCO</t>
        </is>
      </c>
      <c r="K40" s="18" t="inlineStr">
        <is>
          <t>fmcg</t>
        </is>
      </c>
      <c r="L40" s="19" t="n">
        <v>285</v>
      </c>
      <c r="M40" s="19" t="n">
        <v>7667.53</v>
      </c>
      <c r="N40" s="16" t="n">
        <v>9</v>
      </c>
    </row>
    <row r="41">
      <c r="A41" s="17" t="inlineStr">
        <is>
          <t>KALYANKJIL</t>
        </is>
      </c>
      <c r="B41" s="18" t="inlineStr">
        <is>
          <t>Kalyan Jewellers India Ltd</t>
        </is>
      </c>
      <c r="C41" s="18" t="inlineStr">
        <is>
          <t>consumer discretionary</t>
        </is>
      </c>
      <c r="D41" s="16" t="n">
        <v>8</v>
      </c>
      <c r="E41" s="16" t="n">
        <v>0</v>
      </c>
      <c r="F41" s="19" t="n">
        <v>64918.05</v>
      </c>
      <c r="J41" s="17" t="inlineStr">
        <is>
          <t>PGIL</t>
        </is>
      </c>
      <c r="K41" s="18" t="inlineStr">
        <is>
          <t>consumer discretionary</t>
        </is>
      </c>
      <c r="L41" s="19" t="n">
        <v>283</v>
      </c>
      <c r="M41" s="19" t="n">
        <v>9516.700000000001</v>
      </c>
      <c r="N41" s="16" t="n">
        <v>22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75.03</v>
      </c>
      <c r="D47" s="28" t="n">
        <v>277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31434.13</v>
      </c>
    </row>
    <row r="48">
      <c r="A48" s="16" t="n">
        <v>2</v>
      </c>
      <c r="B48" s="27" t="n">
        <v>99</v>
      </c>
      <c r="C48" s="28" t="n">
        <v>69.87</v>
      </c>
      <c r="D48" s="28" t="n">
        <v>275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10669.55</v>
      </c>
    </row>
    <row r="49">
      <c r="A49" s="16" t="n">
        <v>3</v>
      </c>
      <c r="B49" s="27" t="n">
        <v>98</v>
      </c>
      <c r="C49" s="28" t="n">
        <v>68.41</v>
      </c>
      <c r="D49" s="28" t="n">
        <v>263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12296.54</v>
      </c>
    </row>
    <row r="50">
      <c r="A50" s="16" t="n">
        <v>4</v>
      </c>
      <c r="B50" s="27" t="n">
        <v>98</v>
      </c>
      <c r="C50" s="28" t="n">
        <v>63.58</v>
      </c>
      <c r="D50" s="28" t="n">
        <v>232</v>
      </c>
      <c r="E50" s="17" t="inlineStr">
        <is>
          <t>STLTECH</t>
        </is>
      </c>
      <c r="F50" s="18" t="inlineStr">
        <is>
          <t>Sterlite Technologies Limited</t>
        </is>
      </c>
      <c r="G50" s="18" t="inlineStr">
        <is>
          <t>Technology</t>
        </is>
      </c>
      <c r="H50" s="19" t="n">
        <v>27265.56</v>
      </c>
    </row>
    <row r="51">
      <c r="A51" s="16" t="n">
        <v>5</v>
      </c>
      <c r="B51" s="27" t="n">
        <v>98</v>
      </c>
      <c r="C51" s="28" t="n">
        <v>49.69</v>
      </c>
      <c r="D51" s="28" t="n">
        <v>275</v>
      </c>
      <c r="E51" s="17" t="inlineStr">
        <is>
          <t>BAFNAPH</t>
        </is>
      </c>
      <c r="F51" s="18" t="inlineStr">
        <is>
          <t>Bafna Pharmaceuticals Ltd</t>
        </is>
      </c>
      <c r="G51" s="18" t="inlineStr">
        <is>
          <t>healthcare</t>
        </is>
      </c>
      <c r="H51" s="19" t="n">
        <v>597.8200000000001</v>
      </c>
    </row>
    <row r="52">
      <c r="A52" s="16" t="n">
        <v>6</v>
      </c>
      <c r="B52" s="27" t="n">
        <v>98</v>
      </c>
      <c r="C52" s="28" t="n">
        <v>46.93</v>
      </c>
      <c r="D52" s="28" t="n">
        <v>273</v>
      </c>
      <c r="E52" s="17" t="inlineStr">
        <is>
          <t>HITECHCORP</t>
        </is>
      </c>
      <c r="F52" s="18" t="inlineStr">
        <is>
          <t>Hitech Corporation</t>
        </is>
      </c>
      <c r="G52" s="18" t="inlineStr">
        <is>
          <t>industrials</t>
        </is>
      </c>
      <c r="H52" s="19" t="n">
        <v>549.62</v>
      </c>
    </row>
    <row r="53">
      <c r="A53" s="16" t="n">
        <v>7</v>
      </c>
      <c r="B53" s="27" t="n">
        <v>97</v>
      </c>
      <c r="C53" s="28" t="n">
        <v>44.49</v>
      </c>
      <c r="D53" s="28" t="n">
        <v>283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47740.7</v>
      </c>
    </row>
    <row r="54">
      <c r="A54" s="16" t="n">
        <v>8</v>
      </c>
      <c r="B54" s="27" t="n">
        <v>97</v>
      </c>
      <c r="C54" s="28" t="n">
        <v>43.31</v>
      </c>
      <c r="D54" s="28" t="n">
        <v>260</v>
      </c>
      <c r="E54" s="17" t="inlineStr">
        <is>
          <t>YASHO</t>
        </is>
      </c>
      <c r="F54" s="18" t="inlineStr">
        <is>
          <t>Yasho Industries Ltd</t>
        </is>
      </c>
      <c r="G54" s="18" t="inlineStr">
        <is>
          <t>chemicals</t>
        </is>
      </c>
      <c r="H54" s="19" t="n">
        <v>3761.61</v>
      </c>
    </row>
    <row r="55">
      <c r="A55" s="16" t="n">
        <v>9</v>
      </c>
      <c r="B55" s="27" t="n">
        <v>97</v>
      </c>
      <c r="C55" s="28" t="n">
        <v>42.74</v>
      </c>
      <c r="D55" s="28" t="n">
        <v>242</v>
      </c>
      <c r="E55" s="17" t="inlineStr">
        <is>
          <t>MODINSU</t>
        </is>
      </c>
      <c r="F55" s="18" t="inlineStr">
        <is>
          <t>Modern Insulators Limited</t>
        </is>
      </c>
      <c r="G55" s="18" t="inlineStr">
        <is>
          <t>Technology</t>
        </is>
      </c>
      <c r="H55" s="19" t="n">
        <v>2128.55</v>
      </c>
    </row>
    <row r="56">
      <c r="A56" s="16" t="n">
        <v>10</v>
      </c>
      <c r="B56" s="27" t="n">
        <v>97</v>
      </c>
      <c r="C56" s="28" t="n">
        <v>42.28</v>
      </c>
      <c r="D56" s="28" t="n">
        <v>255</v>
      </c>
      <c r="E56" s="17" t="inlineStr">
        <is>
          <t>DIACABS</t>
        </is>
      </c>
      <c r="F56" s="18" t="inlineStr">
        <is>
          <t>Diamond Power Infrastructure Ltd</t>
        </is>
      </c>
      <c r="G56" s="18" t="inlineStr">
        <is>
          <t>industrials</t>
        </is>
      </c>
      <c r="H56" s="19" t="n">
        <v>17782.64</v>
      </c>
    </row>
    <row r="57">
      <c r="A57" s="16" t="n">
        <v>11</v>
      </c>
      <c r="B57" s="27" t="n">
        <v>96</v>
      </c>
      <c r="C57" s="28" t="n">
        <v>41.27</v>
      </c>
      <c r="D57" s="28" t="n">
        <v>247</v>
      </c>
      <c r="E57" s="17" t="inlineStr">
        <is>
          <t>VENUSREM</t>
        </is>
      </c>
      <c r="F57" s="18" t="inlineStr">
        <is>
          <t>Venus Remedies Limited</t>
        </is>
      </c>
      <c r="G57" s="18" t="inlineStr">
        <is>
          <t>Healthcare</t>
        </is>
      </c>
      <c r="H57" s="19" t="n">
        <v>2060</v>
      </c>
    </row>
    <row r="58">
      <c r="A58" s="16" t="n">
        <v>12</v>
      </c>
      <c r="B58" s="27" t="n">
        <v>96</v>
      </c>
      <c r="C58" s="28" t="n">
        <v>41.19</v>
      </c>
      <c r="D58" s="28" t="n">
        <v>235</v>
      </c>
      <c r="E58" s="17" t="inlineStr">
        <is>
          <t>CEMPRO</t>
        </is>
      </c>
      <c r="F58" s="18" t="inlineStr">
        <is>
          <t>Cemindia Projects Limited</t>
        </is>
      </c>
      <c r="G58" s="18" t="inlineStr">
        <is>
          <t>Industrials</t>
        </is>
      </c>
      <c r="H58" s="19" t="n">
        <v>23340.78</v>
      </c>
    </row>
    <row r="59">
      <c r="A59" s="16" t="n">
        <v>13</v>
      </c>
      <c r="B59" s="27" t="n">
        <v>96</v>
      </c>
      <c r="C59" s="28" t="n">
        <v>41.17</v>
      </c>
      <c r="D59" s="28" t="n">
        <v>285</v>
      </c>
      <c r="E59" s="17" t="inlineStr">
        <is>
          <t>RPTECH</t>
        </is>
      </c>
      <c r="F59" s="18" t="inlineStr">
        <is>
          <t>Rashi Peripherals Ltd</t>
        </is>
      </c>
      <c r="G59" s="18" t="inlineStr">
        <is>
          <t>services</t>
        </is>
      </c>
      <c r="H59" s="19" t="n">
        <v>5097.67</v>
      </c>
    </row>
    <row r="60">
      <c r="A60" s="16" t="n">
        <v>14</v>
      </c>
      <c r="B60" s="27" t="n">
        <v>96</v>
      </c>
      <c r="C60" s="28" t="n">
        <v>40.95</v>
      </c>
      <c r="D60" s="28" t="n">
        <v>215</v>
      </c>
      <c r="E60" s="17" t="inlineStr">
        <is>
          <t>BHAGYANGR</t>
        </is>
      </c>
      <c r="F60" s="18" t="inlineStr">
        <is>
          <t>Bhagyanagar India Limited</t>
        </is>
      </c>
      <c r="G60" s="18" t="inlineStr">
        <is>
          <t>Basic Materials</t>
        </is>
      </c>
      <c r="H60" s="19" t="n">
        <v>1177.26</v>
      </c>
    </row>
    <row r="61">
      <c r="A61" s="16" t="n">
        <v>15</v>
      </c>
      <c r="B61" s="27" t="n">
        <v>95</v>
      </c>
      <c r="C61" s="28" t="n">
        <v>40.72</v>
      </c>
      <c r="D61" s="28" t="n">
        <v>0</v>
      </c>
      <c r="E61" s="17" t="inlineStr">
        <is>
          <t>IZMO</t>
        </is>
      </c>
      <c r="F61" s="18" t="inlineStr">
        <is>
          <t>IZMO Limited</t>
        </is>
      </c>
      <c r="G61" s="18" t="inlineStr">
        <is>
          <t>Technology</t>
        </is>
      </c>
      <c r="H61" s="19" t="n">
        <v>1500.45</v>
      </c>
    </row>
    <row r="62">
      <c r="A62" s="16" t="n">
        <v>16</v>
      </c>
      <c r="B62" s="27" t="n">
        <v>95</v>
      </c>
      <c r="C62" s="28" t="n">
        <v>40.04</v>
      </c>
      <c r="D62" s="28" t="n">
        <v>273</v>
      </c>
      <c r="E62" s="17" t="inlineStr">
        <is>
          <t>SPECTRUM</t>
        </is>
      </c>
      <c r="F62" s="18" t="inlineStr">
        <is>
          <t>Spectrum Electrical Industries Ltd</t>
        </is>
      </c>
      <c r="G62" s="18" t="inlineStr">
        <is>
          <t>industrials</t>
        </is>
      </c>
      <c r="H62" s="19" t="n">
        <v>3841.72</v>
      </c>
    </row>
    <row r="63">
      <c r="A63" s="16" t="n">
        <v>17</v>
      </c>
      <c r="B63" s="27" t="n">
        <v>95</v>
      </c>
      <c r="C63" s="28" t="n">
        <v>38.24</v>
      </c>
      <c r="D63" s="28" t="n">
        <v>247</v>
      </c>
      <c r="E63" s="17" t="inlineStr">
        <is>
          <t>BLISSGVS</t>
        </is>
      </c>
      <c r="F63" s="18" t="inlineStr">
        <is>
          <t>Bliss GVS Pharma Limited</t>
        </is>
      </c>
      <c r="G63" s="18" t="inlineStr">
        <is>
          <t>Healthcare</t>
        </is>
      </c>
      <c r="H63" s="19" t="n">
        <v>4835.69</v>
      </c>
    </row>
    <row r="64">
      <c r="A64" s="16" t="n">
        <v>18</v>
      </c>
      <c r="B64" s="27" t="n">
        <v>95</v>
      </c>
      <c r="C64" s="28" t="n">
        <v>38.23</v>
      </c>
      <c r="D64" s="28" t="n">
        <v>290</v>
      </c>
      <c r="E64" s="17" t="inlineStr">
        <is>
          <t>E2E</t>
        </is>
      </c>
      <c r="F64" s="18" t="inlineStr">
        <is>
          <t>E2E Networks Ltd</t>
        </is>
      </c>
      <c r="G64" s="18" t="inlineStr">
        <is>
          <t>i.t</t>
        </is>
      </c>
      <c r="H64" s="19" t="n">
        <v>10102.49</v>
      </c>
    </row>
    <row r="65">
      <c r="A65" s="16" t="n">
        <v>19</v>
      </c>
      <c r="B65" s="29" t="n">
        <v>94</v>
      </c>
      <c r="C65" s="28" t="n">
        <v>37.81</v>
      </c>
      <c r="D65" s="28" t="n">
        <v>223</v>
      </c>
      <c r="E65" s="17" t="inlineStr">
        <is>
          <t>SALSTEEL</t>
        </is>
      </c>
      <c r="F65" s="18" t="inlineStr">
        <is>
          <t>SAL Steel</t>
        </is>
      </c>
      <c r="G65" s="18" t="inlineStr">
        <is>
          <t>metals &amp; mining</t>
        </is>
      </c>
      <c r="H65" s="19" t="n">
        <v>906.53</v>
      </c>
    </row>
    <row r="66">
      <c r="A66" s="16" t="n">
        <v>20</v>
      </c>
      <c r="B66" s="29" t="n">
        <v>94</v>
      </c>
      <c r="C66" s="28" t="n">
        <v>36.93</v>
      </c>
      <c r="D66" s="28" t="n">
        <v>237</v>
      </c>
      <c r="E66" s="17" t="inlineStr">
        <is>
          <t>HFCL</t>
        </is>
      </c>
      <c r="F66" s="18" t="inlineStr">
        <is>
          <t>HFCL Limited</t>
        </is>
      </c>
      <c r="G66" s="18" t="inlineStr">
        <is>
          <t>Technology</t>
        </is>
      </c>
      <c r="H66" s="19" t="n">
        <v>28262.44</v>
      </c>
    </row>
    <row r="67">
      <c r="A67" s="16" t="n">
        <v>21</v>
      </c>
      <c r="B67" s="29" t="n">
        <v>94</v>
      </c>
      <c r="C67" s="28" t="n">
        <v>35.97</v>
      </c>
      <c r="D67" s="28" t="n">
        <v>260</v>
      </c>
      <c r="E67" s="17" t="inlineStr">
        <is>
          <t>NITTAGELA</t>
        </is>
      </c>
      <c r="F67" s="18" t="inlineStr">
        <is>
          <t>Nitta Gelatin India Limited</t>
        </is>
      </c>
      <c r="G67" s="18" t="inlineStr">
        <is>
          <t>Basic Materials</t>
        </is>
      </c>
      <c r="H67" s="19" t="n">
        <v>1660.4</v>
      </c>
    </row>
    <row r="68">
      <c r="A68" s="16" t="n">
        <v>22</v>
      </c>
      <c r="B68" s="29" t="n">
        <v>94</v>
      </c>
      <c r="C68" s="28" t="n">
        <v>35.74</v>
      </c>
      <c r="D68" s="28" t="n">
        <v>255</v>
      </c>
      <c r="E68" s="17" t="inlineStr">
        <is>
          <t>THANGAMAYL</t>
        </is>
      </c>
      <c r="F68" s="18" t="inlineStr">
        <is>
          <t>Thangamayil Jewellery Limited</t>
        </is>
      </c>
      <c r="G68" s="18" t="inlineStr">
        <is>
          <t>Consumer Cyclical</t>
        </is>
      </c>
      <c r="H68" s="19" t="n">
        <v>18049.33</v>
      </c>
    </row>
    <row r="69">
      <c r="A69" s="16" t="n">
        <v>23</v>
      </c>
      <c r="B69" s="29" t="n">
        <v>93</v>
      </c>
      <c r="C69" s="28" t="n">
        <v>35.54</v>
      </c>
      <c r="D69" s="28" t="n">
        <v>200</v>
      </c>
      <c r="E69" s="17" t="inlineStr">
        <is>
          <t>MTARTECH</t>
        </is>
      </c>
      <c r="F69" s="18" t="inlineStr">
        <is>
          <t>MTAR Technologies Limited</t>
        </is>
      </c>
      <c r="G69" s="18" t="inlineStr">
        <is>
          <t>Industrials</t>
        </is>
      </c>
      <c r="H69" s="19" t="n">
        <v>16774.74</v>
      </c>
    </row>
    <row r="70">
      <c r="A70" s="16" t="n">
        <v>24</v>
      </c>
      <c r="B70" s="29" t="n">
        <v>93</v>
      </c>
      <c r="C70" s="28" t="n">
        <v>35.49</v>
      </c>
      <c r="D70" s="28" t="n">
        <v>263</v>
      </c>
      <c r="E70" s="17" t="inlineStr">
        <is>
          <t>KMEW</t>
        </is>
      </c>
      <c r="F70" s="18" t="inlineStr">
        <is>
          <t>Knowledge Marine &amp; Engineering Works Ltd</t>
        </is>
      </c>
      <c r="G70" s="18" t="inlineStr">
        <is>
          <t>transportation</t>
        </is>
      </c>
      <c r="H70" s="19" t="n">
        <v>6550.53</v>
      </c>
    </row>
    <row r="71">
      <c r="A71" s="16" t="n">
        <v>25</v>
      </c>
      <c r="B71" s="29" t="n">
        <v>93</v>
      </c>
      <c r="C71" s="28" t="n">
        <v>33.77</v>
      </c>
      <c r="D71" s="28" t="n">
        <v>242</v>
      </c>
      <c r="E71" s="17" t="inlineStr">
        <is>
          <t>KPL</t>
        </is>
      </c>
      <c r="F71" s="18" t="inlineStr">
        <is>
          <t>Kwality Pharmaceuticals Limited</t>
        </is>
      </c>
      <c r="G71" s="18" t="inlineStr">
        <is>
          <t>Healthcare</t>
        </is>
      </c>
      <c r="H71" s="19" t="n">
        <v>2637.94</v>
      </c>
    </row>
    <row r="72">
      <c r="A72" s="16" t="n">
        <v>26</v>
      </c>
      <c r="B72" s="29" t="n">
        <v>92</v>
      </c>
      <c r="C72" s="28" t="n">
        <v>33.68</v>
      </c>
      <c r="D72" s="28" t="n">
        <v>203</v>
      </c>
      <c r="E72" s="17" t="inlineStr">
        <is>
          <t>SETL</t>
        </is>
      </c>
      <c r="F72" s="18" t="inlineStr">
        <is>
          <t>Standard Enginnering Technology Ltd</t>
        </is>
      </c>
      <c r="G72" s="18" t="inlineStr">
        <is>
          <t>industrials</t>
        </is>
      </c>
      <c r="H72" s="19" t="n">
        <v>5246.63</v>
      </c>
    </row>
    <row r="73">
      <c r="A73" s="16" t="n">
        <v>27</v>
      </c>
      <c r="B73" s="29" t="n">
        <v>92</v>
      </c>
      <c r="C73" s="28" t="n">
        <v>33.37</v>
      </c>
      <c r="D73" s="28" t="n">
        <v>267</v>
      </c>
      <c r="E73" s="17" t="inlineStr">
        <is>
          <t>GVPIL</t>
        </is>
      </c>
      <c r="F73" s="18" t="inlineStr">
        <is>
          <t>GE Power India Limited</t>
        </is>
      </c>
      <c r="G73" s="18" t="inlineStr">
        <is>
          <t>Industrials</t>
        </is>
      </c>
      <c r="H73" s="19" t="n">
        <v>4972.48</v>
      </c>
    </row>
    <row r="74">
      <c r="A74" s="16" t="n">
        <v>28</v>
      </c>
      <c r="B74" s="29" t="n">
        <v>92</v>
      </c>
      <c r="C74" s="28" t="n">
        <v>33.29</v>
      </c>
      <c r="D74" s="28" t="n">
        <v>250</v>
      </c>
      <c r="E74" s="17" t="inlineStr">
        <is>
          <t>AVALON</t>
        </is>
      </c>
      <c r="F74" s="18" t="inlineStr">
        <is>
          <t>Avalon Technologies Ltd</t>
        </is>
      </c>
      <c r="G74" s="18" t="inlineStr">
        <is>
          <t>consumer discretionary</t>
        </is>
      </c>
      <c r="H74" s="19" t="n">
        <v>11206.34</v>
      </c>
    </row>
    <row r="75">
      <c r="A75" s="16" t="n">
        <v>29</v>
      </c>
      <c r="B75" s="29" t="n">
        <v>92</v>
      </c>
      <c r="C75" s="28" t="n">
        <v>33.25</v>
      </c>
      <c r="D75" s="28" t="n">
        <v>225</v>
      </c>
      <c r="E75" s="17" t="inlineStr">
        <is>
          <t>CPPLUS</t>
        </is>
      </c>
      <c r="F75" s="18" t="inlineStr">
        <is>
          <t>CPPLUS</t>
        </is>
      </c>
      <c r="G75" s="18" t="inlineStr">
        <is>
          <t>Industrials</t>
        </is>
      </c>
      <c r="H75" s="19" t="n">
        <v>38416.9</v>
      </c>
    </row>
    <row r="76">
      <c r="A76" s="16" t="n">
        <v>30</v>
      </c>
      <c r="B76" s="29" t="n">
        <v>91</v>
      </c>
      <c r="C76" s="28" t="n">
        <v>32.2</v>
      </c>
      <c r="D76" s="28" t="n">
        <v>275</v>
      </c>
      <c r="E76" s="17" t="inlineStr">
        <is>
          <t>TIMEX</t>
        </is>
      </c>
      <c r="F76" s="18" t="inlineStr">
        <is>
          <t>Timex Group India Limited</t>
        </is>
      </c>
      <c r="G76" s="18" t="inlineStr">
        <is>
          <t>Consumer Cyclical</t>
        </is>
      </c>
      <c r="H76" s="19" t="n">
        <v>5352.37</v>
      </c>
    </row>
    <row r="77">
      <c r="A77" s="16" t="n">
        <v>31</v>
      </c>
      <c r="B77" s="29" t="n">
        <v>91</v>
      </c>
      <c r="C77" s="28" t="n">
        <v>32.18</v>
      </c>
      <c r="D77" s="28" t="n">
        <v>280</v>
      </c>
      <c r="E77" s="17" t="inlineStr">
        <is>
          <t>RRKABEL</t>
        </is>
      </c>
      <c r="F77" s="18" t="inlineStr">
        <is>
          <t>R R Kabel Ltd</t>
        </is>
      </c>
      <c r="G77" s="18" t="inlineStr">
        <is>
          <t>industrials</t>
        </is>
      </c>
      <c r="H77" s="19" t="n">
        <v>28942.57</v>
      </c>
    </row>
    <row r="78">
      <c r="A78" s="16" t="n">
        <v>32</v>
      </c>
      <c r="B78" s="29" t="n">
        <v>91</v>
      </c>
      <c r="C78" s="28" t="n">
        <v>31.82</v>
      </c>
      <c r="D78" s="28" t="n">
        <v>235</v>
      </c>
      <c r="E78" s="17" t="inlineStr">
        <is>
          <t>JAYBARMARU</t>
        </is>
      </c>
      <c r="F78" s="18" t="inlineStr">
        <is>
          <t>Jay Bharat Maruti Limited</t>
        </is>
      </c>
      <c r="G78" s="18" t="inlineStr">
        <is>
          <t>Consumer Cyclical</t>
        </is>
      </c>
      <c r="H78" s="19" t="n">
        <v>1655.68</v>
      </c>
    </row>
    <row r="79">
      <c r="A79" s="16" t="n">
        <v>33</v>
      </c>
      <c r="B79" s="29" t="n">
        <v>91</v>
      </c>
      <c r="C79" s="28" t="n">
        <v>31.66</v>
      </c>
      <c r="D79" s="28" t="n">
        <v>235</v>
      </c>
      <c r="E79" s="17" t="inlineStr">
        <is>
          <t>AEROFLEX</t>
        </is>
      </c>
      <c r="F79" s="18" t="inlineStr">
        <is>
          <t>Aeroflex Industries Limited</t>
        </is>
      </c>
      <c r="G79" s="18" t="inlineStr">
        <is>
          <t>Industrials</t>
        </is>
      </c>
      <c r="H79" s="19" t="n">
        <v>5645.23</v>
      </c>
    </row>
    <row r="80">
      <c r="A80" s="16" t="n">
        <v>34</v>
      </c>
      <c r="B80" s="29" t="n">
        <v>90</v>
      </c>
      <c r="C80" s="28" t="n">
        <v>31.57</v>
      </c>
      <c r="D80" s="28" t="n">
        <v>288</v>
      </c>
      <c r="E80" s="17" t="inlineStr">
        <is>
          <t>MENONBE</t>
        </is>
      </c>
      <c r="F80" s="18" t="inlineStr">
        <is>
          <t>Menon Bearings Limited</t>
        </is>
      </c>
      <c r="G80" s="18" t="inlineStr">
        <is>
          <t>auto</t>
        </is>
      </c>
      <c r="H80" s="19" t="n">
        <v>1230.53</v>
      </c>
    </row>
    <row r="81">
      <c r="A81" s="16" t="n">
        <v>35</v>
      </c>
      <c r="B81" s="29" t="n">
        <v>90</v>
      </c>
      <c r="C81" s="28" t="n">
        <v>31.52</v>
      </c>
      <c r="D81" s="28" t="n">
        <v>243</v>
      </c>
      <c r="E81" s="17" t="inlineStr">
        <is>
          <t>TBZ</t>
        </is>
      </c>
      <c r="F81" s="18" t="inlineStr">
        <is>
          <t>Tribhovandas Bhimji Zaveri Limited</t>
        </is>
      </c>
      <c r="G81" s="18" t="inlineStr">
        <is>
          <t>consumer discretionary</t>
        </is>
      </c>
      <c r="H81" s="19" t="n">
        <v>1831.62</v>
      </c>
    </row>
    <row r="82">
      <c r="A82" s="16" t="n">
        <v>36</v>
      </c>
      <c r="B82" s="29" t="n">
        <v>90</v>
      </c>
      <c r="C82" s="28" t="n">
        <v>31.1</v>
      </c>
      <c r="D82" s="28" t="n">
        <v>275</v>
      </c>
      <c r="E82" s="17" t="inlineStr">
        <is>
          <t>SCPL</t>
        </is>
      </c>
      <c r="F82" s="18" t="inlineStr">
        <is>
          <t>Sheetal Cool Products Ltd</t>
        </is>
      </c>
      <c r="G82" s="18" t="inlineStr">
        <is>
          <t>fmcg</t>
        </is>
      </c>
      <c r="H82" s="19" t="n">
        <v>603.75</v>
      </c>
    </row>
    <row r="83">
      <c r="A83" s="16" t="n">
        <v>37</v>
      </c>
      <c r="B83" s="29" t="n">
        <v>90</v>
      </c>
      <c r="C83" s="28" t="n">
        <v>30.81</v>
      </c>
      <c r="D83" s="28" t="n">
        <v>267</v>
      </c>
      <c r="E83" s="17" t="inlineStr">
        <is>
          <t>NGLFINE</t>
        </is>
      </c>
      <c r="F83" s="18" t="inlineStr">
        <is>
          <t>NGL Fine Chem Ltd</t>
        </is>
      </c>
      <c r="G83" s="18" t="inlineStr">
        <is>
          <t>healthcare</t>
        </is>
      </c>
      <c r="H83" s="19" t="n">
        <v>2008.78</v>
      </c>
    </row>
    <row r="8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SMLMAH</t>
        </is>
      </c>
      <c r="B2" s="31" t="inlineStr">
        <is>
          <t>SML Mahindra Ltd</t>
        </is>
      </c>
      <c r="C2" s="31" t="inlineStr">
        <is>
          <t>auto</t>
        </is>
      </c>
      <c r="D2" s="31" t="inlineStr">
        <is>
          <t>automobiles - lcvs / hcvs</t>
        </is>
      </c>
      <c r="E2" s="31" t="inlineStr">
        <is>
          <t>midcap</t>
        </is>
      </c>
      <c r="F2" s="31" t="n">
        <v>6607.75</v>
      </c>
      <c r="G2" s="31" t="n">
        <v>5479.2</v>
      </c>
      <c r="H2" s="31" t="n">
        <v>20</v>
      </c>
      <c r="I2" s="31" t="n">
        <v>1495350</v>
      </c>
      <c r="J2" s="31" t="inlineStr">
        <is>
          <t>505192</t>
        </is>
      </c>
    </row>
    <row r="3">
      <c r="A3" s="31" t="inlineStr">
        <is>
          <t>BALKRISIND</t>
        </is>
      </c>
      <c r="B3" s="31" t="inlineStr">
        <is>
          <t>Balkrishna Industries Limited</t>
        </is>
      </c>
      <c r="C3" s="31" t="inlineStr">
        <is>
          <t>auto</t>
        </is>
      </c>
      <c r="D3" s="31" t="inlineStr">
        <is>
          <t>tyres</t>
        </is>
      </c>
      <c r="E3" s="31" t="inlineStr">
        <is>
          <t>largecap</t>
        </is>
      </c>
      <c r="F3" s="31" t="n">
        <v>40242.84</v>
      </c>
      <c r="G3" s="31" t="n">
        <v>2306.9</v>
      </c>
      <c r="H3" s="31" t="n">
        <v>10.82</v>
      </c>
      <c r="I3" s="31" t="n">
        <v>4223176</v>
      </c>
      <c r="J3" s="31" t="inlineStr">
        <is>
          <t>502355</t>
        </is>
      </c>
    </row>
    <row r="4">
      <c r="A4" s="31" t="inlineStr">
        <is>
          <t>KRISHANA</t>
        </is>
      </c>
      <c r="B4" s="31" t="inlineStr">
        <is>
          <t>Krishana Phoschem Ltd</t>
        </is>
      </c>
      <c r="C4" s="31" t="inlineStr">
        <is>
          <t>chemicals</t>
        </is>
      </c>
      <c r="D4" s="31" t="inlineStr">
        <is>
          <t>fertilizers</t>
        </is>
      </c>
      <c r="E4" s="31" t="inlineStr">
        <is>
          <t>smallcap</t>
        </is>
      </c>
      <c r="F4" s="31" t="n">
        <v>1017.37</v>
      </c>
      <c r="G4" s="31" t="n">
        <v>180.05</v>
      </c>
      <c r="H4" s="31" t="n">
        <v>9.42</v>
      </c>
      <c r="I4" s="31" t="n">
        <v>4816424</v>
      </c>
      <c r="J4" s="31" t="inlineStr">
        <is>
          <t>538405</t>
        </is>
      </c>
    </row>
    <row r="5">
      <c r="A5" s="31" t="inlineStr">
        <is>
          <t>REDINGTON</t>
        </is>
      </c>
      <c r="B5" s="31" t="inlineStr">
        <is>
          <t>Redington (india) Limited</t>
        </is>
      </c>
      <c r="C5" s="31" t="inlineStr">
        <is>
          <t>services</t>
        </is>
      </c>
      <c r="D5" s="31" t="inlineStr">
        <is>
          <t>trading</t>
        </is>
      </c>
      <c r="E5" s="31" t="inlineStr">
        <is>
          <t>largecap</t>
        </is>
      </c>
      <c r="F5" s="31" t="n">
        <v>22472.11</v>
      </c>
      <c r="G5" s="31" t="n">
        <v>310.95</v>
      </c>
      <c r="H5" s="31" t="n">
        <v>8.18</v>
      </c>
      <c r="I5" s="31" t="n">
        <v>56111752</v>
      </c>
      <c r="J5" s="31" t="inlineStr">
        <is>
          <t>532805</t>
        </is>
      </c>
    </row>
    <row r="6">
      <c r="A6" s="31" t="inlineStr">
        <is>
          <t>MAHASTEEL</t>
        </is>
      </c>
      <c r="B6" s="31" t="inlineStr">
        <is>
          <t>Mahamaya Steel Industries Limited</t>
        </is>
      </c>
      <c r="C6" s="31" t="inlineStr">
        <is>
          <t>metals &amp; mining</t>
        </is>
      </c>
      <c r="D6" s="31" t="inlineStr">
        <is>
          <t>steel - medium / small</t>
        </is>
      </c>
      <c r="E6" s="31" t="inlineStr">
        <is>
          <t>smallcap</t>
        </is>
      </c>
      <c r="F6" s="31" t="n">
        <v>1488.38</v>
      </c>
      <c r="G6" s="31" t="n">
        <v>966.25</v>
      </c>
      <c r="H6" s="31" t="n">
        <v>6.69</v>
      </c>
      <c r="I6" s="31" t="n">
        <v>27992</v>
      </c>
      <c r="J6" s="31" t="inlineStr">
        <is>
          <t>513554</t>
        </is>
      </c>
    </row>
    <row r="7">
      <c r="A7" s="31" t="inlineStr">
        <is>
          <t>SONACOMS</t>
        </is>
      </c>
      <c r="B7" s="31" t="inlineStr">
        <is>
          <t>Sona BLW Precision Forgings Ltd</t>
        </is>
      </c>
      <c r="C7" s="31" t="inlineStr">
        <is>
          <t>auto</t>
        </is>
      </c>
      <c r="D7" s="31" t="inlineStr">
        <is>
          <t>auto ancillaries</t>
        </is>
      </c>
      <c r="E7" s="31" t="inlineStr">
        <is>
          <t>largecap</t>
        </is>
      </c>
      <c r="F7" s="31" t="n">
        <v>44817.6</v>
      </c>
      <c r="G7" s="31" t="n">
        <v>763.75</v>
      </c>
      <c r="H7" s="31" t="n">
        <v>6</v>
      </c>
      <c r="I7" s="31" t="n">
        <v>7777881</v>
      </c>
      <c r="J7" s="31" t="inlineStr">
        <is>
          <t>543300</t>
        </is>
      </c>
    </row>
    <row r="8">
      <c r="A8" s="31" t="inlineStr">
        <is>
          <t>MACPOWER</t>
        </is>
      </c>
      <c r="B8" s="31" t="inlineStr">
        <is>
          <t>Macpower CNC Machines Ltd</t>
        </is>
      </c>
      <c r="C8" s="31" t="inlineStr">
        <is>
          <t>industrials</t>
        </is>
      </c>
      <c r="D8" s="31" t="inlineStr">
        <is>
          <t>engineering</t>
        </is>
      </c>
      <c r="E8" s="31" t="inlineStr">
        <is>
          <t>smallcap</t>
        </is>
      </c>
      <c r="F8" s="31" t="n">
        <v>1404.88</v>
      </c>
      <c r="G8" s="31" t="n">
        <v>1481.2</v>
      </c>
      <c r="H8" s="31" t="n">
        <v>5.48</v>
      </c>
      <c r="I8" s="31" t="n">
        <v>209863</v>
      </c>
      <c r="J8" s="31" t="inlineStr">
        <is>
          <t>535057</t>
        </is>
      </c>
    </row>
    <row r="9">
      <c r="A9" s="31" t="inlineStr">
        <is>
          <t>RPTECH</t>
        </is>
      </c>
      <c r="B9" s="31" t="inlineStr">
        <is>
          <t>Rashi Peripherals Ltd</t>
        </is>
      </c>
      <c r="C9" s="31" t="inlineStr">
        <is>
          <t>services</t>
        </is>
      </c>
      <c r="D9" s="31" t="inlineStr">
        <is>
          <t>trading</t>
        </is>
      </c>
      <c r="E9" s="31" t="inlineStr">
        <is>
          <t>midcap</t>
        </is>
      </c>
      <c r="F9" s="31" t="n">
        <v>5097.67</v>
      </c>
      <c r="G9" s="31" t="n">
        <v>813</v>
      </c>
      <c r="H9" s="31" t="n">
        <v>5.1</v>
      </c>
      <c r="I9" s="31" t="n">
        <v>1871397</v>
      </c>
      <c r="J9" s="31" t="n"/>
    </row>
    <row r="10">
      <c r="A10" s="31" t="inlineStr">
        <is>
          <t>GAEL</t>
        </is>
      </c>
      <c r="B10" s="31" t="inlineStr">
        <is>
          <t>Gujarat Ambuja Exports Limited</t>
        </is>
      </c>
      <c r="C10" s="31" t="inlineStr">
        <is>
          <t>fmcg</t>
        </is>
      </c>
      <c r="D10" s="31" t="inlineStr">
        <is>
          <t>miscellaneous</t>
        </is>
      </c>
      <c r="E10" s="31" t="inlineStr">
        <is>
          <t>midcap</t>
        </is>
      </c>
      <c r="F10" s="31" t="n">
        <v>7536.42</v>
      </c>
      <c r="G10" s="31" t="n">
        <v>172.59</v>
      </c>
      <c r="H10" s="31" t="n">
        <v>5.04</v>
      </c>
      <c r="I10" s="31" t="n">
        <v>4585596</v>
      </c>
      <c r="J10" s="31" t="inlineStr">
        <is>
          <t>524226</t>
        </is>
      </c>
    </row>
    <row r="11">
      <c r="A11" s="31" t="inlineStr">
        <is>
          <t>SICALLOG</t>
        </is>
      </c>
      <c r="B11" s="31" t="inlineStr">
        <is>
          <t>Sical Logistics Ltd</t>
        </is>
      </c>
      <c r="C11" s="31" t="inlineStr">
        <is>
          <t>transportation</t>
        </is>
      </c>
      <c r="D11" s="31" t="inlineStr">
        <is>
          <t>miscellaneous</t>
        </is>
      </c>
      <c r="E11" s="31" t="inlineStr">
        <is>
          <t>smallcap</t>
        </is>
      </c>
      <c r="F11" s="31" t="n">
        <v>889.6</v>
      </c>
      <c r="G11" s="31" t="n">
        <v>117.07</v>
      </c>
      <c r="H11" s="31" t="n">
        <v>5</v>
      </c>
      <c r="I11" s="31" t="n">
        <v>101791</v>
      </c>
      <c r="J11" s="31" t="inlineStr">
        <is>
          <t>520086</t>
        </is>
      </c>
    </row>
    <row r="12">
      <c r="A12" s="31" t="inlineStr">
        <is>
          <t>AVALON</t>
        </is>
      </c>
      <c r="B12" s="31" t="inlineStr">
        <is>
          <t>Avalon Technologies Ltd</t>
        </is>
      </c>
      <c r="C12" s="31" t="inlineStr">
        <is>
          <t>consumer discretionary</t>
        </is>
      </c>
      <c r="D12" s="31" t="inlineStr">
        <is>
          <t>electronics - components</t>
        </is>
      </c>
      <c r="E12" s="31" t="inlineStr">
        <is>
          <t>midcap</t>
        </is>
      </c>
      <c r="F12" s="31" t="n">
        <v>11206.34</v>
      </c>
      <c r="G12" s="31" t="n">
        <v>1759.5</v>
      </c>
      <c r="H12" s="31" t="n">
        <v>4.9</v>
      </c>
      <c r="I12" s="31" t="n">
        <v>813684</v>
      </c>
      <c r="J12" s="31" t="inlineStr">
        <is>
          <t>543896</t>
        </is>
      </c>
    </row>
    <row r="13">
      <c r="A13" s="31" t="inlineStr">
        <is>
          <t>OCCLLTD</t>
        </is>
      </c>
      <c r="B13" s="31" t="inlineStr">
        <is>
          <t>OCCL Ltd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smallcap</t>
        </is>
      </c>
      <c r="F13" s="31" t="n">
        <v>753.2</v>
      </c>
      <c r="G13" s="31" t="n">
        <v>158.12</v>
      </c>
      <c r="H13" s="31" t="n">
        <v>4.86</v>
      </c>
      <c r="I13" s="31" t="n">
        <v>216494</v>
      </c>
      <c r="J13" s="31" t="inlineStr">
        <is>
          <t>544278</t>
        </is>
      </c>
    </row>
    <row r="14">
      <c r="A14" s="31" t="inlineStr">
        <is>
          <t>SWANDEF</t>
        </is>
      </c>
      <c r="B14" s="31" t="inlineStr">
        <is>
          <t>Swan Defence and Heavy Industries Ltd</t>
        </is>
      </c>
      <c r="C14" s="31" t="inlineStr">
        <is>
          <t>transportation</t>
        </is>
      </c>
      <c r="D14" s="31" t="inlineStr">
        <is>
          <t>miscellaneous</t>
        </is>
      </c>
      <c r="E14" s="31" t="inlineStr">
        <is>
          <t>midcap</t>
        </is>
      </c>
      <c r="F14" s="31" t="n">
        <v>12296.54</v>
      </c>
      <c r="G14" s="31" t="n">
        <v>2435</v>
      </c>
      <c r="H14" s="31" t="n">
        <v>4.32</v>
      </c>
      <c r="I14" s="31" t="n">
        <v>70824</v>
      </c>
      <c r="J14" s="31" t="inlineStr">
        <is>
          <t>533107</t>
        </is>
      </c>
    </row>
    <row r="15">
      <c r="A15" s="31" t="inlineStr">
        <is>
          <t>KTKBANK</t>
        </is>
      </c>
      <c r="B15" s="31" t="inlineStr">
        <is>
          <t>The Karnataka Bank Limited</t>
        </is>
      </c>
      <c r="C15" s="31" t="inlineStr">
        <is>
          <t>bank</t>
        </is>
      </c>
      <c r="D15" s="31" t="inlineStr">
        <is>
          <t>banks - private sector</t>
        </is>
      </c>
      <c r="E15" s="31" t="inlineStr">
        <is>
          <t>midcap</t>
        </is>
      </c>
      <c r="F15" s="31" t="n">
        <v>10551.87</v>
      </c>
      <c r="G15" s="31" t="n">
        <v>290.75</v>
      </c>
      <c r="H15" s="31" t="n">
        <v>4.21</v>
      </c>
      <c r="I15" s="31" t="n">
        <v>9422179</v>
      </c>
      <c r="J15" s="31" t="inlineStr">
        <is>
          <t>532652</t>
        </is>
      </c>
    </row>
    <row r="16">
      <c r="A16" s="31" t="inlineStr">
        <is>
          <t>ATULAUTO</t>
        </is>
      </c>
      <c r="B16" s="31" t="inlineStr">
        <is>
          <t>Atul Auto Limited</t>
        </is>
      </c>
      <c r="C16" s="31" t="inlineStr">
        <is>
          <t>auto</t>
        </is>
      </c>
      <c r="D16" s="31" t="inlineStr">
        <is>
          <t>automobiles - scooters and 3 - wheelers</t>
        </is>
      </c>
      <c r="E16" s="31" t="inlineStr">
        <is>
          <t>smallcap</t>
        </is>
      </c>
      <c r="F16" s="31" t="n">
        <v>1374.24</v>
      </c>
      <c r="G16" s="31" t="n">
        <v>516</v>
      </c>
      <c r="H16" s="31" t="n">
        <v>4.2</v>
      </c>
      <c r="I16" s="31" t="n">
        <v>1166460</v>
      </c>
      <c r="J16" s="31" t="inlineStr">
        <is>
          <t>531795</t>
        </is>
      </c>
    </row>
    <row r="17">
      <c r="A17" s="31" t="inlineStr">
        <is>
          <t>STEELCAS</t>
        </is>
      </c>
      <c r="B17" s="31" t="inlineStr">
        <is>
          <t>Steelcast Ltd</t>
        </is>
      </c>
      <c r="C17" s="31" t="inlineStr">
        <is>
          <t>industrials</t>
        </is>
      </c>
      <c r="D17" s="31" t="inlineStr">
        <is>
          <t>castings &amp; forgings</t>
        </is>
      </c>
      <c r="E17" s="31" t="inlineStr">
        <is>
          <t>smallcap</t>
        </is>
      </c>
      <c r="F17" s="31" t="n">
        <v>3090.65</v>
      </c>
      <c r="G17" s="31" t="n">
        <v>318.05</v>
      </c>
      <c r="H17" s="31" t="n">
        <v>4.14</v>
      </c>
      <c r="I17" s="31" t="n">
        <v>221233</v>
      </c>
      <c r="J17" s="31" t="inlineStr">
        <is>
          <t>513517</t>
        </is>
      </c>
    </row>
    <row r="18">
      <c r="A18" s="31" t="inlineStr">
        <is>
          <t>ADOR</t>
        </is>
      </c>
      <c r="B18" s="31" t="inlineStr">
        <is>
          <t>Ador Welding Ltd</t>
        </is>
      </c>
      <c r="C18" s="31" t="inlineStr">
        <is>
          <t>industrials</t>
        </is>
      </c>
      <c r="D18" s="31" t="inlineStr">
        <is>
          <t>electrodes - welding equipment</t>
        </is>
      </c>
      <c r="E18" s="31" t="inlineStr">
        <is>
          <t>smallcap</t>
        </is>
      </c>
      <c r="F18" s="31" t="n">
        <v>2477.12</v>
      </c>
      <c r="G18" s="31" t="n">
        <v>1480.2</v>
      </c>
      <c r="H18" s="31" t="n">
        <v>3.99</v>
      </c>
      <c r="I18" s="31" t="n">
        <v>64061</v>
      </c>
      <c r="J18" s="31" t="inlineStr">
        <is>
          <t>517041</t>
        </is>
      </c>
    </row>
    <row r="19">
      <c r="A19" s="31" t="inlineStr">
        <is>
          <t>EXIDEIND</t>
        </is>
      </c>
      <c r="B19" s="31" t="inlineStr">
        <is>
          <t>Exide Industries Limited</t>
        </is>
      </c>
      <c r="C19" s="31" t="inlineStr">
        <is>
          <t>auto</t>
        </is>
      </c>
      <c r="D19" s="31" t="inlineStr">
        <is>
          <t>auto ancillaries</t>
        </is>
      </c>
      <c r="E19" s="31" t="inlineStr">
        <is>
          <t>largecap</t>
        </is>
      </c>
      <c r="F19" s="31" t="n">
        <v>37030.25</v>
      </c>
      <c r="G19" s="31" t="n">
        <v>452.7</v>
      </c>
      <c r="H19" s="31" t="n">
        <v>3.91</v>
      </c>
      <c r="I19" s="31" t="n">
        <v>31728785</v>
      </c>
      <c r="J19" s="31" t="inlineStr">
        <is>
          <t>500086</t>
        </is>
      </c>
    </row>
    <row r="20">
      <c r="A20" s="31" t="inlineStr">
        <is>
          <t>ZEEL</t>
        </is>
      </c>
      <c r="B20" s="31" t="inlineStr">
        <is>
          <t>Zee Entertainment Enterprises Limited</t>
        </is>
      </c>
      <c r="C20" s="31" t="inlineStr">
        <is>
          <t>media</t>
        </is>
      </c>
      <c r="D20" s="31" t="inlineStr">
        <is>
          <t>entertainment / electronic media software</t>
        </is>
      </c>
      <c r="E20" s="31" t="inlineStr">
        <is>
          <t>midcap</t>
        </is>
      </c>
      <c r="F20" s="31" t="n">
        <v>10386.1</v>
      </c>
      <c r="G20" s="31" t="n">
        <v>112.21</v>
      </c>
      <c r="H20" s="31" t="n">
        <v>3.77</v>
      </c>
      <c r="I20" s="31" t="n">
        <v>27156787</v>
      </c>
      <c r="J20" s="31" t="inlineStr">
        <is>
          <t>505537</t>
        </is>
      </c>
    </row>
    <row r="21">
      <c r="A21" s="31" t="inlineStr">
        <is>
          <t>HEROMOTOCO</t>
        </is>
      </c>
      <c r="B21" s="31" t="inlineStr">
        <is>
          <t>Hero Motocorp Limited</t>
        </is>
      </c>
      <c r="C21" s="31" t="inlineStr">
        <is>
          <t>auto</t>
        </is>
      </c>
      <c r="D21" s="31" t="inlineStr">
        <is>
          <t>automobiles - motorcycles / mopeds</t>
        </is>
      </c>
      <c r="E21" s="31" t="inlineStr">
        <is>
          <t>largecap</t>
        </is>
      </c>
      <c r="F21" s="31" t="n">
        <v>103029.85</v>
      </c>
      <c r="G21" s="31" t="n">
        <v>5325</v>
      </c>
      <c r="H21" s="31" t="n">
        <v>3.42</v>
      </c>
      <c r="I21" s="31" t="n">
        <v>1368741</v>
      </c>
      <c r="J21" s="31" t="inlineStr">
        <is>
          <t>500182</t>
        </is>
      </c>
    </row>
    <row r="22">
      <c r="A22" s="31" t="inlineStr">
        <is>
          <t>CONSOFINVT</t>
        </is>
      </c>
      <c r="B22" s="31" t="inlineStr">
        <is>
          <t>Consolidated Finvest &amp; Holdings Limited</t>
        </is>
      </c>
      <c r="C22" s="31" t="inlineStr">
        <is>
          <t>financials</t>
        </is>
      </c>
      <c r="D22" s="31" t="inlineStr">
        <is>
          <t>finance &amp; investments</t>
        </is>
      </c>
      <c r="E22" s="31" t="inlineStr">
        <is>
          <t>smallcap</t>
        </is>
      </c>
      <c r="F22" s="31" t="n">
        <v>933.71</v>
      </c>
      <c r="G22" s="31" t="n">
        <v>298.4</v>
      </c>
      <c r="H22" s="31" t="n">
        <v>3.31</v>
      </c>
      <c r="I22" s="31" t="n">
        <v>52994</v>
      </c>
      <c r="J22" s="31" t="inlineStr">
        <is>
          <t>500226</t>
        </is>
      </c>
    </row>
    <row r="23">
      <c r="A23" s="31" t="inlineStr">
        <is>
          <t>TVSMOTOR</t>
        </is>
      </c>
      <c r="B23" s="31" t="inlineStr">
        <is>
          <t>Tvs Motor Company Limited</t>
        </is>
      </c>
      <c r="C23" s="31" t="inlineStr">
        <is>
          <t>auto</t>
        </is>
      </c>
      <c r="D23" s="31" t="inlineStr">
        <is>
          <t>automobiles - motorcycles / mopeds</t>
        </is>
      </c>
      <c r="E23" s="31" t="inlineStr">
        <is>
          <t>largecap</t>
        </is>
      </c>
      <c r="F23" s="31" t="n">
        <v>193626.5</v>
      </c>
      <c r="G23" s="31" t="n">
        <v>4208.4</v>
      </c>
      <c r="H23" s="31" t="n">
        <v>3.26</v>
      </c>
      <c r="I23" s="31" t="n">
        <v>2913373</v>
      </c>
      <c r="J23" s="31" t="inlineStr">
        <is>
          <t>532343</t>
        </is>
      </c>
    </row>
    <row r="24">
      <c r="A24" s="31" t="inlineStr">
        <is>
          <t>PRICOLLTD</t>
        </is>
      </c>
      <c r="B24" s="31" t="inlineStr">
        <is>
          <t>Pricol Ltd.</t>
        </is>
      </c>
      <c r="C24" s="31" t="inlineStr">
        <is>
          <t>auto</t>
        </is>
      </c>
      <c r="D24" s="31" t="inlineStr">
        <is>
          <t>auto ancillaries</t>
        </is>
      </c>
      <c r="E24" s="31" t="inlineStr">
        <is>
          <t>midcap</t>
        </is>
      </c>
      <c r="F24" s="31" t="n">
        <v>8050.88</v>
      </c>
      <c r="G24" s="31" t="n">
        <v>681.05</v>
      </c>
      <c r="H24" s="31" t="n">
        <v>3.1</v>
      </c>
      <c r="I24" s="31" t="n">
        <v>1870126</v>
      </c>
      <c r="J24" s="31" t="inlineStr">
        <is>
          <t>540293</t>
        </is>
      </c>
    </row>
    <row r="25">
      <c r="A25" s="31" t="inlineStr">
        <is>
          <t>YASHO</t>
        </is>
      </c>
      <c r="B25" s="31" t="inlineStr">
        <is>
          <t>Yasho Industries Ltd</t>
        </is>
      </c>
      <c r="C25" s="31" t="inlineStr">
        <is>
          <t>chemicals</t>
        </is>
      </c>
      <c r="D25" s="31" t="inlineStr">
        <is>
          <t>chemicals</t>
        </is>
      </c>
      <c r="E25" s="31" t="inlineStr">
        <is>
          <t>smallcap</t>
        </is>
      </c>
      <c r="F25" s="31" t="n">
        <v>3761.61</v>
      </c>
      <c r="G25" s="31" t="n">
        <v>3215.6</v>
      </c>
      <c r="H25" s="31" t="n">
        <v>3.03</v>
      </c>
      <c r="I25" s="31" t="n">
        <v>18010</v>
      </c>
      <c r="J25" s="31" t="inlineStr">
        <is>
          <t>541167</t>
        </is>
      </c>
    </row>
    <row r="26">
      <c r="A26" s="31" t="inlineStr">
        <is>
          <t>SANGAMIND</t>
        </is>
      </c>
      <c r="B26" s="31" t="inlineStr">
        <is>
          <t>Sangam (india) Limited</t>
        </is>
      </c>
      <c r="C26" s="31" t="inlineStr">
        <is>
          <t>textiles</t>
        </is>
      </c>
      <c r="D26" s="31" t="inlineStr">
        <is>
          <t>textiles - spinning - synthetic / blended</t>
        </is>
      </c>
      <c r="E26" s="31" t="inlineStr">
        <is>
          <t>smallcap</t>
        </is>
      </c>
      <c r="F26" s="31" t="n">
        <v>3008.51</v>
      </c>
      <c r="G26" s="31" t="n">
        <v>615.65</v>
      </c>
      <c r="H26" s="31" t="n">
        <v>2.82</v>
      </c>
      <c r="I26" s="31" t="n">
        <v>27405</v>
      </c>
      <c r="J26" s="31" t="inlineStr">
        <is>
          <t>514234</t>
        </is>
      </c>
    </row>
    <row r="27">
      <c r="A27" s="31" t="inlineStr">
        <is>
          <t>COMSYN</t>
        </is>
      </c>
      <c r="B27" s="31" t="inlineStr">
        <is>
          <t>Commercial Syn Bags Ltd</t>
        </is>
      </c>
      <c r="C27" s="31" t="inlineStr">
        <is>
          <t>industrials</t>
        </is>
      </c>
      <c r="D27" s="31" t="inlineStr">
        <is>
          <t>packaging</t>
        </is>
      </c>
      <c r="E27" s="31" t="inlineStr">
        <is>
          <t>smallcap</t>
        </is>
      </c>
      <c r="F27" s="31" t="n">
        <v>838.73</v>
      </c>
      <c r="G27" s="31" t="n">
        <v>213.71</v>
      </c>
      <c r="H27" s="31" t="n">
        <v>2.78</v>
      </c>
      <c r="I27" s="31" t="n">
        <v>5985454</v>
      </c>
      <c r="J27" s="31" t="inlineStr">
        <is>
          <t>539986</t>
        </is>
      </c>
    </row>
    <row r="28">
      <c r="A28" s="31" t="inlineStr">
        <is>
          <t>SETL</t>
        </is>
      </c>
      <c r="B28" s="31" t="inlineStr">
        <is>
          <t>Standard Enginnering Technology Ltd</t>
        </is>
      </c>
      <c r="C28" s="31" t="inlineStr">
        <is>
          <t>industrials</t>
        </is>
      </c>
      <c r="D28" s="31" t="inlineStr">
        <is>
          <t>engineering</t>
        </is>
      </c>
      <c r="E28" s="31" t="inlineStr">
        <is>
          <t>midcap</t>
        </is>
      </c>
      <c r="F28" s="31" t="n">
        <v>5246.63</v>
      </c>
      <c r="G28" s="31" t="n">
        <v>270.25</v>
      </c>
      <c r="H28" s="31" t="n">
        <v>2.76</v>
      </c>
      <c r="I28" s="31" t="n">
        <v>268338</v>
      </c>
      <c r="J28" s="31" t="inlineStr">
        <is>
          <t>544333</t>
        </is>
      </c>
    </row>
    <row r="29">
      <c r="A29" s="31" t="inlineStr">
        <is>
          <t>ARE&amp;M</t>
        </is>
      </c>
      <c r="B29" s="31" t="inlineStr">
        <is>
          <t>Amara Raja Energy &amp; Mobility Ltd</t>
        </is>
      </c>
      <c r="C29" s="31" t="inlineStr">
        <is>
          <t>auto</t>
        </is>
      </c>
      <c r="D29" s="31" t="inlineStr">
        <is>
          <t>auto ancillaries</t>
        </is>
      </c>
      <c r="E29" s="31" t="inlineStr">
        <is>
          <t>midcap</t>
        </is>
      </c>
      <c r="F29" s="31" t="n">
        <v>16159.31</v>
      </c>
      <c r="G29" s="31" t="n">
        <v>906.85</v>
      </c>
      <c r="H29" s="31" t="n">
        <v>2.71</v>
      </c>
      <c r="I29" s="31" t="n">
        <v>1646673</v>
      </c>
      <c r="J29" s="31" t="inlineStr">
        <is>
          <t>500008</t>
        </is>
      </c>
    </row>
    <row r="30">
      <c r="A30" s="31" t="inlineStr">
        <is>
          <t>ALKEM</t>
        </is>
      </c>
      <c r="B30" s="31" t="inlineStr">
        <is>
          <t>Alkem Laboratories Limited</t>
        </is>
      </c>
      <c r="C30" s="31" t="inlineStr">
        <is>
          <t>healthcare</t>
        </is>
      </c>
      <c r="D30" s="31" t="inlineStr">
        <is>
          <t>pharmaceuticals - indian - bulk drugs &amp; formln</t>
        </is>
      </c>
      <c r="E30" s="31" t="inlineStr">
        <is>
          <t>largecap</t>
        </is>
      </c>
      <c r="F30" s="31" t="n">
        <v>67823.25</v>
      </c>
      <c r="G30" s="31" t="n">
        <v>5816.5</v>
      </c>
      <c r="H30" s="31" t="n">
        <v>2.54</v>
      </c>
      <c r="I30" s="31" t="n">
        <v>301501</v>
      </c>
      <c r="J30" s="31" t="inlineStr">
        <is>
          <t>539523</t>
        </is>
      </c>
    </row>
    <row r="31">
      <c r="A31" s="31" t="inlineStr">
        <is>
          <t>KILITCH</t>
        </is>
      </c>
      <c r="B31" s="31" t="inlineStr">
        <is>
          <t>Kilitch Drugs (india) Limited</t>
        </is>
      </c>
      <c r="C31" s="31" t="inlineStr">
        <is>
          <t>healthcare</t>
        </is>
      </c>
      <c r="D31" s="31" t="inlineStr">
        <is>
          <t>pharmaceuticals - indian - formulations</t>
        </is>
      </c>
      <c r="E31" s="31" t="inlineStr">
        <is>
          <t>smallcap</t>
        </is>
      </c>
      <c r="F31" s="31" t="n">
        <v>650.98</v>
      </c>
      <c r="G31" s="31" t="n">
        <v>190.58</v>
      </c>
      <c r="H31" s="31" t="n">
        <v>2.35</v>
      </c>
      <c r="I31" s="31" t="n">
        <v>28634</v>
      </c>
      <c r="J31" s="31" t="inlineStr">
        <is>
          <t>524500</t>
        </is>
      </c>
    </row>
    <row r="32">
      <c r="A32" s="31" t="inlineStr">
        <is>
          <t>AYMSYNTEX</t>
        </is>
      </c>
      <c r="B32" s="31" t="inlineStr">
        <is>
          <t>Aym Syntex Limited</t>
        </is>
      </c>
      <c r="C32" s="31" t="inlineStr">
        <is>
          <t>textiles</t>
        </is>
      </c>
      <c r="D32" s="31" t="inlineStr">
        <is>
          <t>textiles - processing</t>
        </is>
      </c>
      <c r="E32" s="31" t="inlineStr">
        <is>
          <t>smallcap</t>
        </is>
      </c>
      <c r="F32" s="31" t="n">
        <v>1409.27</v>
      </c>
      <c r="G32" s="31" t="n">
        <v>245.46</v>
      </c>
      <c r="H32" s="31" t="n">
        <v>2.3</v>
      </c>
      <c r="I32" s="31" t="n">
        <v>18655</v>
      </c>
      <c r="J32" s="31" t="inlineStr">
        <is>
          <t>508933</t>
        </is>
      </c>
    </row>
    <row r="33">
      <c r="A33" s="31" t="inlineStr">
        <is>
          <t>IIFL</t>
        </is>
      </c>
      <c r="B33" s="31" t="inlineStr">
        <is>
          <t>IIFL Finance Ltd</t>
        </is>
      </c>
      <c r="C33" s="31" t="inlineStr">
        <is>
          <t>financials</t>
        </is>
      </c>
      <c r="D33" s="31" t="inlineStr">
        <is>
          <t>finance &amp; investments</t>
        </is>
      </c>
      <c r="E33" s="31" t="inlineStr">
        <is>
          <t>largecap</t>
        </is>
      </c>
      <c r="F33" s="31" t="n">
        <v>25311.09</v>
      </c>
      <c r="G33" s="31" t="n">
        <v>607.85</v>
      </c>
      <c r="H33" s="31" t="n">
        <v>2.14</v>
      </c>
      <c r="I33" s="31" t="n">
        <v>3846347</v>
      </c>
      <c r="J33" s="31" t="inlineStr">
        <is>
          <t>532636</t>
        </is>
      </c>
    </row>
    <row r="34">
      <c r="A34" s="31" t="inlineStr">
        <is>
          <t>KDDL</t>
        </is>
      </c>
      <c r="B34" s="31" t="inlineStr">
        <is>
          <t>Kddl Limited</t>
        </is>
      </c>
      <c r="C34" s="31" t="inlineStr">
        <is>
          <t>consumer discretionary</t>
        </is>
      </c>
      <c r="D34" s="31" t="inlineStr">
        <is>
          <t>miscellaneous</t>
        </is>
      </c>
      <c r="E34" s="31" t="inlineStr">
        <is>
          <t>smallcap</t>
        </is>
      </c>
      <c r="F34" s="31" t="n">
        <v>3843.4</v>
      </c>
      <c r="G34" s="31" t="n">
        <v>3191.8</v>
      </c>
      <c r="H34" s="31" t="n">
        <v>2.14</v>
      </c>
      <c r="I34" s="31" t="n">
        <v>14594</v>
      </c>
      <c r="J34" s="31" t="inlineStr">
        <is>
          <t>532054</t>
        </is>
      </c>
    </row>
    <row r="35">
      <c r="A35" s="31" t="inlineStr">
        <is>
          <t>CHENNPETRO</t>
        </is>
      </c>
      <c r="B35" s="31" t="inlineStr">
        <is>
          <t>Chennai Petroleum Corporation Limited</t>
        </is>
      </c>
      <c r="C35" s="31" t="inlineStr">
        <is>
          <t>energy</t>
        </is>
      </c>
      <c r="D35" s="31" t="inlineStr">
        <is>
          <t>refineries</t>
        </is>
      </c>
      <c r="E35" s="31" t="inlineStr">
        <is>
          <t>midcap</t>
        </is>
      </c>
      <c r="F35" s="31" t="n">
        <v>18052.53</v>
      </c>
      <c r="G35" s="31" t="n">
        <v>1238.2</v>
      </c>
      <c r="H35" s="31" t="n">
        <v>2.14</v>
      </c>
      <c r="I35" s="31" t="n">
        <v>2988121</v>
      </c>
      <c r="J35" s="31" t="inlineStr">
        <is>
          <t>500110</t>
        </is>
      </c>
    </row>
    <row r="36">
      <c r="A36" s="31" t="inlineStr">
        <is>
          <t>MINDACORP</t>
        </is>
      </c>
      <c r="B36" s="31" t="inlineStr">
        <is>
          <t>Minda Corporation Limited</t>
        </is>
      </c>
      <c r="C36" s="31" t="inlineStr">
        <is>
          <t>auto</t>
        </is>
      </c>
      <c r="D36" s="31" t="inlineStr">
        <is>
          <t>auto ancillaries</t>
        </is>
      </c>
      <c r="E36" s="31" t="inlineStr">
        <is>
          <t>midcap</t>
        </is>
      </c>
      <c r="F36" s="31" t="n">
        <v>16550.27</v>
      </c>
      <c r="G36" s="31" t="n">
        <v>706.9</v>
      </c>
      <c r="H36" s="31" t="n">
        <v>2.12</v>
      </c>
      <c r="I36" s="31" t="n">
        <v>354197</v>
      </c>
      <c r="J36" s="31" t="inlineStr">
        <is>
          <t>538962</t>
        </is>
      </c>
    </row>
    <row r="37">
      <c r="A37" s="31" t="inlineStr">
        <is>
          <t>PAGEIND</t>
        </is>
      </c>
      <c r="B37" s="31" t="inlineStr">
        <is>
          <t>Page Industries Limited</t>
        </is>
      </c>
      <c r="C37" s="31" t="inlineStr">
        <is>
          <t>consumer discretionary</t>
        </is>
      </c>
      <c r="D37" s="31" t="inlineStr">
        <is>
          <t>textiles - products</t>
        </is>
      </c>
      <c r="E37" s="31" t="inlineStr">
        <is>
          <t>largecap</t>
        </is>
      </c>
      <c r="F37" s="31" t="n">
        <v>44916.65</v>
      </c>
      <c r="G37" s="31" t="n">
        <v>41085</v>
      </c>
      <c r="H37" s="31" t="n">
        <v>2.02</v>
      </c>
      <c r="I37" s="31" t="n">
        <v>34842</v>
      </c>
      <c r="J37" s="31" t="inlineStr">
        <is>
          <t>532827</t>
        </is>
      </c>
    </row>
    <row r="38">
      <c r="A38" s="31" t="inlineStr">
        <is>
          <t>OIL</t>
        </is>
      </c>
      <c r="B38" s="31" t="inlineStr">
        <is>
          <t>Oil India Limited</t>
        </is>
      </c>
      <c r="C38" s="31" t="inlineStr">
        <is>
          <t>energy</t>
        </is>
      </c>
      <c r="D38" s="31" t="inlineStr">
        <is>
          <t>oil drilling / allied services</t>
        </is>
      </c>
      <c r="E38" s="31" t="inlineStr">
        <is>
          <t>largecap</t>
        </is>
      </c>
      <c r="F38" s="31" t="n">
        <v>72855.75999999999</v>
      </c>
      <c r="G38" s="31" t="n">
        <v>456.9</v>
      </c>
      <c r="H38" s="31" t="n">
        <v>2.01</v>
      </c>
      <c r="I38" s="31" t="n">
        <v>1592950</v>
      </c>
      <c r="J38" s="31" t="inlineStr">
        <is>
          <t>533106</t>
        </is>
      </c>
    </row>
    <row r="39">
      <c r="A39" s="31" t="inlineStr">
        <is>
          <t>BAFNAPH</t>
        </is>
      </c>
      <c r="B39" s="31" t="inlineStr">
        <is>
          <t>Bafna Pharmaceuticals Ltd</t>
        </is>
      </c>
      <c r="C39" s="31" t="inlineStr">
        <is>
          <t>healthcare</t>
        </is>
      </c>
      <c r="D39" s="31" t="inlineStr">
        <is>
          <t>pharmaceuticals - indian - formulations</t>
        </is>
      </c>
      <c r="E39" s="31" t="inlineStr">
        <is>
          <t>smallcap</t>
        </is>
      </c>
      <c r="F39" s="31" t="n">
        <v>597.8200000000001</v>
      </c>
      <c r="G39" s="31" t="n">
        <v>257.76</v>
      </c>
      <c r="H39" s="31" t="n">
        <v>2</v>
      </c>
      <c r="I39" s="31" t="n">
        <v>268</v>
      </c>
      <c r="J39" s="31" t="inlineStr">
        <is>
          <t>532989</t>
        </is>
      </c>
    </row>
    <row r="40">
      <c r="A40" s="31" t="inlineStr">
        <is>
          <t>PRUDENT</t>
        </is>
      </c>
      <c r="B40" s="31" t="inlineStr">
        <is>
          <t>Prudent Corporate Advisory Services Ltd</t>
        </is>
      </c>
      <c r="C40" s="31" t="inlineStr">
        <is>
          <t>financials</t>
        </is>
      </c>
      <c r="D40" s="31" t="inlineStr">
        <is>
          <t>finance &amp; investments</t>
        </is>
      </c>
      <c r="E40" s="31" t="inlineStr">
        <is>
          <t>midcap</t>
        </is>
      </c>
      <c r="F40" s="31" t="n">
        <v>13078.3</v>
      </c>
      <c r="G40" s="31" t="n">
        <v>3221.4</v>
      </c>
      <c r="H40" s="31" t="n">
        <v>1.99</v>
      </c>
      <c r="I40" s="31" t="n">
        <v>39201</v>
      </c>
      <c r="J40" s="31" t="inlineStr">
        <is>
          <t>543527</t>
        </is>
      </c>
    </row>
    <row r="41">
      <c r="A41" s="31" t="inlineStr">
        <is>
          <t>THYROCARE</t>
        </is>
      </c>
      <c r="B41" s="31" t="inlineStr">
        <is>
          <t>Thyrocare Technologies Limited</t>
        </is>
      </c>
      <c r="C41" s="31" t="inlineStr">
        <is>
          <t>healthcare</t>
        </is>
      </c>
      <c r="D41" s="31" t="inlineStr">
        <is>
          <t>healthcare</t>
        </is>
      </c>
      <c r="E41" s="31" t="inlineStr">
        <is>
          <t>midcap</t>
        </is>
      </c>
      <c r="F41" s="31" t="n">
        <v>9231.59</v>
      </c>
      <c r="G41" s="31" t="n">
        <v>591.45</v>
      </c>
      <c r="H41" s="31" t="n">
        <v>1.97</v>
      </c>
      <c r="I41" s="31" t="n">
        <v>640060</v>
      </c>
      <c r="J41" s="31" t="inlineStr">
        <is>
          <t>539871</t>
        </is>
      </c>
    </row>
    <row r="42">
      <c r="A42" s="31" t="inlineStr">
        <is>
          <t>LOKESHMACH</t>
        </is>
      </c>
      <c r="B42" s="31" t="inlineStr">
        <is>
          <t>Lokesh Machines Limited</t>
        </is>
      </c>
      <c r="C42" s="31" t="inlineStr">
        <is>
          <t>industrials</t>
        </is>
      </c>
      <c r="D42" s="31" t="inlineStr">
        <is>
          <t>engineering</t>
        </is>
      </c>
      <c r="E42" s="31" t="inlineStr">
        <is>
          <t>smallcap</t>
        </is>
      </c>
      <c r="F42" s="31" t="n">
        <v>723.54</v>
      </c>
      <c r="G42" s="31" t="n">
        <v>338.5</v>
      </c>
      <c r="H42" s="31" t="n">
        <v>1.97</v>
      </c>
      <c r="I42" s="31" t="n">
        <v>14274</v>
      </c>
      <c r="J42" s="31" t="inlineStr">
        <is>
          <t>532740</t>
        </is>
      </c>
    </row>
    <row r="43">
      <c r="A43" s="31" t="inlineStr">
        <is>
          <t>STARHEALTH</t>
        </is>
      </c>
      <c r="B43" s="31" t="inlineStr">
        <is>
          <t>Star Health &amp; Allied Insurance Company Ltd</t>
        </is>
      </c>
      <c r="C43" s="31" t="inlineStr">
        <is>
          <t>financials</t>
        </is>
      </c>
      <c r="D43" s="31" t="inlineStr">
        <is>
          <t>finance &amp; investments</t>
        </is>
      </c>
      <c r="E43" s="31" t="inlineStr">
        <is>
          <t>largecap</t>
        </is>
      </c>
      <c r="F43" s="31" t="n">
        <v>35246.93</v>
      </c>
      <c r="G43" s="31" t="n">
        <v>610.4</v>
      </c>
      <c r="H43" s="31" t="n">
        <v>1.93</v>
      </c>
      <c r="I43" s="31" t="n">
        <v>2469630</v>
      </c>
      <c r="J43" s="31" t="inlineStr">
        <is>
          <t>543412</t>
        </is>
      </c>
    </row>
    <row r="44">
      <c r="A44" s="31" t="inlineStr">
        <is>
          <t>M&amp;M</t>
        </is>
      </c>
      <c r="B44" s="31" t="inlineStr">
        <is>
          <t>Mahindra &amp; Mahindra Limited</t>
        </is>
      </c>
      <c r="C44" s="31" t="inlineStr">
        <is>
          <t>auto</t>
        </is>
      </c>
      <c r="D44" s="31" t="inlineStr">
        <is>
          <t>automobiles - passenger cars</t>
        </is>
      </c>
      <c r="E44" s="31" t="inlineStr">
        <is>
          <t>largecap</t>
        </is>
      </c>
      <c r="F44" s="31" t="n">
        <v>400640.12</v>
      </c>
      <c r="G44" s="31" t="n">
        <v>3283.7</v>
      </c>
      <c r="H44" s="31" t="n">
        <v>1.92</v>
      </c>
      <c r="I44" s="31" t="n">
        <v>4851980</v>
      </c>
      <c r="J44" s="31" t="inlineStr">
        <is>
          <t>500520</t>
        </is>
      </c>
    </row>
    <row r="45">
      <c r="A45" s="31" t="inlineStr">
        <is>
          <t>NYKAA</t>
        </is>
      </c>
      <c r="B45" s="31" t="inlineStr">
        <is>
          <t>FSN E-Commerce Ventures Ltd</t>
        </is>
      </c>
      <c r="C45" s="31" t="inlineStr">
        <is>
          <t>i.t</t>
        </is>
      </c>
      <c r="D45" s="31" t="inlineStr">
        <is>
          <t>trading</t>
        </is>
      </c>
      <c r="E45" s="31" t="inlineStr">
        <is>
          <t>largecap</t>
        </is>
      </c>
      <c r="F45" s="31" t="n">
        <v>93790.24000000001</v>
      </c>
      <c r="G45" s="31" t="n">
        <v>333.75</v>
      </c>
      <c r="H45" s="31" t="n">
        <v>1.91</v>
      </c>
      <c r="I45" s="31" t="n">
        <v>8652158</v>
      </c>
      <c r="J45" s="31" t="inlineStr">
        <is>
          <t>543384</t>
        </is>
      </c>
    </row>
    <row r="46">
      <c r="A46" s="31" t="inlineStr">
        <is>
          <t>SMCGLOBAL</t>
        </is>
      </c>
      <c r="B46" s="31" t="inlineStr">
        <is>
          <t>SMC Global Securities Ltd</t>
        </is>
      </c>
      <c r="C46" s="31" t="inlineStr">
        <is>
          <t>financials</t>
        </is>
      </c>
      <c r="D46" s="31" t="inlineStr">
        <is>
          <t>finance &amp; investments</t>
        </is>
      </c>
      <c r="E46" s="31" t="inlineStr">
        <is>
          <t>smallcap</t>
        </is>
      </c>
      <c r="F46" s="31" t="n">
        <v>1675.83</v>
      </c>
      <c r="G46" s="31" t="n">
        <v>81.54000000000001</v>
      </c>
      <c r="H46" s="31" t="n">
        <v>1.89</v>
      </c>
      <c r="I46" s="31" t="n">
        <v>1418168</v>
      </c>
      <c r="J46" s="31" t="inlineStr">
        <is>
          <t>543263</t>
        </is>
      </c>
    </row>
    <row r="47">
      <c r="A47" s="31" t="inlineStr">
        <is>
          <t>COFORGE</t>
        </is>
      </c>
      <c r="B47" s="31" t="inlineStr">
        <is>
          <t>Coforge (Niit Tech) Ltd</t>
        </is>
      </c>
      <c r="C47" s="31" t="inlineStr">
        <is>
          <t>i.t</t>
        </is>
      </c>
      <c r="D47" s="31" t="inlineStr">
        <is>
          <t>computers - software - large</t>
        </is>
      </c>
      <c r="E47" s="31" t="inlineStr">
        <is>
          <t>largecap</t>
        </is>
      </c>
      <c r="F47" s="31" t="n">
        <v>75917.05</v>
      </c>
      <c r="G47" s="31" t="n">
        <v>1746.9</v>
      </c>
      <c r="H47" s="31" t="n">
        <v>1.87</v>
      </c>
      <c r="I47" s="31" t="n">
        <v>5650262</v>
      </c>
      <c r="J47" s="31" t="inlineStr">
        <is>
          <t>532541</t>
        </is>
      </c>
    </row>
    <row r="48">
      <c r="A48" s="31" t="inlineStr">
        <is>
          <t>RBLBANK</t>
        </is>
      </c>
      <c r="B48" s="31" t="inlineStr">
        <is>
          <t>Rbl Bank Limited</t>
        </is>
      </c>
      <c r="C48" s="31" t="inlineStr">
        <is>
          <t>bank</t>
        </is>
      </c>
      <c r="D48" s="31" t="inlineStr">
        <is>
          <t>banks - private sector</t>
        </is>
      </c>
      <c r="E48" s="31" t="inlineStr">
        <is>
          <t>largecap</t>
        </is>
      </c>
      <c r="F48" s="31" t="n">
        <v>57474.73</v>
      </c>
      <c r="G48" s="31" t="n">
        <v>378.05</v>
      </c>
      <c r="H48" s="31" t="n">
        <v>1.86</v>
      </c>
      <c r="I48" s="31" t="n">
        <v>14577462</v>
      </c>
      <c r="J48" s="31" t="inlineStr">
        <is>
          <t>540065</t>
        </is>
      </c>
    </row>
    <row r="49">
      <c r="A49" s="31" t="inlineStr">
        <is>
          <t>TBZ</t>
        </is>
      </c>
      <c r="B49" s="31" t="inlineStr">
        <is>
          <t>Tribhovandas Bhimji Zaveri Limited</t>
        </is>
      </c>
      <c r="C49" s="31" t="inlineStr">
        <is>
          <t>consumer discretionary</t>
        </is>
      </c>
      <c r="D49" s="31" t="inlineStr">
        <is>
          <t>diamond cutting / jewellery</t>
        </is>
      </c>
      <c r="E49" s="31" t="inlineStr">
        <is>
          <t>smallcap</t>
        </is>
      </c>
      <c r="F49" s="31" t="n">
        <v>1831.62</v>
      </c>
      <c r="G49" s="31" t="n">
        <v>279.57</v>
      </c>
      <c r="H49" s="31" t="n">
        <v>1.85</v>
      </c>
      <c r="I49" s="31" t="n">
        <v>2094110</v>
      </c>
      <c r="J49" s="31" t="inlineStr">
        <is>
          <t>534369</t>
        </is>
      </c>
    </row>
    <row r="50">
      <c r="A50" s="31" t="inlineStr">
        <is>
          <t>UNITDSPR</t>
        </is>
      </c>
      <c r="B50" s="31" t="inlineStr">
        <is>
          <t>United Spirits Ltd</t>
        </is>
      </c>
      <c r="C50" s="31" t="inlineStr">
        <is>
          <t>fmcg</t>
        </is>
      </c>
      <c r="D50" s="31" t="inlineStr">
        <is>
          <t>breweries &amp; distilleries</t>
        </is>
      </c>
      <c r="E50" s="31" t="inlineStr">
        <is>
          <t>largecap</t>
        </is>
      </c>
      <c r="F50" s="31" t="n">
        <v>109422.66</v>
      </c>
      <c r="G50" s="31" t="n">
        <v>1531.9</v>
      </c>
      <c r="H50" s="31" t="n">
        <v>1.83</v>
      </c>
      <c r="I50" s="31" t="n">
        <v>1362733</v>
      </c>
      <c r="J50" s="31" t="inlineStr">
        <is>
          <t>532432</t>
        </is>
      </c>
    </row>
    <row r="51">
      <c r="A51" s="31" t="inlineStr">
        <is>
          <t>UNIPARTS</t>
        </is>
      </c>
      <c r="B51" s="31" t="inlineStr">
        <is>
          <t>Uniparts India Ltd</t>
        </is>
      </c>
      <c r="C51" s="31" t="inlineStr">
        <is>
          <t>industrials</t>
        </is>
      </c>
      <c r="D51" s="31" t="inlineStr">
        <is>
          <t>engineering</t>
        </is>
      </c>
      <c r="E51" s="31" t="inlineStr">
        <is>
          <t>smallcap</t>
        </is>
      </c>
      <c r="F51" s="31" t="n">
        <v>3273.1</v>
      </c>
      <c r="G51" s="31" t="n">
        <v>738.2</v>
      </c>
      <c r="H51" s="31" t="n">
        <v>1.81</v>
      </c>
      <c r="I51" s="31" t="n">
        <v>217869</v>
      </c>
      <c r="J51" s="31" t="inlineStr">
        <is>
          <t>543689</t>
        </is>
      </c>
    </row>
    <row r="52">
      <c r="A52" s="31" t="inlineStr">
        <is>
          <t>MARUTI</t>
        </is>
      </c>
      <c r="B52" s="31" t="inlineStr">
        <is>
          <t>Maruti Suzuki India Limited</t>
        </is>
      </c>
      <c r="C52" s="31" t="inlineStr">
        <is>
          <t>auto</t>
        </is>
      </c>
      <c r="D52" s="31" t="inlineStr">
        <is>
          <t>automobiles - passenger cars</t>
        </is>
      </c>
      <c r="E52" s="31" t="inlineStr">
        <is>
          <t>largecap</t>
        </is>
      </c>
      <c r="F52" s="31" t="n">
        <v>438528.71</v>
      </c>
      <c r="G52" s="31" t="n">
        <v>14188</v>
      </c>
      <c r="H52" s="31" t="n">
        <v>1.72</v>
      </c>
      <c r="I52" s="31" t="n">
        <v>626000</v>
      </c>
      <c r="J52" s="31" t="inlineStr">
        <is>
          <t>532500</t>
        </is>
      </c>
    </row>
    <row r="53">
      <c r="A53" s="31" t="inlineStr">
        <is>
          <t>EICHERMOT</t>
        </is>
      </c>
      <c r="B53" s="31" t="inlineStr">
        <is>
          <t>Eicher Motors Limited</t>
        </is>
      </c>
      <c r="C53" s="31" t="inlineStr">
        <is>
          <t>auto</t>
        </is>
      </c>
      <c r="D53" s="31" t="inlineStr">
        <is>
          <t>automobiles - motorcycles / mopeds</t>
        </is>
      </c>
      <c r="E53" s="31" t="inlineStr">
        <is>
          <t>largecap</t>
        </is>
      </c>
      <c r="F53" s="31" t="n">
        <v>213531.63</v>
      </c>
      <c r="G53" s="31" t="n">
        <v>7912.5</v>
      </c>
      <c r="H53" s="31" t="n">
        <v>1.72</v>
      </c>
      <c r="I53" s="31" t="n">
        <v>1496307</v>
      </c>
      <c r="J53" s="31" t="inlineStr">
        <is>
          <t>505200</t>
        </is>
      </c>
    </row>
    <row r="54">
      <c r="A54" s="31" t="inlineStr">
        <is>
          <t>ENTERO</t>
        </is>
      </c>
      <c r="B54" s="31" t="inlineStr">
        <is>
          <t>Entero Healthcare Solutions Ltd</t>
        </is>
      </c>
      <c r="C54" s="31" t="inlineStr">
        <is>
          <t>healthcare</t>
        </is>
      </c>
      <c r="D54" s="31" t="inlineStr">
        <is>
          <t>trading</t>
        </is>
      </c>
      <c r="E54" s="31" t="inlineStr">
        <is>
          <t>midcap</t>
        </is>
      </c>
      <c r="F54" s="31" t="n">
        <v>5319.39</v>
      </c>
      <c r="G54" s="31" t="n">
        <v>1243</v>
      </c>
      <c r="H54" s="31" t="n">
        <v>1.7</v>
      </c>
      <c r="I54" s="31" t="n">
        <v>68054</v>
      </c>
      <c r="J54" s="31" t="inlineStr">
        <is>
          <t>544122</t>
        </is>
      </c>
    </row>
    <row r="55">
      <c r="A55" s="31" t="inlineStr">
        <is>
          <t>RAINBOW</t>
        </is>
      </c>
      <c r="B55" s="31" t="inlineStr">
        <is>
          <t>Rainbow Childrens Medicare Ltd</t>
        </is>
      </c>
      <c r="C55" s="31" t="inlineStr">
        <is>
          <t>healthcare</t>
        </is>
      </c>
      <c r="D55" s="31" t="inlineStr">
        <is>
          <t>healthcare</t>
        </is>
      </c>
      <c r="E55" s="31" t="inlineStr">
        <is>
          <t>midcap</t>
        </is>
      </c>
      <c r="F55" s="31" t="n">
        <v>15200.36</v>
      </c>
      <c r="G55" s="31" t="n">
        <v>1520.6</v>
      </c>
      <c r="H55" s="31" t="n">
        <v>1.6</v>
      </c>
      <c r="I55" s="31" t="n">
        <v>134389</v>
      </c>
      <c r="J55" s="31" t="inlineStr">
        <is>
          <t>543524</t>
        </is>
      </c>
    </row>
    <row r="56">
      <c r="A56" s="31" t="inlineStr">
        <is>
          <t>DREDGECORP</t>
        </is>
      </c>
      <c r="B56" s="31" t="inlineStr">
        <is>
          <t>Dredging Corporation Of India Limited</t>
        </is>
      </c>
      <c r="C56" s="31" t="inlineStr">
        <is>
          <t>miscellaneous</t>
        </is>
      </c>
      <c r="D56" s="31" t="inlineStr">
        <is>
          <t>miscellaneous</t>
        </is>
      </c>
      <c r="E56" s="31" t="inlineStr">
        <is>
          <t>smallcap</t>
        </is>
      </c>
      <c r="F56" s="31" t="n">
        <v>3086.72</v>
      </c>
      <c r="G56" s="31" t="n">
        <v>1120</v>
      </c>
      <c r="H56" s="31" t="n">
        <v>1.6</v>
      </c>
      <c r="I56" s="31" t="n">
        <v>218460</v>
      </c>
      <c r="J56" s="31" t="inlineStr">
        <is>
          <t>523618</t>
        </is>
      </c>
    </row>
    <row r="57">
      <c r="A57" s="31" t="inlineStr">
        <is>
          <t>FIEMIND</t>
        </is>
      </c>
      <c r="B57" s="31" t="inlineStr">
        <is>
          <t>Fiem Industries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midcap</t>
        </is>
      </c>
      <c r="F57" s="31" t="n">
        <v>6135.9</v>
      </c>
      <c r="G57" s="31" t="n">
        <v>2367</v>
      </c>
      <c r="H57" s="31" t="n">
        <v>1.53</v>
      </c>
      <c r="I57" s="31" t="n">
        <v>41563</v>
      </c>
      <c r="J57" s="31" t="inlineStr">
        <is>
          <t>532768</t>
        </is>
      </c>
    </row>
    <row r="58">
      <c r="A58" s="31" t="inlineStr">
        <is>
          <t>TECHM</t>
        </is>
      </c>
      <c r="B58" s="31" t="inlineStr">
        <is>
          <t>Tech Mahindra Limited</t>
        </is>
      </c>
      <c r="C58" s="31" t="inlineStr">
        <is>
          <t>i.t</t>
        </is>
      </c>
      <c r="D58" s="31" t="inlineStr">
        <is>
          <t>computers - software - large</t>
        </is>
      </c>
      <c r="E58" s="31" t="inlineStr">
        <is>
          <t>largecap</t>
        </is>
      </c>
      <c r="F58" s="31" t="n">
        <v>161141.13</v>
      </c>
      <c r="G58" s="31" t="n">
        <v>1669</v>
      </c>
      <c r="H58" s="31" t="n">
        <v>1.51</v>
      </c>
      <c r="I58" s="31" t="n">
        <v>4167643</v>
      </c>
      <c r="J58" s="31" t="inlineStr">
        <is>
          <t>532755</t>
        </is>
      </c>
    </row>
    <row r="59">
      <c r="A59" s="31" t="inlineStr">
        <is>
          <t>INDHOTEL</t>
        </is>
      </c>
      <c r="B59" s="31" t="inlineStr">
        <is>
          <t>The Indian Hotels Company Limited</t>
        </is>
      </c>
      <c r="C59" s="31" t="inlineStr">
        <is>
          <t>services</t>
        </is>
      </c>
      <c r="D59" s="31" t="inlineStr">
        <is>
          <t>hotels</t>
        </is>
      </c>
      <c r="E59" s="31" t="inlineStr">
        <is>
          <t>largecap</t>
        </is>
      </c>
      <c r="F59" s="31" t="n">
        <v>105077.77</v>
      </c>
      <c r="G59" s="31" t="n">
        <v>749.25</v>
      </c>
      <c r="H59" s="31" t="n">
        <v>1.5</v>
      </c>
      <c r="I59" s="31" t="n">
        <v>2223747</v>
      </c>
      <c r="J59" s="31" t="inlineStr">
        <is>
          <t>500850</t>
        </is>
      </c>
    </row>
    <row r="60">
      <c r="A60" s="31" t="inlineStr">
        <is>
          <t>ARROWGREEN</t>
        </is>
      </c>
      <c r="B60" s="31" t="inlineStr">
        <is>
          <t>Arrow Greentech Limited</t>
        </is>
      </c>
      <c r="C60" s="31" t="inlineStr">
        <is>
          <t>plastic products</t>
        </is>
      </c>
      <c r="D60" s="31" t="inlineStr">
        <is>
          <t>plastics products</t>
        </is>
      </c>
      <c r="E60" s="31" t="inlineStr">
        <is>
          <t>smallcap</t>
        </is>
      </c>
      <c r="F60" s="31" t="n">
        <v>1078.41</v>
      </c>
      <c r="G60" s="31" t="n">
        <v>725.3</v>
      </c>
      <c r="H60" s="31" t="n">
        <v>1.48</v>
      </c>
      <c r="I60" s="31" t="n">
        <v>34422</v>
      </c>
      <c r="J60" s="31" t="inlineStr">
        <is>
          <t>516064</t>
        </is>
      </c>
    </row>
    <row r="61">
      <c r="A61" s="31" t="inlineStr">
        <is>
          <t>CREDITACC</t>
        </is>
      </c>
      <c r="B61" s="31" t="inlineStr">
        <is>
          <t>CreditAccess Grameen Ltd</t>
        </is>
      </c>
      <c r="C61" s="31" t="inlineStr">
        <is>
          <t>financials</t>
        </is>
      </c>
      <c r="D61" s="31" t="inlineStr">
        <is>
          <t>finance &amp; investments</t>
        </is>
      </c>
      <c r="E61" s="31" t="inlineStr">
        <is>
          <t>largecap</t>
        </is>
      </c>
      <c r="F61" s="31" t="n">
        <v>25487.68</v>
      </c>
      <c r="G61" s="31" t="n">
        <v>1614</v>
      </c>
      <c r="H61" s="31" t="n">
        <v>1.48</v>
      </c>
      <c r="I61" s="31" t="n">
        <v>567519</v>
      </c>
      <c r="J61" s="31" t="inlineStr">
        <is>
          <t>541770</t>
        </is>
      </c>
    </row>
    <row r="62">
      <c r="A62" s="31" t="inlineStr">
        <is>
          <t>NAZARA</t>
        </is>
      </c>
      <c r="B62" s="31" t="inlineStr">
        <is>
          <t>Nazara Technologies Ltd</t>
        </is>
      </c>
      <c r="C62" s="31" t="inlineStr">
        <is>
          <t>i.t</t>
        </is>
      </c>
      <c r="D62" s="31" t="inlineStr">
        <is>
          <t>telecommunications - service provider</t>
        </is>
      </c>
      <c r="E62" s="31" t="inlineStr">
        <is>
          <t>midcap</t>
        </is>
      </c>
      <c r="F62" s="31" t="n">
        <v>11249.17</v>
      </c>
      <c r="G62" s="31" t="n">
        <v>308.05</v>
      </c>
      <c r="H62" s="31" t="n">
        <v>1.45</v>
      </c>
      <c r="I62" s="31" t="n">
        <v>2274869</v>
      </c>
      <c r="J62" s="31" t="inlineStr">
        <is>
          <t>543280</t>
        </is>
      </c>
    </row>
    <row r="63">
      <c r="A63" s="31" t="inlineStr">
        <is>
          <t>SPECIALITY</t>
        </is>
      </c>
      <c r="B63" s="31" t="inlineStr">
        <is>
          <t>Speciality Restaurants Limited</t>
        </is>
      </c>
      <c r="C63" s="31" t="inlineStr">
        <is>
          <t>services</t>
        </is>
      </c>
      <c r="D63" s="31" t="inlineStr">
        <is>
          <t>hotels</t>
        </is>
      </c>
      <c r="E63" s="31" t="inlineStr">
        <is>
          <t>smallcap</t>
        </is>
      </c>
      <c r="F63" s="31" t="n">
        <v>636.95</v>
      </c>
      <c r="G63" s="31" t="n">
        <v>133.93</v>
      </c>
      <c r="H63" s="31" t="n">
        <v>1.42</v>
      </c>
      <c r="I63" s="31" t="n">
        <v>24584</v>
      </c>
      <c r="J63" s="31" t="inlineStr">
        <is>
          <t>534425</t>
        </is>
      </c>
    </row>
    <row r="64">
      <c r="A64" s="31" t="inlineStr">
        <is>
          <t>CENTURYPLY</t>
        </is>
      </c>
      <c r="B64" s="31" t="inlineStr">
        <is>
          <t>Century Plyboards (india) Limited</t>
        </is>
      </c>
      <c r="C64" s="31" t="inlineStr">
        <is>
          <t>building materials</t>
        </is>
      </c>
      <c r="D64" s="31" t="inlineStr">
        <is>
          <t>miscellaneous</t>
        </is>
      </c>
      <c r="E64" s="31" t="inlineStr">
        <is>
          <t>midcap</t>
        </is>
      </c>
      <c r="F64" s="31" t="n">
        <v>17391.7</v>
      </c>
      <c r="G64" s="31" t="n">
        <v>793.75</v>
      </c>
      <c r="H64" s="31" t="n">
        <v>1.4</v>
      </c>
      <c r="I64" s="31" t="n">
        <v>22233</v>
      </c>
      <c r="J64" s="31" t="inlineStr">
        <is>
          <t>532548</t>
        </is>
      </c>
    </row>
    <row r="65">
      <c r="A65" s="31" t="inlineStr">
        <is>
          <t>CRAFTSMAN</t>
        </is>
      </c>
      <c r="B65" s="31" t="inlineStr">
        <is>
          <t>Craftsman Automation Ltd</t>
        </is>
      </c>
      <c r="C65" s="31" t="inlineStr">
        <is>
          <t>auto</t>
        </is>
      </c>
      <c r="D65" s="31" t="inlineStr">
        <is>
          <t>auto ancillaries</t>
        </is>
      </c>
      <c r="E65" s="31" t="inlineStr">
        <is>
          <t>largecap</t>
        </is>
      </c>
      <c r="F65" s="31" t="n">
        <v>25926.89</v>
      </c>
      <c r="G65" s="31" t="n">
        <v>10047</v>
      </c>
      <c r="H65" s="31" t="n">
        <v>1.35</v>
      </c>
      <c r="I65" s="31" t="n">
        <v>156814</v>
      </c>
      <c r="J65" s="31" t="inlineStr">
        <is>
          <t>543276</t>
        </is>
      </c>
    </row>
    <row r="66">
      <c r="A66" s="31" t="inlineStr">
        <is>
          <t>SIGNPOST</t>
        </is>
      </c>
      <c r="B66" s="31" t="inlineStr">
        <is>
          <t>Signpost India Ltd</t>
        </is>
      </c>
      <c r="C66" s="31" t="inlineStr">
        <is>
          <t>miscellaneous</t>
        </is>
      </c>
      <c r="D66" s="31" t="inlineStr">
        <is>
          <t>miscellaneous</t>
        </is>
      </c>
      <c r="E66" s="31" t="inlineStr">
        <is>
          <t>smallcap</t>
        </is>
      </c>
      <c r="F66" s="31" t="n">
        <v>1641.98</v>
      </c>
      <c r="G66" s="31" t="n">
        <v>311.2</v>
      </c>
      <c r="H66" s="31" t="n">
        <v>1.3</v>
      </c>
      <c r="I66" s="31" t="n">
        <v>66751</v>
      </c>
      <c r="J66" s="31" t="n"/>
    </row>
    <row r="67">
      <c r="A67" s="31" t="inlineStr">
        <is>
          <t>UNIVPHOTO</t>
        </is>
      </c>
      <c r="B67" s="31" t="inlineStr">
        <is>
          <t>Universus Photo Imagings Ltd</t>
        </is>
      </c>
      <c r="C67" s="31" t="inlineStr">
        <is>
          <t>consumer discretionary</t>
        </is>
      </c>
      <c r="D67" s="31" t="inlineStr">
        <is>
          <t>photographic and allied products</t>
        </is>
      </c>
      <c r="E67" s="31" t="inlineStr">
        <is>
          <t>smallcap</t>
        </is>
      </c>
      <c r="F67" s="31" t="n">
        <v>512.6799999999999</v>
      </c>
      <c r="G67" s="31" t="n">
        <v>474.4</v>
      </c>
      <c r="H67" s="31" t="n">
        <v>1.29</v>
      </c>
      <c r="I67" s="31" t="n">
        <v>1709</v>
      </c>
      <c r="J67" s="31" t="inlineStr">
        <is>
          <t>542933</t>
        </is>
      </c>
    </row>
    <row r="68">
      <c r="A68" s="31" t="inlineStr">
        <is>
          <t>JSL</t>
        </is>
      </c>
      <c r="B68" s="31" t="inlineStr">
        <is>
          <t>Jindal Stainless Limited</t>
        </is>
      </c>
      <c r="C68" s="31" t="inlineStr">
        <is>
          <t>metals &amp; mining</t>
        </is>
      </c>
      <c r="D68" s="31" t="inlineStr">
        <is>
          <t>steel - large</t>
        </is>
      </c>
      <c r="E68" s="31" t="inlineStr">
        <is>
          <t>largecap</t>
        </is>
      </c>
      <c r="F68" s="31" t="n">
        <v>60058.97</v>
      </c>
      <c r="G68" s="31" t="n">
        <v>737.75</v>
      </c>
      <c r="H68" s="31" t="n">
        <v>1.27</v>
      </c>
      <c r="I68" s="31" t="n">
        <v>287292</v>
      </c>
      <c r="J68" s="31" t="inlineStr">
        <is>
          <t>532508</t>
        </is>
      </c>
    </row>
    <row r="69">
      <c r="A69" s="31" t="inlineStr">
        <is>
          <t>APLAPOLLO</t>
        </is>
      </c>
      <c r="B69" s="31" t="inlineStr">
        <is>
          <t>Apl Apollo Tubes Limited</t>
        </is>
      </c>
      <c r="C69" s="31" t="inlineStr">
        <is>
          <t>industrials</t>
        </is>
      </c>
      <c r="D69" s="31" t="inlineStr">
        <is>
          <t>steel - large</t>
        </is>
      </c>
      <c r="E69" s="31" t="inlineStr">
        <is>
          <t>largecap</t>
        </is>
      </c>
      <c r="F69" s="31" t="n">
        <v>51916.57</v>
      </c>
      <c r="G69" s="31" t="n">
        <v>1893.1</v>
      </c>
      <c r="H69" s="31" t="n">
        <v>1.25</v>
      </c>
      <c r="I69" s="31" t="n">
        <v>472980</v>
      </c>
      <c r="J69" s="31" t="inlineStr">
        <is>
          <t>533758</t>
        </is>
      </c>
    </row>
    <row r="70">
      <c r="A70" s="31" t="inlineStr">
        <is>
          <t>GODREJIND</t>
        </is>
      </c>
      <c r="B70" s="31" t="inlineStr">
        <is>
          <t>Godrej Industries Limited</t>
        </is>
      </c>
      <c r="C70" s="31" t="inlineStr">
        <is>
          <t>chemicals</t>
        </is>
      </c>
      <c r="D70" s="31" t="inlineStr">
        <is>
          <t>chemicals</t>
        </is>
      </c>
      <c r="E70" s="31" t="inlineStr">
        <is>
          <t>largecap</t>
        </is>
      </c>
      <c r="F70" s="31" t="n">
        <v>43558.97</v>
      </c>
      <c r="G70" s="31" t="n">
        <v>1309.4</v>
      </c>
      <c r="H70" s="31" t="n">
        <v>1.24</v>
      </c>
      <c r="I70" s="31" t="n">
        <v>84816</v>
      </c>
      <c r="J70" s="31" t="inlineStr">
        <is>
          <t>500164</t>
        </is>
      </c>
    </row>
    <row r="71">
      <c r="A71" s="31" t="inlineStr">
        <is>
          <t>TVSHLTD</t>
        </is>
      </c>
      <c r="B71" s="31" t="inlineStr">
        <is>
          <t>TVS Holdings Ltd</t>
        </is>
      </c>
      <c r="C71" s="31" t="inlineStr">
        <is>
          <t>financials</t>
        </is>
      </c>
      <c r="D71" s="31" t="inlineStr">
        <is>
          <t>finance &amp; investments</t>
        </is>
      </c>
      <c r="E71" s="31" t="inlineStr">
        <is>
          <t>largecap</t>
        </is>
      </c>
      <c r="F71" s="31" t="n">
        <v>29949.58</v>
      </c>
      <c r="G71" s="31" t="n">
        <v>14987</v>
      </c>
      <c r="H71" s="31" t="n">
        <v>1.24</v>
      </c>
      <c r="I71" s="31" t="n">
        <v>20821</v>
      </c>
      <c r="J71" s="31" t="inlineStr">
        <is>
          <t>520056</t>
        </is>
      </c>
    </row>
    <row r="72">
      <c r="A72" s="31" t="inlineStr">
        <is>
          <t>SUPRAJIT</t>
        </is>
      </c>
      <c r="B72" s="31" t="inlineStr">
        <is>
          <t>Suprajit Engineering Limited</t>
        </is>
      </c>
      <c r="C72" s="31" t="inlineStr">
        <is>
          <t>auto</t>
        </is>
      </c>
      <c r="D72" s="31" t="inlineStr">
        <is>
          <t>auto ancillaries</t>
        </is>
      </c>
      <c r="E72" s="31" t="inlineStr">
        <is>
          <t>midcap</t>
        </is>
      </c>
      <c r="F72" s="31" t="n">
        <v>6769.4</v>
      </c>
      <c r="G72" s="31" t="n">
        <v>499.45</v>
      </c>
      <c r="H72" s="31" t="n">
        <v>1.21</v>
      </c>
      <c r="I72" s="31" t="n">
        <v>120923</v>
      </c>
      <c r="J72" s="31" t="inlineStr">
        <is>
          <t>532509</t>
        </is>
      </c>
    </row>
    <row r="73">
      <c r="A73" s="31" t="inlineStr">
        <is>
          <t>MAXHEALTH</t>
        </is>
      </c>
      <c r="B73" s="31" t="inlineStr">
        <is>
          <t>Max Healthcare Institute Ltd</t>
        </is>
      </c>
      <c r="C73" s="31" t="inlineStr">
        <is>
          <t>healthcare</t>
        </is>
      </c>
      <c r="D73" s="31" t="inlineStr">
        <is>
          <t>healthcare</t>
        </is>
      </c>
      <c r="E73" s="31" t="inlineStr">
        <is>
          <t>largecap</t>
        </is>
      </c>
      <c r="F73" s="31" t="n">
        <v>108166.31</v>
      </c>
      <c r="G73" s="31" t="n">
        <v>1124.8</v>
      </c>
      <c r="H73" s="31" t="n">
        <v>1.21</v>
      </c>
      <c r="I73" s="31" t="n">
        <v>1610692</v>
      </c>
      <c r="J73" s="31" t="inlineStr">
        <is>
          <t>543220</t>
        </is>
      </c>
    </row>
    <row r="74">
      <c r="A74" s="31" t="inlineStr">
        <is>
          <t>TATATECH</t>
        </is>
      </c>
      <c r="B74" s="31" t="inlineStr">
        <is>
          <t>Tata Technologies Ltd</t>
        </is>
      </c>
      <c r="C74" s="31" t="inlineStr">
        <is>
          <t>i.t</t>
        </is>
      </c>
      <c r="D74" s="31" t="inlineStr">
        <is>
          <t>computers - software - medium / small</t>
        </is>
      </c>
      <c r="E74" s="31" t="inlineStr">
        <is>
          <t>largecap</t>
        </is>
      </c>
      <c r="F74" s="31" t="n">
        <v>30145.29</v>
      </c>
      <c r="G74" s="31" t="n">
        <v>751.35</v>
      </c>
      <c r="H74" s="31" t="n">
        <v>1.21</v>
      </c>
      <c r="I74" s="31" t="n">
        <v>2602699</v>
      </c>
      <c r="J74" s="31" t="inlineStr">
        <is>
          <t>544028</t>
        </is>
      </c>
    </row>
    <row r="75">
      <c r="A75" s="31" t="inlineStr">
        <is>
          <t>ARTEMISMED</t>
        </is>
      </c>
      <c r="B75" s="31" t="inlineStr">
        <is>
          <t>Artemis Medicare Services Ltd</t>
        </is>
      </c>
      <c r="C75" s="31" t="inlineStr">
        <is>
          <t>healthcare</t>
        </is>
      </c>
      <c r="D75" s="31" t="inlineStr">
        <is>
          <t>healthcare</t>
        </is>
      </c>
      <c r="E75" s="31" t="inlineStr">
        <is>
          <t>smallcap</t>
        </is>
      </c>
      <c r="F75" s="31" t="n">
        <v>4727.02</v>
      </c>
      <c r="G75" s="31" t="n">
        <v>302.15</v>
      </c>
      <c r="H75" s="31" t="n">
        <v>1.19</v>
      </c>
      <c r="I75" s="31" t="n">
        <v>587420</v>
      </c>
      <c r="J75" s="31" t="inlineStr">
        <is>
          <t>542919</t>
        </is>
      </c>
    </row>
    <row r="76">
      <c r="A76" s="31" t="inlineStr">
        <is>
          <t>BOSCHLTD</t>
        </is>
      </c>
      <c r="B76" s="31" t="inlineStr">
        <is>
          <t>Bosch Limited</t>
        </is>
      </c>
      <c r="C76" s="31" t="inlineStr">
        <is>
          <t>auto</t>
        </is>
      </c>
      <c r="D76" s="31" t="inlineStr">
        <is>
          <t>auto ancillaries</t>
        </is>
      </c>
      <c r="E76" s="31" t="inlineStr">
        <is>
          <t>largecap</t>
        </is>
      </c>
      <c r="F76" s="31" t="n">
        <v>121125.73</v>
      </c>
      <c r="G76" s="31" t="n">
        <v>41550</v>
      </c>
      <c r="H76" s="31" t="n">
        <v>1.18</v>
      </c>
      <c r="I76" s="31" t="n">
        <v>27710</v>
      </c>
      <c r="J76" s="31" t="inlineStr">
        <is>
          <t>500530</t>
        </is>
      </c>
    </row>
    <row r="77">
      <c r="A77" s="31" t="inlineStr">
        <is>
          <t>AJANTPHARM</t>
        </is>
      </c>
      <c r="B77" s="31" t="inlineStr">
        <is>
          <t>Ajanta Pharma Limited</t>
        </is>
      </c>
      <c r="C77" s="31" t="inlineStr">
        <is>
          <t>healthcare</t>
        </is>
      </c>
      <c r="D77" s="31" t="inlineStr">
        <is>
          <t>pharmaceuticals - indian - formulations</t>
        </is>
      </c>
      <c r="E77" s="31" t="inlineStr">
        <is>
          <t>largecap</t>
        </is>
      </c>
      <c r="F77" s="31" t="n">
        <v>42434.38</v>
      </c>
      <c r="G77" s="31" t="n">
        <v>3436.4</v>
      </c>
      <c r="H77" s="31" t="n">
        <v>1.17</v>
      </c>
      <c r="I77" s="31" t="n">
        <v>401183</v>
      </c>
      <c r="J77" s="31" t="inlineStr">
        <is>
          <t>532331</t>
        </is>
      </c>
    </row>
    <row r="78">
      <c r="A78" s="31" t="inlineStr">
        <is>
          <t>NRL</t>
        </is>
      </c>
      <c r="B78" s="31" t="inlineStr">
        <is>
          <t>Nupur Recyclers Ltd</t>
        </is>
      </c>
      <c r="C78" s="31" t="inlineStr">
        <is>
          <t>services</t>
        </is>
      </c>
      <c r="D78" s="31" t="inlineStr">
        <is>
          <t>trading</t>
        </is>
      </c>
      <c r="E78" s="31" t="inlineStr">
        <is>
          <t>smallcap</t>
        </is>
      </c>
      <c r="F78" s="31" t="n">
        <v>713.48</v>
      </c>
      <c r="G78" s="31" t="n">
        <v>104.5</v>
      </c>
      <c r="H78" s="31" t="n">
        <v>1.16</v>
      </c>
      <c r="I78" s="31" t="n">
        <v>52626</v>
      </c>
      <c r="J78" s="31" t="inlineStr">
        <is>
          <t>535413</t>
        </is>
      </c>
    </row>
    <row r="79">
      <c r="A79" s="31" t="inlineStr">
        <is>
          <t>NESTLEIND</t>
        </is>
      </c>
      <c r="B79" s="31" t="inlineStr">
        <is>
          <t>Nestle India Limited</t>
        </is>
      </c>
      <c r="C79" s="31" t="inlineStr">
        <is>
          <t>fmcg</t>
        </is>
      </c>
      <c r="D79" s="31" t="inlineStr">
        <is>
          <t>food - processing - mnc</t>
        </is>
      </c>
      <c r="E79" s="31" t="inlineStr">
        <is>
          <t>largecap</t>
        </is>
      </c>
      <c r="F79" s="31" t="n">
        <v>289883.49</v>
      </c>
      <c r="G79" s="31" t="n">
        <v>1520.7</v>
      </c>
      <c r="H79" s="31" t="n">
        <v>1.16</v>
      </c>
      <c r="I79" s="31" t="n">
        <v>3698063</v>
      </c>
      <c r="J79" s="31" t="inlineStr">
        <is>
          <t>500790</t>
        </is>
      </c>
    </row>
    <row r="80">
      <c r="A80" s="31" t="inlineStr">
        <is>
          <t>MBAPL</t>
        </is>
      </c>
      <c r="B80" s="31" t="inlineStr">
        <is>
          <t>Madhya Bharat Agro Products Ltd</t>
        </is>
      </c>
      <c r="C80" s="31" t="inlineStr">
        <is>
          <t>chemicals</t>
        </is>
      </c>
      <c r="D80" s="31" t="inlineStr">
        <is>
          <t>fertilizers</t>
        </is>
      </c>
      <c r="E80" s="31" t="inlineStr">
        <is>
          <t>smallcap</t>
        </is>
      </c>
      <c r="F80" s="31" t="n">
        <v>1437.08</v>
      </c>
      <c r="G80" s="31" t="n">
        <v>165.85</v>
      </c>
      <c r="H80" s="31" t="n">
        <v>1.13</v>
      </c>
      <c r="I80" s="31" t="n">
        <v>1459146</v>
      </c>
      <c r="J80" s="31" t="inlineStr">
        <is>
          <t>538370</t>
        </is>
      </c>
    </row>
    <row r="81">
      <c r="A81" s="31" t="inlineStr">
        <is>
          <t>DEEPINDS</t>
        </is>
      </c>
      <c r="B81" s="31" t="inlineStr">
        <is>
          <t>Deep Industries Ltd</t>
        </is>
      </c>
      <c r="C81" s="31" t="inlineStr">
        <is>
          <t>energy</t>
        </is>
      </c>
      <c r="D81" s="31" t="inlineStr">
        <is>
          <t>oil drilling / allied services</t>
        </is>
      </c>
      <c r="E81" s="31" t="inlineStr">
        <is>
          <t>smallcap</t>
        </is>
      </c>
      <c r="F81" s="31" t="n">
        <v>3474.88</v>
      </c>
      <c r="G81" s="31" t="n">
        <v>548.8</v>
      </c>
      <c r="H81" s="31" t="n">
        <v>1.08</v>
      </c>
      <c r="I81" s="31" t="n">
        <v>1503068</v>
      </c>
      <c r="J81" s="31" t="inlineStr">
        <is>
          <t>543288</t>
        </is>
      </c>
    </row>
    <row r="82">
      <c r="A82" s="31" t="inlineStr">
        <is>
          <t>CARERATING</t>
        </is>
      </c>
      <c r="B82" s="31" t="inlineStr">
        <is>
          <t>CARE Ratings Ltd</t>
        </is>
      </c>
      <c r="C82" s="31" t="inlineStr">
        <is>
          <t>financials</t>
        </is>
      </c>
      <c r="D82" s="31" t="inlineStr">
        <is>
          <t>miscellaneous</t>
        </is>
      </c>
      <c r="E82" s="31" t="inlineStr">
        <is>
          <t>midcap</t>
        </is>
      </c>
      <c r="F82" s="31" t="n">
        <v>5079.01</v>
      </c>
      <c r="G82" s="31" t="n">
        <v>1707.6</v>
      </c>
      <c r="H82" s="31" t="n">
        <v>1.07</v>
      </c>
      <c r="I82" s="31" t="n">
        <v>25345</v>
      </c>
      <c r="J82" s="31" t="inlineStr">
        <is>
          <t>534804</t>
        </is>
      </c>
    </row>
    <row r="83">
      <c r="A83" s="31" t="inlineStr">
        <is>
          <t>HNDFDS</t>
        </is>
      </c>
      <c r="B83" s="31" t="inlineStr">
        <is>
          <t>Hindustan Foods Ltd</t>
        </is>
      </c>
      <c r="C83" s="31" t="inlineStr">
        <is>
          <t>fmcg</t>
        </is>
      </c>
      <c r="D83" s="31" t="inlineStr">
        <is>
          <t>diversified - large</t>
        </is>
      </c>
      <c r="E83" s="31" t="inlineStr">
        <is>
          <t>midcap</t>
        </is>
      </c>
      <c r="F83" s="31" t="n">
        <v>6882.04</v>
      </c>
      <c r="G83" s="31" t="n">
        <v>574.05</v>
      </c>
      <c r="H83" s="31" t="n">
        <v>1.07</v>
      </c>
      <c r="I83" s="31" t="n">
        <v>60019</v>
      </c>
      <c r="J83" s="31" t="inlineStr">
        <is>
          <t>519126</t>
        </is>
      </c>
    </row>
    <row r="84">
      <c r="A84" s="31" t="inlineStr">
        <is>
          <t>IGPL</t>
        </is>
      </c>
      <c r="B84" s="31" t="inlineStr">
        <is>
          <t>Ig Petrochemicals Limited</t>
        </is>
      </c>
      <c r="C84" s="31" t="inlineStr">
        <is>
          <t>chemicals</t>
        </is>
      </c>
      <c r="D84" s="31" t="inlineStr">
        <is>
          <t>chemicals</t>
        </is>
      </c>
      <c r="E84" s="31" t="inlineStr">
        <is>
          <t>smallcap</t>
        </is>
      </c>
      <c r="F84" s="31" t="n">
        <v>1427.34</v>
      </c>
      <c r="G84" s="31" t="n">
        <v>468.15</v>
      </c>
      <c r="H84" s="31" t="n">
        <v>1</v>
      </c>
      <c r="I84" s="31" t="n">
        <v>26578</v>
      </c>
      <c r="J84" s="31" t="inlineStr">
        <is>
          <t>500199</t>
        </is>
      </c>
    </row>
    <row r="85">
      <c r="A85" s="31" t="inlineStr">
        <is>
          <t>PFIZER</t>
        </is>
      </c>
      <c r="B85" s="31" t="inlineStr">
        <is>
          <t>Pfizer Limited</t>
        </is>
      </c>
      <c r="C85" s="31" t="inlineStr">
        <is>
          <t>healthcare</t>
        </is>
      </c>
      <c r="D85" s="31" t="inlineStr">
        <is>
          <t>pharmaceuticals - multinational</t>
        </is>
      </c>
      <c r="E85" s="31" t="inlineStr">
        <is>
          <t>largecap</t>
        </is>
      </c>
      <c r="F85" s="31" t="n">
        <v>21753.5</v>
      </c>
      <c r="G85" s="31" t="n">
        <v>4801.3</v>
      </c>
      <c r="H85" s="31" t="n">
        <v>0.97</v>
      </c>
      <c r="I85" s="31" t="n">
        <v>27710</v>
      </c>
      <c r="J85" s="31" t="inlineStr">
        <is>
          <t>500680</t>
        </is>
      </c>
    </row>
    <row r="86">
      <c r="A86" s="31" t="inlineStr">
        <is>
          <t>KALYANKJIL</t>
        </is>
      </c>
      <c r="B86" s="31" t="inlineStr">
        <is>
          <t>Kalyan Jewellers India Ltd</t>
        </is>
      </c>
      <c r="C86" s="31" t="inlineStr">
        <is>
          <t>consumer discretionary</t>
        </is>
      </c>
      <c r="D86" s="31" t="inlineStr">
        <is>
          <t>diamond cutting / jewellery</t>
        </is>
      </c>
      <c r="E86" s="31" t="inlineStr">
        <is>
          <t>largecap</t>
        </is>
      </c>
      <c r="F86" s="31" t="n">
        <v>64918.05</v>
      </c>
      <c r="G86" s="31" t="n">
        <v>634.6</v>
      </c>
      <c r="H86" s="31" t="n">
        <v>0.95</v>
      </c>
      <c r="I86" s="31" t="n">
        <v>32636519</v>
      </c>
      <c r="J86" s="31" t="inlineStr">
        <is>
          <t>543278</t>
        </is>
      </c>
    </row>
    <row r="87">
      <c r="A87" s="31" t="inlineStr">
        <is>
          <t>JINDWORLD</t>
        </is>
      </c>
      <c r="B87" s="31" t="inlineStr">
        <is>
          <t>Jindal Worldwide Limited</t>
        </is>
      </c>
      <c r="C87" s="31" t="inlineStr">
        <is>
          <t>textiles</t>
        </is>
      </c>
      <c r="D87" s="31" t="inlineStr">
        <is>
          <t>textiles - products</t>
        </is>
      </c>
      <c r="E87" s="31" t="inlineStr">
        <is>
          <t>smallcap</t>
        </is>
      </c>
      <c r="F87" s="31" t="n">
        <v>3825.93</v>
      </c>
      <c r="G87" s="31" t="n">
        <v>38.51</v>
      </c>
      <c r="H87" s="31" t="n">
        <v>0.92</v>
      </c>
      <c r="I87" s="31" t="n">
        <v>6977339</v>
      </c>
      <c r="J87" s="31" t="inlineStr">
        <is>
          <t>531543</t>
        </is>
      </c>
    </row>
    <row r="88">
      <c r="A88" s="31" t="inlineStr">
        <is>
          <t>CARYSIL</t>
        </is>
      </c>
      <c r="B88" s="31" t="inlineStr">
        <is>
          <t>Carysil Ltd</t>
        </is>
      </c>
      <c r="C88" s="31" t="inlineStr">
        <is>
          <t>consumer discretionary</t>
        </is>
      </c>
      <c r="D88" s="31" t="inlineStr">
        <is>
          <t>domestic appliances</t>
        </is>
      </c>
      <c r="E88" s="31" t="inlineStr">
        <is>
          <t>smallcap</t>
        </is>
      </c>
      <c r="F88" s="31" t="n">
        <v>3351.68</v>
      </c>
      <c r="G88" s="31" t="n">
        <v>1189</v>
      </c>
      <c r="H88" s="31" t="n">
        <v>0.9</v>
      </c>
      <c r="I88" s="31" t="n">
        <v>57602</v>
      </c>
      <c r="J88" s="31" t="inlineStr">
        <is>
          <t>524091</t>
        </is>
      </c>
    </row>
    <row r="89">
      <c r="A89" s="31" t="inlineStr">
        <is>
          <t>ONEPOINT</t>
        </is>
      </c>
      <c r="B89" s="31" t="inlineStr">
        <is>
          <t>One Point One Solutions Ltd</t>
        </is>
      </c>
      <c r="C89" s="31" t="inlineStr">
        <is>
          <t>i.t</t>
        </is>
      </c>
      <c r="D89" s="31" t="inlineStr">
        <is>
          <t>computers - software - medium / small</t>
        </is>
      </c>
      <c r="E89" s="31" t="inlineStr">
        <is>
          <t>smallcap</t>
        </is>
      </c>
      <c r="F89" s="31" t="n">
        <v>1487.43</v>
      </c>
      <c r="G89" s="31" t="n">
        <v>57.08</v>
      </c>
      <c r="H89" s="31" t="n">
        <v>0.9</v>
      </c>
      <c r="I89" s="31" t="n">
        <v>878679</v>
      </c>
      <c r="J89" s="31" t="inlineStr">
        <is>
          <t>535039</t>
        </is>
      </c>
    </row>
    <row r="90">
      <c r="A90" s="31" t="inlineStr">
        <is>
          <t>NGLFINE</t>
        </is>
      </c>
      <c r="B90" s="31" t="inlineStr">
        <is>
          <t>NGL Fine Chem Ltd</t>
        </is>
      </c>
      <c r="C90" s="31" t="inlineStr">
        <is>
          <t>healthcare</t>
        </is>
      </c>
      <c r="D90" s="31" t="inlineStr">
        <is>
          <t>pharmaceuticals - indian - bulk drugs</t>
        </is>
      </c>
      <c r="E90" s="31" t="inlineStr">
        <is>
          <t>smallcap</t>
        </is>
      </c>
      <c r="F90" s="31" t="n">
        <v>2008.78</v>
      </c>
      <c r="G90" s="31" t="n">
        <v>3280</v>
      </c>
      <c r="H90" s="31" t="n">
        <v>0.88</v>
      </c>
      <c r="I90" s="31" t="n">
        <v>3675</v>
      </c>
      <c r="J90" s="31" t="inlineStr">
        <is>
          <t>524774</t>
        </is>
      </c>
    </row>
    <row r="91">
      <c r="A91" s="31" t="inlineStr">
        <is>
          <t>GOKULAGRO</t>
        </is>
      </c>
      <c r="B91" s="31" t="inlineStr">
        <is>
          <t>Gokul Agro Resources Limited</t>
        </is>
      </c>
      <c r="C91" s="31" t="inlineStr">
        <is>
          <t>fmcg</t>
        </is>
      </c>
      <c r="D91" s="31" t="inlineStr">
        <is>
          <t>solvent extraction</t>
        </is>
      </c>
      <c r="E91" s="31" t="inlineStr">
        <is>
          <t>midcap</t>
        </is>
      </c>
      <c r="F91" s="31" t="n">
        <v>6586.34</v>
      </c>
      <c r="G91" s="31" t="n">
        <v>225.15</v>
      </c>
      <c r="H91" s="31" t="n">
        <v>0.87</v>
      </c>
      <c r="I91" s="31" t="n">
        <v>3418850</v>
      </c>
      <c r="J91" s="31" t="inlineStr">
        <is>
          <t>539725</t>
        </is>
      </c>
    </row>
    <row r="92">
      <c r="A92" s="31" t="inlineStr">
        <is>
          <t>ASIANENE</t>
        </is>
      </c>
      <c r="B92" s="31" t="inlineStr">
        <is>
          <t>Asian Energy Services Ltd</t>
        </is>
      </c>
      <c r="C92" s="31" t="inlineStr">
        <is>
          <t>energy</t>
        </is>
      </c>
      <c r="D92" s="31" t="inlineStr">
        <is>
          <t>oil drilling / allied services</t>
        </is>
      </c>
      <c r="E92" s="31" t="inlineStr">
        <is>
          <t>smallcap</t>
        </is>
      </c>
      <c r="F92" s="31" t="n">
        <v>1890.96</v>
      </c>
      <c r="G92" s="31" t="n">
        <v>392.25</v>
      </c>
      <c r="H92" s="31" t="n">
        <v>0.87</v>
      </c>
      <c r="I92" s="31" t="n">
        <v>721100</v>
      </c>
      <c r="J92" s="31" t="inlineStr">
        <is>
          <t>530355</t>
        </is>
      </c>
    </row>
    <row r="93">
      <c r="A93" s="31" t="inlineStr">
        <is>
          <t>KERNEX</t>
        </is>
      </c>
      <c r="B93" s="31" t="inlineStr">
        <is>
          <t>Kernex Microsystems (india) Limited</t>
        </is>
      </c>
      <c r="C93" s="31" t="inlineStr">
        <is>
          <t>consumer discretionary</t>
        </is>
      </c>
      <c r="D93" s="31" t="inlineStr">
        <is>
          <t>electronics - components</t>
        </is>
      </c>
      <c r="E93" s="31" t="inlineStr">
        <is>
          <t>smallcap</t>
        </is>
      </c>
      <c r="F93" s="31" t="n">
        <v>3690.08</v>
      </c>
      <c r="G93" s="31" t="n">
        <v>2215.1</v>
      </c>
      <c r="H93" s="31" t="n">
        <v>0.87</v>
      </c>
      <c r="I93" s="31" t="n">
        <v>82515</v>
      </c>
      <c r="J93" s="31" t="inlineStr">
        <is>
          <t>532686</t>
        </is>
      </c>
    </row>
    <row r="94">
      <c r="A94" s="31" t="inlineStr">
        <is>
          <t>BAJAJ-AUTO</t>
        </is>
      </c>
      <c r="B94" s="31" t="inlineStr">
        <is>
          <t>Bajaj Auto Limited</t>
        </is>
      </c>
      <c r="C94" s="31" t="inlineStr">
        <is>
          <t>auto</t>
        </is>
      </c>
      <c r="D94" s="31" t="inlineStr">
        <is>
          <t>automobiles - scooters and 3 - wheelers</t>
        </is>
      </c>
      <c r="E94" s="31" t="inlineStr">
        <is>
          <t>largecap</t>
        </is>
      </c>
      <c r="F94" s="31" t="n">
        <v>316894.65</v>
      </c>
      <c r="G94" s="31" t="n">
        <v>11432</v>
      </c>
      <c r="H94" s="31" t="n">
        <v>0.83</v>
      </c>
      <c r="I94" s="31" t="n">
        <v>295600</v>
      </c>
      <c r="J94" s="31" t="inlineStr">
        <is>
          <t>532977</t>
        </is>
      </c>
    </row>
    <row r="95">
      <c r="A95" s="31" t="inlineStr">
        <is>
          <t>RAMRAT</t>
        </is>
      </c>
      <c r="B95" s="31" t="inlineStr">
        <is>
          <t>Ram Ratna Wires Ltd</t>
        </is>
      </c>
      <c r="C95" s="31" t="inlineStr">
        <is>
          <t>metals &amp; mining</t>
        </is>
      </c>
      <c r="D95" s="31" t="inlineStr">
        <is>
          <t>mining / minerals / metals</t>
        </is>
      </c>
      <c r="E95" s="31" t="inlineStr">
        <is>
          <t>smallcap</t>
        </is>
      </c>
      <c r="F95" s="31" t="n">
        <v>4261.39</v>
      </c>
      <c r="G95" s="31" t="n">
        <v>460.25</v>
      </c>
      <c r="H95" s="31" t="n">
        <v>0.82</v>
      </c>
      <c r="I95" s="31" t="n">
        <v>232210</v>
      </c>
      <c r="J95" s="31" t="inlineStr">
        <is>
          <t>522281</t>
        </is>
      </c>
    </row>
    <row r="96">
      <c r="A96" s="31" t="inlineStr">
        <is>
          <t>ASHIANA</t>
        </is>
      </c>
      <c r="B96" s="31" t="inlineStr">
        <is>
          <t>Ashiana Housing Limited</t>
        </is>
      </c>
      <c r="C96" s="31" t="inlineStr">
        <is>
          <t>realty</t>
        </is>
      </c>
      <c r="D96" s="31" t="inlineStr">
        <is>
          <t>construction</t>
        </is>
      </c>
      <c r="E96" s="31" t="inlineStr">
        <is>
          <t>smallcap</t>
        </is>
      </c>
      <c r="F96" s="31" t="n">
        <v>3856.64</v>
      </c>
      <c r="G96" s="31" t="n">
        <v>386.55</v>
      </c>
      <c r="H96" s="31" t="n">
        <v>0.76</v>
      </c>
      <c r="I96" s="31" t="n">
        <v>47280</v>
      </c>
      <c r="J96" s="31" t="inlineStr">
        <is>
          <t>523716</t>
        </is>
      </c>
    </row>
    <row r="97">
      <c r="A97" s="31" t="inlineStr">
        <is>
          <t>MARICO</t>
        </is>
      </c>
      <c r="B97" s="31" t="inlineStr">
        <is>
          <t>Marico Limited</t>
        </is>
      </c>
      <c r="C97" s="31" t="inlineStr">
        <is>
          <t>fmcg</t>
        </is>
      </c>
      <c r="D97" s="31" t="inlineStr">
        <is>
          <t>solvent extraction</t>
        </is>
      </c>
      <c r="E97" s="31" t="inlineStr">
        <is>
          <t>largecap</t>
        </is>
      </c>
      <c r="F97" s="31" t="n">
        <v>114089.21</v>
      </c>
      <c r="G97" s="31" t="n">
        <v>885.35</v>
      </c>
      <c r="H97" s="31" t="n">
        <v>0.76</v>
      </c>
      <c r="I97" s="31" t="n">
        <v>1881026</v>
      </c>
      <c r="J97" s="31" t="inlineStr">
        <is>
          <t>531642</t>
        </is>
      </c>
    </row>
    <row r="98">
      <c r="A98" s="31" t="inlineStr">
        <is>
          <t>ENDURANCE</t>
        </is>
      </c>
      <c r="B98" s="31" t="inlineStr">
        <is>
          <t>Endurance Technologies Limited</t>
        </is>
      </c>
      <c r="C98" s="31" t="inlineStr">
        <is>
          <t>auto</t>
        </is>
      </c>
      <c r="D98" s="31" t="inlineStr">
        <is>
          <t>auto ancillaries</t>
        </is>
      </c>
      <c r="E98" s="31" t="inlineStr">
        <is>
          <t>largecap</t>
        </is>
      </c>
      <c r="F98" s="31" t="n">
        <v>39150.69</v>
      </c>
      <c r="G98" s="31" t="n">
        <v>2804.3</v>
      </c>
      <c r="H98" s="31" t="n">
        <v>0.75</v>
      </c>
      <c r="I98" s="31" t="n">
        <v>203719</v>
      </c>
      <c r="J98" s="31" t="inlineStr">
        <is>
          <t>540153</t>
        </is>
      </c>
    </row>
    <row r="99">
      <c r="A99" s="31" t="inlineStr">
        <is>
          <t>QUESS</t>
        </is>
      </c>
      <c r="B99" s="31" t="inlineStr">
        <is>
          <t>Quess Corp Limited</t>
        </is>
      </c>
      <c r="C99" s="31" t="inlineStr">
        <is>
          <t>miscellaneous</t>
        </is>
      </c>
      <c r="D99" s="31" t="inlineStr">
        <is>
          <t>diversified - large</t>
        </is>
      </c>
      <c r="E99" s="31" t="inlineStr">
        <is>
          <t>smallcap</t>
        </is>
      </c>
      <c r="F99" s="31" t="n">
        <v>4591.32</v>
      </c>
      <c r="G99" s="31" t="n">
        <v>309.7</v>
      </c>
      <c r="H99" s="31" t="n">
        <v>0.75</v>
      </c>
      <c r="I99" s="31" t="n">
        <v>2273940</v>
      </c>
      <c r="J99" s="31" t="inlineStr">
        <is>
          <t>539978</t>
        </is>
      </c>
    </row>
    <row r="100">
      <c r="A100" s="31" t="inlineStr">
        <is>
          <t>DIVISLAB</t>
        </is>
      </c>
      <c r="B100" s="31" t="inlineStr">
        <is>
          <t>Divi's Laboratories Limited</t>
        </is>
      </c>
      <c r="C100" s="31" t="inlineStr">
        <is>
          <t>healthcare</t>
        </is>
      </c>
      <c r="D100" s="31" t="inlineStr">
        <is>
          <t>pharmaceuticals - indian - bulk drugs</t>
        </is>
      </c>
      <c r="E100" s="31" t="inlineStr">
        <is>
          <t>largecap</t>
        </is>
      </c>
      <c r="F100" s="31" t="n">
        <v>206654.02</v>
      </c>
      <c r="G100" s="31" t="n">
        <v>7835</v>
      </c>
      <c r="H100" s="31" t="n">
        <v>0.65</v>
      </c>
      <c r="I100" s="31" t="n">
        <v>651446</v>
      </c>
      <c r="J100" s="31" t="inlineStr">
        <is>
          <t>532488</t>
        </is>
      </c>
    </row>
    <row r="101">
      <c r="A101" s="31" t="inlineStr">
        <is>
          <t>HITECHCORP</t>
        </is>
      </c>
      <c r="B101" s="31" t="inlineStr">
        <is>
          <t>Hitech Corporation</t>
        </is>
      </c>
      <c r="C101" s="31" t="inlineStr">
        <is>
          <t>industrials</t>
        </is>
      </c>
      <c r="D101" s="31" t="inlineStr">
        <is>
          <t>packaging</t>
        </is>
      </c>
      <c r="E101" s="31" t="inlineStr">
        <is>
          <t>smallcap</t>
        </is>
      </c>
      <c r="F101" s="31" t="n">
        <v>549.62</v>
      </c>
      <c r="G101" s="31" t="n">
        <v>322</v>
      </c>
      <c r="H101" s="31" t="n">
        <v>0.63</v>
      </c>
      <c r="I101" s="31" t="n">
        <v>5949</v>
      </c>
      <c r="J101" s="31" t="inlineStr">
        <is>
          <t>526217</t>
        </is>
      </c>
    </row>
    <row r="102">
      <c r="A102" s="31" t="inlineStr">
        <is>
          <t>KAPSTON</t>
        </is>
      </c>
      <c r="B102" s="31" t="inlineStr">
        <is>
          <t>Kapston Services Ltd</t>
        </is>
      </c>
      <c r="C102" s="31" t="inlineStr">
        <is>
          <t>miscellaneous</t>
        </is>
      </c>
      <c r="D102" s="31" t="inlineStr">
        <is>
          <t>miscellaneous</t>
        </is>
      </c>
      <c r="E102" s="31" t="inlineStr">
        <is>
          <t>smallcap</t>
        </is>
      </c>
      <c r="F102" s="31" t="n">
        <v>1403.68</v>
      </c>
      <c r="G102" s="31" t="n">
        <v>464</v>
      </c>
      <c r="H102" s="31" t="n">
        <v>0.6</v>
      </c>
      <c r="I102" s="31" t="n">
        <v>28409</v>
      </c>
      <c r="J102" s="31" t="inlineStr">
        <is>
          <t>535064</t>
        </is>
      </c>
    </row>
    <row r="103">
      <c r="A103" s="31" t="inlineStr">
        <is>
          <t>APOLLOHOSP</t>
        </is>
      </c>
      <c r="B103" s="31" t="inlineStr">
        <is>
          <t>Apollo Hospitals Enterprise Limited</t>
        </is>
      </c>
      <c r="C103" s="31" t="inlineStr">
        <is>
          <t>healthcare</t>
        </is>
      </c>
      <c r="D103" s="31" t="inlineStr">
        <is>
          <t>healthcare</t>
        </is>
      </c>
      <c r="E103" s="31" t="inlineStr">
        <is>
          <t>largecap</t>
        </is>
      </c>
      <c r="F103" s="31" t="n">
        <v>128471.59</v>
      </c>
      <c r="G103" s="31" t="n">
        <v>8988</v>
      </c>
      <c r="H103" s="31" t="n">
        <v>0.59</v>
      </c>
      <c r="I103" s="31" t="n">
        <v>263013</v>
      </c>
      <c r="J103" s="31" t="inlineStr">
        <is>
          <t>508869</t>
        </is>
      </c>
    </row>
    <row r="104">
      <c r="A104" s="31" t="inlineStr">
        <is>
          <t>HUHTAMAKI</t>
        </is>
      </c>
      <c r="B104" s="31" t="inlineStr">
        <is>
          <t>Huhtamaki India Ltd</t>
        </is>
      </c>
      <c r="C104" s="31" t="inlineStr">
        <is>
          <t>industrials</t>
        </is>
      </c>
      <c r="D104" s="31" t="inlineStr">
        <is>
          <t>packaging</t>
        </is>
      </c>
      <c r="E104" s="31" t="inlineStr">
        <is>
          <t>smallcap</t>
        </is>
      </c>
      <c r="F104" s="31" t="n">
        <v>2242.17</v>
      </c>
      <c r="G104" s="31" t="n">
        <v>298.58</v>
      </c>
      <c r="H104" s="31" t="n">
        <v>0.57</v>
      </c>
      <c r="I104" s="31" t="n">
        <v>470725</v>
      </c>
      <c r="J104" s="31" t="inlineStr">
        <is>
          <t>509820</t>
        </is>
      </c>
    </row>
    <row r="105">
      <c r="A105" s="31" t="inlineStr">
        <is>
          <t>PERSISTENT</t>
        </is>
      </c>
      <c r="B105" s="31" t="inlineStr">
        <is>
          <t>Persistent Systems Limited</t>
        </is>
      </c>
      <c r="C105" s="31" t="inlineStr">
        <is>
          <t>i.t</t>
        </is>
      </c>
      <c r="D105" s="31" t="inlineStr">
        <is>
          <t>computers - software - large</t>
        </is>
      </c>
      <c r="E105" s="31" t="inlineStr">
        <is>
          <t>largecap</t>
        </is>
      </c>
      <c r="F105" s="31" t="n">
        <v>86499.06</v>
      </c>
      <c r="G105" s="31" t="n">
        <v>5514.7</v>
      </c>
      <c r="H105" s="31" t="n">
        <v>0.57</v>
      </c>
      <c r="I105" s="31" t="n">
        <v>1194100</v>
      </c>
      <c r="J105" s="31" t="inlineStr">
        <is>
          <t>533179</t>
        </is>
      </c>
    </row>
    <row r="106">
      <c r="A106" s="31" t="inlineStr">
        <is>
          <t>IRISDOREME</t>
        </is>
      </c>
      <c r="B106" s="31" t="inlineStr">
        <is>
          <t>Iris Clothings Ltd</t>
        </is>
      </c>
      <c r="C106" s="31" t="inlineStr">
        <is>
          <t>consumer discretionary</t>
        </is>
      </c>
      <c r="D106" s="31" t="inlineStr">
        <is>
          <t>textiles - products</t>
        </is>
      </c>
      <c r="E106" s="31" t="inlineStr">
        <is>
          <t>smallcap</t>
        </is>
      </c>
      <c r="F106" s="31" t="n">
        <v>939.29</v>
      </c>
      <c r="G106" s="31" t="n">
        <v>49.63</v>
      </c>
      <c r="H106" s="31" t="n">
        <v>0.57</v>
      </c>
      <c r="I106" s="31" t="n">
        <v>509292</v>
      </c>
      <c r="J106" s="31" t="inlineStr">
        <is>
          <t>535123</t>
        </is>
      </c>
    </row>
    <row r="107">
      <c r="A107" s="31" t="inlineStr">
        <is>
          <t>ABDL</t>
        </is>
      </c>
      <c r="B107" s="31" t="inlineStr">
        <is>
          <t>Allied Blenders &amp; Distillers Ltd</t>
        </is>
      </c>
      <c r="C107" s="31" t="inlineStr">
        <is>
          <t>fmcg</t>
        </is>
      </c>
      <c r="D107" s="31" t="inlineStr">
        <is>
          <t>breweries &amp; distilleries</t>
        </is>
      </c>
      <c r="E107" s="31" t="inlineStr">
        <is>
          <t>midcap</t>
        </is>
      </c>
      <c r="F107" s="31" t="n">
        <v>18035.71</v>
      </c>
      <c r="G107" s="31" t="n">
        <v>648.45</v>
      </c>
      <c r="H107" s="31" t="n">
        <v>0.57</v>
      </c>
      <c r="I107" s="31" t="n">
        <v>318327</v>
      </c>
      <c r="J107" s="31" t="inlineStr">
        <is>
          <t>544203</t>
        </is>
      </c>
    </row>
    <row r="108">
      <c r="A108" s="31" t="inlineStr">
        <is>
          <t>ACE</t>
        </is>
      </c>
      <c r="B108" s="31" t="inlineStr">
        <is>
          <t>Action Construction Equipment Limited</t>
        </is>
      </c>
      <c r="C108" s="31" t="inlineStr">
        <is>
          <t>industrials</t>
        </is>
      </c>
      <c r="D108" s="31" t="inlineStr">
        <is>
          <t>engineering</t>
        </is>
      </c>
      <c r="E108" s="31" t="inlineStr">
        <is>
          <t>midcap</t>
        </is>
      </c>
      <c r="F108" s="31" t="n">
        <v>12519.22</v>
      </c>
      <c r="G108" s="31" t="n">
        <v>1057.2</v>
      </c>
      <c r="H108" s="31" t="n">
        <v>0.5600000000000001</v>
      </c>
      <c r="I108" s="31" t="n">
        <v>236732</v>
      </c>
      <c r="J108" s="31" t="inlineStr">
        <is>
          <t>532762</t>
        </is>
      </c>
    </row>
    <row r="109">
      <c r="A109" s="31" t="inlineStr">
        <is>
          <t>SHRIPISTON</t>
        </is>
      </c>
      <c r="B109" s="31" t="inlineStr">
        <is>
          <t>Shriram Pistons &amp; Rings Limited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midcap</t>
        </is>
      </c>
      <c r="F109" s="31" t="n">
        <v>19008.38</v>
      </c>
      <c r="G109" s="31" t="n">
        <v>4339.5</v>
      </c>
      <c r="H109" s="31" t="n">
        <v>0.5600000000000001</v>
      </c>
      <c r="I109" s="31" t="n">
        <v>29052</v>
      </c>
      <c r="J109" s="31" t="n"/>
    </row>
    <row r="110">
      <c r="A110" s="31" t="inlineStr">
        <is>
          <t>SUNPHARMA</t>
        </is>
      </c>
      <c r="B110" s="31" t="inlineStr">
        <is>
          <t>Sun Pharmaceuticals Industries Limited</t>
        </is>
      </c>
      <c r="C110" s="31" t="inlineStr">
        <is>
          <t>healthcare</t>
        </is>
      </c>
      <c r="D110" s="31" t="inlineStr">
        <is>
          <t>pharmaceuticals - indian - bulk drugs &amp; formln</t>
        </is>
      </c>
      <c r="E110" s="31" t="inlineStr">
        <is>
          <t>largecap</t>
        </is>
      </c>
      <c r="F110" s="31" t="n">
        <v>477443.67</v>
      </c>
      <c r="G110" s="31" t="n">
        <v>2001.1</v>
      </c>
      <c r="H110" s="31" t="n">
        <v>0.5600000000000001</v>
      </c>
      <c r="I110" s="31" t="n">
        <v>2224264</v>
      </c>
      <c r="J110" s="31" t="inlineStr">
        <is>
          <t>524715</t>
        </is>
      </c>
    </row>
    <row r="111">
      <c r="A111" s="31" t="inlineStr">
        <is>
          <t>SUNDRMFAST</t>
        </is>
      </c>
      <c r="B111" s="31" t="inlineStr">
        <is>
          <t>Sundram Fasteners Limited</t>
        </is>
      </c>
      <c r="C111" s="31" t="inlineStr">
        <is>
          <t>auto</t>
        </is>
      </c>
      <c r="D111" s="31" t="inlineStr">
        <is>
          <t>auto ancillaries</t>
        </is>
      </c>
      <c r="E111" s="31" t="inlineStr">
        <is>
          <t>largecap</t>
        </is>
      </c>
      <c r="F111" s="31" t="n">
        <v>20192.29</v>
      </c>
      <c r="G111" s="31" t="n">
        <v>966.15</v>
      </c>
      <c r="H111" s="31" t="n">
        <v>0.54</v>
      </c>
      <c r="I111" s="31" t="n">
        <v>63391</v>
      </c>
      <c r="J111" s="31" t="inlineStr">
        <is>
          <t>500403</t>
        </is>
      </c>
    </row>
    <row r="112">
      <c r="A112" s="31" t="inlineStr">
        <is>
          <t>PPLPHARMA</t>
        </is>
      </c>
      <c r="B112" s="31" t="inlineStr">
        <is>
          <t>Piramal Pharma Ltd</t>
        </is>
      </c>
      <c r="C112" s="31" t="inlineStr">
        <is>
          <t>healthcare</t>
        </is>
      </c>
      <c r="D112" s="31" t="inlineStr">
        <is>
          <t>pharmaceuticals - indian - bulk drugs &amp; formln</t>
        </is>
      </c>
      <c r="E112" s="31" t="inlineStr">
        <is>
          <t>largecap</t>
        </is>
      </c>
      <c r="F112" s="31" t="n">
        <v>26051.82</v>
      </c>
      <c r="G112" s="31" t="n">
        <v>196.72</v>
      </c>
      <c r="H112" s="31" t="n">
        <v>0.53</v>
      </c>
      <c r="I112" s="31" t="n">
        <v>22171172</v>
      </c>
      <c r="J112" s="31" t="inlineStr">
        <is>
          <t>543635</t>
        </is>
      </c>
    </row>
    <row r="113">
      <c r="A113" s="31" t="inlineStr">
        <is>
          <t>PNB</t>
        </is>
      </c>
      <c r="B113" s="31" t="inlineStr">
        <is>
          <t>Punjab National Bank Ltd</t>
        </is>
      </c>
      <c r="C113" s="31" t="inlineStr">
        <is>
          <t>bank</t>
        </is>
      </c>
      <c r="D113" s="31" t="inlineStr">
        <is>
          <t>banks - public sector</t>
        </is>
      </c>
      <c r="E113" s="31" t="inlineStr">
        <is>
          <t>largecap</t>
        </is>
      </c>
      <c r="F113" s="31" t="n">
        <v>127663.61</v>
      </c>
      <c r="G113" s="31" t="n">
        <v>111.64</v>
      </c>
      <c r="H113" s="31" t="n">
        <v>0.5</v>
      </c>
      <c r="I113" s="31" t="n">
        <v>10292180</v>
      </c>
      <c r="J113" s="31" t="inlineStr">
        <is>
          <t>532461</t>
        </is>
      </c>
    </row>
    <row r="114">
      <c r="A114" s="31" t="inlineStr">
        <is>
          <t>MOTHERSON</t>
        </is>
      </c>
      <c r="B114" s="31" t="inlineStr">
        <is>
          <t>Samvardhana Motherson International Ltd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largecap</t>
        </is>
      </c>
      <c r="F114" s="31" t="n">
        <v>154094.86</v>
      </c>
      <c r="G114" s="31" t="n">
        <v>146.72</v>
      </c>
      <c r="H114" s="31" t="n">
        <v>0.49</v>
      </c>
      <c r="I114" s="31" t="n">
        <v>9499863</v>
      </c>
      <c r="J114" s="31" t="inlineStr">
        <is>
          <t>517334</t>
        </is>
      </c>
    </row>
    <row r="115">
      <c r="A115" s="31" t="inlineStr">
        <is>
          <t>SJS</t>
        </is>
      </c>
      <c r="B115" s="31" t="inlineStr">
        <is>
          <t>S J S Enterprises Ltd</t>
        </is>
      </c>
      <c r="C115" s="31" t="inlineStr">
        <is>
          <t>auto</t>
        </is>
      </c>
      <c r="D115" s="31" t="inlineStr">
        <is>
          <t>plastics products</t>
        </is>
      </c>
      <c r="E115" s="31" t="inlineStr">
        <is>
          <t>midcap</t>
        </is>
      </c>
      <c r="F115" s="31" t="n">
        <v>7513.85</v>
      </c>
      <c r="G115" s="31" t="n">
        <v>2359</v>
      </c>
      <c r="H115" s="31" t="n">
        <v>0.48</v>
      </c>
      <c r="I115" s="31" t="n">
        <v>75434</v>
      </c>
      <c r="J115" s="31" t="inlineStr">
        <is>
          <t>543387</t>
        </is>
      </c>
    </row>
    <row r="116">
      <c r="A116" s="31" t="inlineStr">
        <is>
          <t>RANEHOLDIN</t>
        </is>
      </c>
      <c r="B116" s="31" t="inlineStr">
        <is>
          <t>Rane Holdings Limited</t>
        </is>
      </c>
      <c r="C116" s="31" t="inlineStr">
        <is>
          <t>financials</t>
        </is>
      </c>
      <c r="D116" s="31" t="inlineStr">
        <is>
          <t>finance &amp; investments</t>
        </is>
      </c>
      <c r="E116" s="31" t="inlineStr">
        <is>
          <t>smallcap</t>
        </is>
      </c>
      <c r="F116" s="31" t="n">
        <v>2477.49</v>
      </c>
      <c r="G116" s="31" t="n">
        <v>1743.6</v>
      </c>
      <c r="H116" s="31" t="n">
        <v>0.48</v>
      </c>
      <c r="I116" s="31" t="n">
        <v>7537</v>
      </c>
      <c r="J116" s="31" t="inlineStr">
        <is>
          <t>505800</t>
        </is>
      </c>
    </row>
    <row r="117">
      <c r="A117" s="31" t="inlineStr">
        <is>
          <t>NH</t>
        </is>
      </c>
      <c r="B117" s="31" t="inlineStr">
        <is>
          <t>Narayana Hrudayalaya Ltd.</t>
        </is>
      </c>
      <c r="C117" s="31" t="inlineStr">
        <is>
          <t>healthcare</t>
        </is>
      </c>
      <c r="D117" s="31" t="inlineStr">
        <is>
          <t>healthcare</t>
        </is>
      </c>
      <c r="E117" s="31" t="inlineStr">
        <is>
          <t>largecap</t>
        </is>
      </c>
      <c r="F117" s="31" t="n">
        <v>42314.95</v>
      </c>
      <c r="G117" s="31" t="n">
        <v>2080.3</v>
      </c>
      <c r="H117" s="31" t="n">
        <v>0.47</v>
      </c>
      <c r="I117" s="31" t="n">
        <v>110198</v>
      </c>
      <c r="J117" s="31" t="inlineStr">
        <is>
          <t>539551</t>
        </is>
      </c>
    </row>
    <row r="118">
      <c r="A118" s="31" t="inlineStr">
        <is>
          <t>TFCILTD</t>
        </is>
      </c>
      <c r="B118" s="31" t="inlineStr">
        <is>
          <t>Tourism Finance Corporation Of India Limited</t>
        </is>
      </c>
      <c r="C118" s="31" t="inlineStr">
        <is>
          <t>financials</t>
        </is>
      </c>
      <c r="D118" s="31" t="inlineStr">
        <is>
          <t>finance - term-lending institutions</t>
        </is>
      </c>
      <c r="E118" s="31" t="inlineStr">
        <is>
          <t>smallcap</t>
        </is>
      </c>
      <c r="F118" s="31" t="n">
        <v>4656.16</v>
      </c>
      <c r="G118" s="31" t="n">
        <v>101</v>
      </c>
      <c r="H118" s="31" t="n">
        <v>0.43</v>
      </c>
      <c r="I118" s="31" t="n">
        <v>7891848</v>
      </c>
      <c r="J118" s="31" t="inlineStr">
        <is>
          <t>526650</t>
        </is>
      </c>
    </row>
    <row r="119">
      <c r="A119" s="31" t="inlineStr">
        <is>
          <t>EMCURE</t>
        </is>
      </c>
      <c r="B119" s="31" t="inlineStr">
        <is>
          <t>Emcure Pharmaceuticals Ltd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largecap</t>
        </is>
      </c>
      <c r="F119" s="31" t="n">
        <v>36109.41</v>
      </c>
      <c r="G119" s="31" t="n">
        <v>1910.9</v>
      </c>
      <c r="H119" s="31" t="n">
        <v>0.38</v>
      </c>
      <c r="I119" s="31" t="n">
        <v>73582</v>
      </c>
      <c r="J119" s="31" t="inlineStr">
        <is>
          <t>544210</t>
        </is>
      </c>
    </row>
    <row r="120">
      <c r="A120" s="31" t="inlineStr">
        <is>
          <t>GNFC</t>
        </is>
      </c>
      <c r="B120" s="31" t="inlineStr">
        <is>
          <t>Gujarat Narmada Valley Fertilizers And Chemicals Limited</t>
        </is>
      </c>
      <c r="C120" s="31" t="inlineStr">
        <is>
          <t>chemicals</t>
        </is>
      </c>
      <c r="D120" s="31" t="inlineStr">
        <is>
          <t>chemicals</t>
        </is>
      </c>
      <c r="E120" s="31" t="inlineStr">
        <is>
          <t>midcap</t>
        </is>
      </c>
      <c r="F120" s="31" t="n">
        <v>7715.86</v>
      </c>
      <c r="G120" s="31" t="n">
        <v>527.05</v>
      </c>
      <c r="H120" s="31" t="n">
        <v>0.37</v>
      </c>
      <c r="I120" s="31" t="n">
        <v>380169</v>
      </c>
      <c r="J120" s="31" t="inlineStr">
        <is>
          <t>500670</t>
        </is>
      </c>
    </row>
    <row r="121">
      <c r="A121" s="31" t="inlineStr">
        <is>
          <t>TI</t>
        </is>
      </c>
      <c r="B121" s="31" t="inlineStr">
        <is>
          <t>Tilaknagar Industries Limited</t>
        </is>
      </c>
      <c r="C121" s="31" t="inlineStr">
        <is>
          <t>fmcg</t>
        </is>
      </c>
      <c r="D121" s="31" t="inlineStr">
        <is>
          <t>breweries &amp; distilleries</t>
        </is>
      </c>
      <c r="E121" s="31" t="inlineStr">
        <is>
          <t>midcap</t>
        </is>
      </c>
      <c r="F121" s="31" t="n">
        <v>11517.43</v>
      </c>
      <c r="G121" s="31" t="n">
        <v>467.1</v>
      </c>
      <c r="H121" s="31" t="n">
        <v>0.37</v>
      </c>
      <c r="I121" s="31" t="n">
        <v>1494239</v>
      </c>
      <c r="J121" s="31" t="inlineStr">
        <is>
          <t>507205</t>
        </is>
      </c>
    </row>
    <row r="122">
      <c r="A122" s="31" t="inlineStr">
        <is>
          <t>UNOMINDA</t>
        </is>
      </c>
      <c r="B122" s="31" t="inlineStr">
        <is>
          <t>Uno Minda Ltd</t>
        </is>
      </c>
      <c r="C122" s="31" t="inlineStr">
        <is>
          <t>auto</t>
        </is>
      </c>
      <c r="D122" s="31" t="inlineStr">
        <is>
          <t>auto ancillaries</t>
        </is>
      </c>
      <c r="E122" s="31" t="inlineStr">
        <is>
          <t>largecap</t>
        </is>
      </c>
      <c r="F122" s="31" t="n">
        <v>67488.59</v>
      </c>
      <c r="G122" s="31" t="n">
        <v>1172.8</v>
      </c>
      <c r="H122" s="31" t="n">
        <v>0.35</v>
      </c>
      <c r="I122" s="31" t="n">
        <v>634771</v>
      </c>
      <c r="J122" s="31" t="inlineStr">
        <is>
          <t>532539</t>
        </is>
      </c>
    </row>
    <row r="123">
      <c r="A123" s="31" t="inlineStr">
        <is>
          <t>BHARTIARTL</t>
        </is>
      </c>
      <c r="B123" s="31" t="inlineStr">
        <is>
          <t>Bharti Airtel Limited</t>
        </is>
      </c>
      <c r="C123" s="31" t="inlineStr">
        <is>
          <t>telecom-service</t>
        </is>
      </c>
      <c r="D123" s="31" t="inlineStr">
        <is>
          <t>telecommunications - service provider</t>
        </is>
      </c>
      <c r="E123" s="31" t="inlineStr">
        <is>
          <t>largecap</t>
        </is>
      </c>
      <c r="F123" s="31" t="n">
        <v>1217149.91</v>
      </c>
      <c r="G123" s="31" t="n">
        <v>1956.8</v>
      </c>
      <c r="H123" s="31" t="n">
        <v>0.34</v>
      </c>
      <c r="I123" s="31" t="n">
        <v>5356472</v>
      </c>
      <c r="J123" s="31" t="inlineStr">
        <is>
          <t>532454</t>
        </is>
      </c>
    </row>
    <row r="124">
      <c r="A124" s="31" t="inlineStr">
        <is>
          <t>LANDMARK</t>
        </is>
      </c>
      <c r="B124" s="31" t="inlineStr">
        <is>
          <t>Landmark Cars Ltd</t>
        </is>
      </c>
      <c r="C124" s="31" t="inlineStr">
        <is>
          <t>consumer discretionary</t>
        </is>
      </c>
      <c r="D124" s="31" t="inlineStr">
        <is>
          <t>trading</t>
        </is>
      </c>
      <c r="E124" s="31" t="inlineStr">
        <is>
          <t>smallcap</t>
        </is>
      </c>
      <c r="F124" s="31" t="n">
        <v>2229.98</v>
      </c>
      <c r="G124" s="31" t="n">
        <v>539.65</v>
      </c>
      <c r="H124" s="31" t="n">
        <v>0.34</v>
      </c>
      <c r="I124" s="31" t="n">
        <v>446119</v>
      </c>
      <c r="J124" s="31" t="inlineStr">
        <is>
          <t>543714</t>
        </is>
      </c>
    </row>
    <row r="125">
      <c r="A125" s="31" t="inlineStr">
        <is>
          <t>BERGEPAINT</t>
        </is>
      </c>
      <c r="B125" s="31" t="inlineStr">
        <is>
          <t>Berger Paints (i) Limited</t>
        </is>
      </c>
      <c r="C125" s="31" t="inlineStr">
        <is>
          <t>building materials</t>
        </is>
      </c>
      <c r="D125" s="31" t="inlineStr">
        <is>
          <t>paints / varnishes</t>
        </is>
      </c>
      <c r="E125" s="31" t="inlineStr">
        <is>
          <t>largecap</t>
        </is>
      </c>
      <c r="F125" s="31" t="n">
        <v>60637.98</v>
      </c>
      <c r="G125" s="31" t="n">
        <v>521.35</v>
      </c>
      <c r="H125" s="31" t="n">
        <v>0.25</v>
      </c>
      <c r="I125" s="31" t="n">
        <v>315910</v>
      </c>
      <c r="J125" s="31" t="inlineStr">
        <is>
          <t>509480</t>
        </is>
      </c>
    </row>
    <row r="126">
      <c r="A126" s="31" t="inlineStr">
        <is>
          <t>E2E</t>
        </is>
      </c>
      <c r="B126" s="31" t="inlineStr">
        <is>
          <t>E2E Networks Ltd</t>
        </is>
      </c>
      <c r="C126" s="31" t="inlineStr">
        <is>
          <t>i.t</t>
        </is>
      </c>
      <c r="D126" s="31" t="inlineStr">
        <is>
          <t>computers - software - medium / small</t>
        </is>
      </c>
      <c r="E126" s="31" t="inlineStr">
        <is>
          <t>midcap</t>
        </is>
      </c>
      <c r="F126" s="31" t="n">
        <v>10102.49</v>
      </c>
      <c r="G126" s="31" t="n">
        <v>492.55</v>
      </c>
      <c r="H126" s="31" t="n">
        <v>0.22</v>
      </c>
      <c r="I126" s="31" t="n">
        <v>1788213</v>
      </c>
      <c r="J126" s="31" t="inlineStr">
        <is>
          <t>535080</t>
        </is>
      </c>
    </row>
    <row r="127">
      <c r="A127" s="31" t="inlineStr">
        <is>
          <t>PAYTM</t>
        </is>
      </c>
      <c r="B127" s="31" t="inlineStr">
        <is>
          <t>One 97 Communications Ltd</t>
        </is>
      </c>
      <c r="C127" s="31" t="inlineStr">
        <is>
          <t>i.t</t>
        </is>
      </c>
      <c r="D127" s="31" t="inlineStr">
        <is>
          <t>miscellaneous</t>
        </is>
      </c>
      <c r="E127" s="31" t="inlineStr">
        <is>
          <t>largecap</t>
        </is>
      </c>
      <c r="F127" s="31" t="n">
        <v>85164.82000000001</v>
      </c>
      <c r="G127" s="31" t="n">
        <v>1332.5</v>
      </c>
      <c r="H127" s="31" t="n">
        <v>0.19</v>
      </c>
      <c r="I127" s="31" t="n">
        <v>2761482</v>
      </c>
      <c r="J127" s="31" t="inlineStr">
        <is>
          <t>543396</t>
        </is>
      </c>
    </row>
    <row r="128">
      <c r="A128" s="31" t="inlineStr">
        <is>
          <t>RECLTD</t>
        </is>
      </c>
      <c r="B128" s="31" t="inlineStr">
        <is>
          <t>REC Ltd</t>
        </is>
      </c>
      <c r="C128" s="31" t="inlineStr">
        <is>
          <t>financials</t>
        </is>
      </c>
      <c r="D128" s="31" t="inlineStr">
        <is>
          <t>finance - term-lending institutions</t>
        </is>
      </c>
      <c r="E128" s="31" t="inlineStr">
        <is>
          <t>largecap</t>
        </is>
      </c>
      <c r="F128" s="31" t="n">
        <v>98548.41</v>
      </c>
      <c r="G128" s="31" t="n">
        <v>374.9</v>
      </c>
      <c r="H128" s="31" t="n">
        <v>0.17</v>
      </c>
      <c r="I128" s="31" t="n">
        <v>4027680</v>
      </c>
      <c r="J128" s="31" t="inlineStr">
        <is>
          <t>532955</t>
        </is>
      </c>
    </row>
    <row r="129">
      <c r="A129" s="31" t="inlineStr">
        <is>
          <t>GANECOS</t>
        </is>
      </c>
      <c r="B129" s="31" t="inlineStr">
        <is>
          <t>Ganesha Ecosphere Limited</t>
        </is>
      </c>
      <c r="C129" s="31" t="inlineStr">
        <is>
          <t>textiles</t>
        </is>
      </c>
      <c r="D129" s="31" t="inlineStr">
        <is>
          <t>textiles - manmade</t>
        </is>
      </c>
      <c r="E129" s="31" t="inlineStr">
        <is>
          <t>smallcap</t>
        </is>
      </c>
      <c r="F129" s="31" t="n">
        <v>3223.42</v>
      </c>
      <c r="G129" s="31" t="n">
        <v>1204.95</v>
      </c>
      <c r="H129" s="31" t="n">
        <v>0.17</v>
      </c>
      <c r="I129" s="31" t="n">
        <v>154309</v>
      </c>
      <c r="J129" s="31" t="inlineStr">
        <is>
          <t>514167</t>
        </is>
      </c>
    </row>
    <row r="130">
      <c r="A130" s="31" t="inlineStr">
        <is>
          <t>HAPPYFORGE</t>
        </is>
      </c>
      <c r="B130" s="31" t="inlineStr">
        <is>
          <t>Happy Forgings Ltd</t>
        </is>
      </c>
      <c r="C130" s="31" t="inlineStr">
        <is>
          <t>industrials</t>
        </is>
      </c>
      <c r="D130" s="31" t="inlineStr">
        <is>
          <t>castings &amp; forgings</t>
        </is>
      </c>
      <c r="E130" s="31" t="inlineStr">
        <is>
          <t>midcap</t>
        </is>
      </c>
      <c r="F130" s="31" t="n">
        <v>15658.38</v>
      </c>
      <c r="G130" s="31" t="n">
        <v>1661.6</v>
      </c>
      <c r="H130" s="31" t="n">
        <v>0.15</v>
      </c>
      <c r="I130" s="31" t="n">
        <v>34100</v>
      </c>
      <c r="J130" s="31" t="inlineStr">
        <is>
          <t>544057</t>
        </is>
      </c>
    </row>
    <row r="131">
      <c r="A131" s="31" t="inlineStr">
        <is>
          <t>RRKABEL</t>
        </is>
      </c>
      <c r="B131" s="31" t="inlineStr">
        <is>
          <t>R R Kabel Ltd</t>
        </is>
      </c>
      <c r="C131" s="31" t="inlineStr">
        <is>
          <t>industrials</t>
        </is>
      </c>
      <c r="D131" s="31" t="inlineStr">
        <is>
          <t>cables - power</t>
        </is>
      </c>
      <c r="E131" s="31" t="inlineStr">
        <is>
          <t>largecap</t>
        </is>
      </c>
      <c r="F131" s="31" t="n">
        <v>28942.57</v>
      </c>
      <c r="G131" s="31" t="n">
        <v>2562.2</v>
      </c>
      <c r="H131" s="31" t="n">
        <v>0.13</v>
      </c>
      <c r="I131" s="31" t="n">
        <v>522489</v>
      </c>
      <c r="J131" s="31" t="inlineStr">
        <is>
          <t>543981</t>
        </is>
      </c>
    </row>
    <row r="132">
      <c r="A132" s="31" t="inlineStr">
        <is>
          <t>SBC</t>
        </is>
      </c>
      <c r="B132" s="31" t="inlineStr">
        <is>
          <t>SBC Exports Ltd</t>
        </is>
      </c>
      <c r="C132" s="31" t="inlineStr">
        <is>
          <t>textiles</t>
        </is>
      </c>
      <c r="D132" s="31" t="inlineStr">
        <is>
          <t>textiles - products</t>
        </is>
      </c>
      <c r="E132" s="31" t="inlineStr">
        <is>
          <t>smallcap</t>
        </is>
      </c>
      <c r="F132" s="31" t="n">
        <v>2003.81</v>
      </c>
      <c r="G132" s="31" t="n">
        <v>42.12</v>
      </c>
      <c r="H132" s="31" t="n">
        <v>0.1</v>
      </c>
      <c r="I132" s="31" t="n">
        <v>9316491</v>
      </c>
      <c r="J132" s="31" t="inlineStr">
        <is>
          <t>542725</t>
        </is>
      </c>
    </row>
    <row r="133">
      <c r="A133" s="31" t="inlineStr">
        <is>
          <t>HMVL</t>
        </is>
      </c>
      <c r="B133" s="31" t="inlineStr">
        <is>
          <t>Hindustan Media Ventures Limited</t>
        </is>
      </c>
      <c r="C133" s="31" t="inlineStr">
        <is>
          <t>media</t>
        </is>
      </c>
      <c r="D133" s="31" t="inlineStr">
        <is>
          <t>entertainment / electronic media software</t>
        </is>
      </c>
      <c r="E133" s="31" t="inlineStr">
        <is>
          <t>smallcap</t>
        </is>
      </c>
      <c r="F133" s="31" t="n">
        <v>699.8099999999999</v>
      </c>
      <c r="G133" s="31" t="n">
        <v>95.08</v>
      </c>
      <c r="H133" s="31" t="n">
        <v>0.09</v>
      </c>
      <c r="I133" s="31" t="n">
        <v>27314</v>
      </c>
      <c r="J133" s="31" t="inlineStr">
        <is>
          <t>533217</t>
        </is>
      </c>
    </row>
    <row r="134">
      <c r="A134" s="31" t="inlineStr">
        <is>
          <t>CAMS</t>
        </is>
      </c>
      <c r="B134" s="31" t="inlineStr">
        <is>
          <t>Computer Age Management Services Ltd</t>
        </is>
      </c>
      <c r="C134" s="31" t="inlineStr">
        <is>
          <t>financials</t>
        </is>
      </c>
      <c r="D134" s="31" t="inlineStr">
        <is>
          <t>miscellaneous</t>
        </is>
      </c>
      <c r="E134" s="31" t="inlineStr">
        <is>
          <t>midcap</t>
        </is>
      </c>
      <c r="F134" s="31" t="n">
        <v>19667.74</v>
      </c>
      <c r="G134" s="31" t="n">
        <v>793.15</v>
      </c>
      <c r="H134" s="31" t="n">
        <v>0.09</v>
      </c>
      <c r="I134" s="31" t="n">
        <v>613918</v>
      </c>
      <c r="J134" s="31" t="inlineStr">
        <is>
          <t>543232</t>
        </is>
      </c>
    </row>
    <row r="135">
      <c r="A135" s="31" t="inlineStr">
        <is>
          <t>ATUL</t>
        </is>
      </c>
      <c r="B135" s="31" t="inlineStr">
        <is>
          <t>Atul Limited</t>
        </is>
      </c>
      <c r="C135" s="31" t="inlineStr">
        <is>
          <t>chemicals</t>
        </is>
      </c>
      <c r="D135" s="31" t="inlineStr">
        <is>
          <t>chemicals</t>
        </is>
      </c>
      <c r="E135" s="31" t="inlineStr">
        <is>
          <t>largecap</t>
        </is>
      </c>
      <c r="F135" s="31" t="n">
        <v>20015.98</v>
      </c>
      <c r="G135" s="31" t="n">
        <v>6803</v>
      </c>
      <c r="H135" s="31" t="n">
        <v>0.07000000000000001</v>
      </c>
      <c r="I135" s="31" t="n">
        <v>46892</v>
      </c>
      <c r="J135" s="31" t="inlineStr">
        <is>
          <t>500027</t>
        </is>
      </c>
    </row>
    <row r="136">
      <c r="A136" s="31" t="inlineStr">
        <is>
          <t>KOVAI</t>
        </is>
      </c>
      <c r="B136" s="31" t="inlineStr">
        <is>
          <t>Kovai Medical Center &amp; Hospital Ltd</t>
        </is>
      </c>
      <c r="C136" s="31" t="inlineStr">
        <is>
          <t>healthcare</t>
        </is>
      </c>
      <c r="D136" s="31" t="inlineStr">
        <is>
          <t>healthcare</t>
        </is>
      </c>
      <c r="E136" s="31" t="inlineStr">
        <is>
          <t>midcap</t>
        </is>
      </c>
      <c r="F136" s="31" t="n">
        <v>6505.17</v>
      </c>
      <c r="G136" s="31" t="n">
        <v>5948.5</v>
      </c>
      <c r="H136" s="31" t="n">
        <v>0.06</v>
      </c>
      <c r="I136" s="31" t="n">
        <v>2665</v>
      </c>
      <c r="J136" s="31" t="inlineStr">
        <is>
          <t>523323</t>
        </is>
      </c>
    </row>
    <row r="137">
      <c r="A137" s="31" t="inlineStr">
        <is>
          <t>KARURVYSYA</t>
        </is>
      </c>
      <c r="B137" s="31" t="inlineStr">
        <is>
          <t>Karur Vysya Bank Limited</t>
        </is>
      </c>
      <c r="C137" s="31" t="inlineStr">
        <is>
          <t>bank</t>
        </is>
      </c>
      <c r="D137" s="31" t="inlineStr">
        <is>
          <t>banks - private sector</t>
        </is>
      </c>
      <c r="E137" s="31" t="inlineStr">
        <is>
          <t>largecap</t>
        </is>
      </c>
      <c r="F137" s="31" t="n">
        <v>32876.41</v>
      </c>
      <c r="G137" s="31" t="n">
        <v>340.3</v>
      </c>
      <c r="H137" s="31" t="n">
        <v>0.06</v>
      </c>
      <c r="I137" s="31" t="n">
        <v>2148256</v>
      </c>
      <c r="J137" s="31" t="inlineStr">
        <is>
          <t>590003</t>
        </is>
      </c>
    </row>
    <row r="138">
      <c r="A138" s="31" t="inlineStr">
        <is>
          <t>SANSERA</t>
        </is>
      </c>
      <c r="B138" s="31" t="inlineStr">
        <is>
          <t>Sansera Engineering Ltd</t>
        </is>
      </c>
      <c r="C138" s="31" t="inlineStr">
        <is>
          <t>auto</t>
        </is>
      </c>
      <c r="D138" s="31" t="inlineStr">
        <is>
          <t>auto ancillaries</t>
        </is>
      </c>
      <c r="E138" s="31" t="inlineStr">
        <is>
          <t>largecap</t>
        </is>
      </c>
      <c r="F138" s="31" t="n">
        <v>20175.7</v>
      </c>
      <c r="G138" s="31" t="n">
        <v>3235.2</v>
      </c>
      <c r="H138" s="31" t="n">
        <v>0.06</v>
      </c>
      <c r="I138" s="31" t="n">
        <v>102083</v>
      </c>
      <c r="J138" s="31" t="inlineStr">
        <is>
          <t>543358</t>
        </is>
      </c>
    </row>
    <row r="139">
      <c r="A139" s="31" t="inlineStr">
        <is>
          <t>VARROC</t>
        </is>
      </c>
      <c r="B139" s="31" t="inlineStr">
        <is>
          <t>Varroc Engineering Ltd</t>
        </is>
      </c>
      <c r="C139" s="31" t="inlineStr">
        <is>
          <t>auto</t>
        </is>
      </c>
      <c r="D139" s="31" t="inlineStr">
        <is>
          <t>auto ancillaries</t>
        </is>
      </c>
      <c r="E139" s="31" t="inlineStr">
        <is>
          <t>midcap</t>
        </is>
      </c>
      <c r="F139" s="31" t="n">
        <v>10153.42</v>
      </c>
      <c r="G139" s="31" t="n">
        <v>664.6</v>
      </c>
      <c r="H139" s="31" t="n">
        <v>0.01</v>
      </c>
      <c r="I139" s="31" t="n">
        <v>108941</v>
      </c>
      <c r="J139" s="31" t="inlineStr">
        <is>
          <t>541578</t>
        </is>
      </c>
    </row>
    <row r="140">
      <c r="A140" s="31" t="inlineStr">
        <is>
          <t>AETHER</t>
        </is>
      </c>
      <c r="B140" s="31" t="inlineStr">
        <is>
          <t>Aether Industries Ltd</t>
        </is>
      </c>
      <c r="C140" s="31" t="inlineStr">
        <is>
          <t>chemicals</t>
        </is>
      </c>
      <c r="D140" s="31" t="inlineStr">
        <is>
          <t>chemicals</t>
        </is>
      </c>
      <c r="E140" s="31" t="inlineStr">
        <is>
          <t>midcap</t>
        </is>
      </c>
      <c r="F140" s="31" t="n">
        <v>19783.46</v>
      </c>
      <c r="G140" s="31" t="n">
        <v>1490.8</v>
      </c>
      <c r="H140" s="31" t="n">
        <v>0.01</v>
      </c>
      <c r="I140" s="31" t="n">
        <v>455177</v>
      </c>
      <c r="J140" s="31" t="inlineStr">
        <is>
          <t>543534</t>
        </is>
      </c>
    </row>
    <row r="141">
      <c r="A141" s="31" t="inlineStr">
        <is>
          <t>BLUSPRING</t>
        </is>
      </c>
      <c r="B141" s="31" t="inlineStr">
        <is>
          <t>Bluspring Enterprises Ltd</t>
        </is>
      </c>
      <c r="C141" s="31" t="inlineStr">
        <is>
          <t>miscellaneous</t>
        </is>
      </c>
      <c r="D141" s="31" t="inlineStr">
        <is>
          <t>diversified - large</t>
        </is>
      </c>
      <c r="E141" s="31" t="inlineStr">
        <is>
          <t>smallcap</t>
        </is>
      </c>
      <c r="F141" s="31" t="n">
        <v>1705.27</v>
      </c>
      <c r="G141" s="31" t="n">
        <v>114.11</v>
      </c>
      <c r="H141" s="31" t="n">
        <v>0</v>
      </c>
      <c r="I141" s="31" t="n">
        <v>408942</v>
      </c>
      <c r="J141" s="31" t="inlineStr">
        <is>
          <t>544414</t>
        </is>
      </c>
    </row>
    <row r="142">
      <c r="A142" s="31" t="inlineStr">
        <is>
          <t>PIDILITIND</t>
        </is>
      </c>
      <c r="B142" s="31" t="inlineStr">
        <is>
          <t>Pidilite Industries Limited</t>
        </is>
      </c>
      <c r="C142" s="31" t="inlineStr">
        <is>
          <t>chemicals</t>
        </is>
      </c>
      <c r="D142" s="31" t="inlineStr">
        <is>
          <t>chemicals</t>
        </is>
      </c>
      <c r="E142" s="31" t="inlineStr">
        <is>
          <t>largecap</t>
        </is>
      </c>
      <c r="F142" s="31" t="n">
        <v>165887.2</v>
      </c>
      <c r="G142" s="31" t="n">
        <v>1629.9</v>
      </c>
      <c r="H142" s="31" t="n">
        <v>0</v>
      </c>
      <c r="I142" s="31" t="n">
        <v>1113810</v>
      </c>
      <c r="J142" s="31" t="inlineStr">
        <is>
          <t>500331</t>
        </is>
      </c>
    </row>
    <row r="143">
      <c r="A143" s="31" t="inlineStr">
        <is>
          <t>LAURUSLABS</t>
        </is>
      </c>
      <c r="B143" s="31" t="inlineStr">
        <is>
          <t>Laurus Labs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largecap</t>
        </is>
      </c>
      <c r="F143" s="31" t="n">
        <v>96234.66</v>
      </c>
      <c r="G143" s="31" t="n">
        <v>1781.3</v>
      </c>
      <c r="H143" s="31" t="n">
        <v>0</v>
      </c>
      <c r="I143" s="31" t="n">
        <v>2402202</v>
      </c>
      <c r="J143" s="31" t="inlineStr">
        <is>
          <t>540222</t>
        </is>
      </c>
    </row>
    <row r="144">
      <c r="A144" s="31" t="inlineStr">
        <is>
          <t>TITAN</t>
        </is>
      </c>
      <c r="B144" s="31" t="inlineStr">
        <is>
          <t>Titan Company Limited</t>
        </is>
      </c>
      <c r="C144" s="31" t="inlineStr">
        <is>
          <t>consumer discretionary</t>
        </is>
      </c>
      <c r="D144" s="31" t="inlineStr">
        <is>
          <t>diamond cutting / jewellery</t>
        </is>
      </c>
      <c r="E144" s="31" t="inlineStr">
        <is>
          <t>largecap</t>
        </is>
      </c>
      <c r="F144" s="31" t="n">
        <v>430594.04</v>
      </c>
      <c r="G144" s="31" t="n">
        <v>4850</v>
      </c>
      <c r="H144" s="31" t="n">
        <v>0</v>
      </c>
      <c r="I144" s="31" t="n">
        <v>777361</v>
      </c>
      <c r="J144" s="31" t="inlineStr">
        <is>
          <t>500114</t>
        </is>
      </c>
    </row>
    <row r="145">
      <c r="A145" s="31" t="inlineStr">
        <is>
          <t>CONFIPET</t>
        </is>
      </c>
      <c r="B145" s="31" t="inlineStr">
        <is>
          <t>Confidence Petroleum India Ltd</t>
        </is>
      </c>
      <c r="C145" s="31" t="inlineStr">
        <is>
          <t>miscellaneous</t>
        </is>
      </c>
      <c r="D145" s="31" t="inlineStr">
        <is>
          <t>miscellaneous</t>
        </is>
      </c>
      <c r="E145" s="31" t="inlineStr">
        <is>
          <t>smallcap</t>
        </is>
      </c>
      <c r="F145" s="31" t="n">
        <v>2600.78</v>
      </c>
      <c r="G145" s="31" t="n">
        <v>78.27</v>
      </c>
      <c r="H145" s="31" t="n">
        <v>-0.01</v>
      </c>
      <c r="I145" s="31" t="n">
        <v>1716785</v>
      </c>
      <c r="J145" s="31" t="inlineStr">
        <is>
          <t>526829</t>
        </is>
      </c>
    </row>
    <row r="146">
      <c r="A146" s="31" t="inlineStr">
        <is>
          <t>BHARTIHEXA</t>
        </is>
      </c>
      <c r="B146" s="31" t="inlineStr">
        <is>
          <t>Bharti Hexacom Ltd</t>
        </is>
      </c>
      <c r="C146" s="31" t="inlineStr">
        <is>
          <t>telecom-service</t>
        </is>
      </c>
      <c r="D146" s="31" t="inlineStr">
        <is>
          <t>telecommunications - service provider</t>
        </is>
      </c>
      <c r="E146" s="31" t="inlineStr">
        <is>
          <t>largecap</t>
        </is>
      </c>
      <c r="F146" s="31" t="n">
        <v>82725</v>
      </c>
      <c r="G146" s="31" t="n">
        <v>1654</v>
      </c>
      <c r="H146" s="31" t="n">
        <v>-0.03</v>
      </c>
      <c r="I146" s="31" t="n">
        <v>74039</v>
      </c>
      <c r="J146" s="31" t="inlineStr">
        <is>
          <t>544162</t>
        </is>
      </c>
    </row>
    <row r="147">
      <c r="A147" s="31" t="inlineStr">
        <is>
          <t>SAILIFE</t>
        </is>
      </c>
      <c r="B147" s="31" t="inlineStr">
        <is>
          <t>Sai Life Sciences Ltd</t>
        </is>
      </c>
      <c r="C147" s="31" t="inlineStr">
        <is>
          <t>healthcare</t>
        </is>
      </c>
      <c r="D147" s="31" t="inlineStr">
        <is>
          <t>pharmaceuticals - indian - bulk drugs &amp; formln</t>
        </is>
      </c>
      <c r="E147" s="31" t="inlineStr">
        <is>
          <t>largecap</t>
        </is>
      </c>
      <c r="F147" s="31" t="n">
        <v>27934.72</v>
      </c>
      <c r="G147" s="31" t="n">
        <v>1315.2</v>
      </c>
      <c r="H147" s="31" t="n">
        <v>-0.05</v>
      </c>
      <c r="I147" s="31" t="n">
        <v>319657</v>
      </c>
      <c r="J147" s="31" t="inlineStr">
        <is>
          <t>544306</t>
        </is>
      </c>
    </row>
    <row r="148">
      <c r="A148" s="31" t="inlineStr">
        <is>
          <t>UJJIVANSFB</t>
        </is>
      </c>
      <c r="B148" s="31" t="inlineStr">
        <is>
          <t>Ujjivan Small Finance Bank Ltd</t>
        </is>
      </c>
      <c r="C148" s="31" t="inlineStr">
        <is>
          <t>bank</t>
        </is>
      </c>
      <c r="D148" s="31" t="inlineStr">
        <is>
          <t>banks - private sector</t>
        </is>
      </c>
      <c r="E148" s="31" t="inlineStr">
        <is>
          <t>midcap</t>
        </is>
      </c>
      <c r="F148" s="31" t="n">
        <v>13688.77</v>
      </c>
      <c r="G148" s="31" t="n">
        <v>70.33</v>
      </c>
      <c r="H148" s="31" t="n">
        <v>-0.06</v>
      </c>
      <c r="I148" s="31" t="n">
        <v>11155624</v>
      </c>
      <c r="J148" s="31" t="inlineStr">
        <is>
          <t>542904</t>
        </is>
      </c>
    </row>
    <row r="149">
      <c r="A149" s="31" t="inlineStr">
        <is>
          <t>GANDHITUBE</t>
        </is>
      </c>
      <c r="B149" s="31" t="inlineStr">
        <is>
          <t>Gandhi Special Tubes Limited</t>
        </is>
      </c>
      <c r="C149" s="31" t="inlineStr">
        <is>
          <t>metals &amp; mining</t>
        </is>
      </c>
      <c r="D149" s="31" t="inlineStr">
        <is>
          <t>steel - medium / small</t>
        </is>
      </c>
      <c r="E149" s="31" t="inlineStr">
        <is>
          <t>smallcap</t>
        </is>
      </c>
      <c r="F149" s="31" t="n">
        <v>1063.06</v>
      </c>
      <c r="G149" s="31" t="n">
        <v>874.2</v>
      </c>
      <c r="H149" s="31" t="n">
        <v>-0.07000000000000001</v>
      </c>
      <c r="I149" s="31" t="n">
        <v>2195</v>
      </c>
      <c r="J149" s="31" t="inlineStr">
        <is>
          <t>513108</t>
        </is>
      </c>
    </row>
    <row r="150">
      <c r="A150" s="31" t="inlineStr">
        <is>
          <t>VADILALIND</t>
        </is>
      </c>
      <c r="B150" s="31" t="inlineStr">
        <is>
          <t>Vadilal Industries Limited</t>
        </is>
      </c>
      <c r="C150" s="31" t="inlineStr">
        <is>
          <t>fmcg</t>
        </is>
      </c>
      <c r="D150" s="31" t="inlineStr">
        <is>
          <t>food - processing - indian</t>
        </is>
      </c>
      <c r="E150" s="31" t="inlineStr">
        <is>
          <t>midcap</t>
        </is>
      </c>
      <c r="F150" s="31" t="n">
        <v>5224.47</v>
      </c>
      <c r="G150" s="31" t="n">
        <v>7263.5</v>
      </c>
      <c r="H150" s="31" t="n">
        <v>-0.07000000000000001</v>
      </c>
      <c r="I150" s="31" t="n">
        <v>45499</v>
      </c>
      <c r="J150" s="31" t="inlineStr">
        <is>
          <t>519156</t>
        </is>
      </c>
    </row>
    <row r="151">
      <c r="A151" s="31" t="inlineStr">
        <is>
          <t>BAJFINANCE</t>
        </is>
      </c>
      <c r="B151" s="31" t="inlineStr">
        <is>
          <t>Bajaj Finance Limited</t>
        </is>
      </c>
      <c r="C151" s="31" t="inlineStr">
        <is>
          <t>financials</t>
        </is>
      </c>
      <c r="D151" s="31" t="inlineStr">
        <is>
          <t>finance &amp; investments</t>
        </is>
      </c>
      <c r="E151" s="31" t="inlineStr">
        <is>
          <t>largecap</t>
        </is>
      </c>
      <c r="F151" s="31" t="n">
        <v>656464.62</v>
      </c>
      <c r="G151" s="31" t="n">
        <v>1053.5</v>
      </c>
      <c r="H151" s="31" t="n">
        <v>-0.09</v>
      </c>
      <c r="I151" s="31" t="n">
        <v>9866564</v>
      </c>
      <c r="J151" s="31" t="inlineStr">
        <is>
          <t>500034</t>
        </is>
      </c>
    </row>
    <row r="152">
      <c r="A152" s="31" t="inlineStr">
        <is>
          <t>PREMIERPOL</t>
        </is>
      </c>
      <c r="B152" s="31" t="inlineStr">
        <is>
          <t>Premier Polyfilm Limited</t>
        </is>
      </c>
      <c r="C152" s="31" t="inlineStr">
        <is>
          <t>plastic products</t>
        </is>
      </c>
      <c r="D152" s="31" t="inlineStr">
        <is>
          <t>plastics products</t>
        </is>
      </c>
      <c r="E152" s="31" t="inlineStr">
        <is>
          <t>smallcap</t>
        </is>
      </c>
      <c r="F152" s="31" t="n">
        <v>770.9</v>
      </c>
      <c r="G152" s="31" t="n">
        <v>73.53</v>
      </c>
      <c r="H152" s="31" t="n">
        <v>-0.1</v>
      </c>
      <c r="I152" s="31" t="n">
        <v>136623</v>
      </c>
      <c r="J152" s="31" t="inlineStr">
        <is>
          <t>514354</t>
        </is>
      </c>
    </row>
    <row r="153">
      <c r="A153" s="31" t="inlineStr">
        <is>
          <t>CONCOR</t>
        </is>
      </c>
      <c r="B153" s="31" t="inlineStr">
        <is>
          <t>Container Corporation Of India Limited</t>
        </is>
      </c>
      <c r="C153" s="31" t="inlineStr">
        <is>
          <t>transportation</t>
        </is>
      </c>
      <c r="D153" s="31" t="inlineStr">
        <is>
          <t>miscellaneous</t>
        </is>
      </c>
      <c r="E153" s="31" t="inlineStr">
        <is>
          <t>largecap</t>
        </is>
      </c>
      <c r="F153" s="31" t="n">
        <v>40049.68</v>
      </c>
      <c r="G153" s="31" t="n">
        <v>525.15</v>
      </c>
      <c r="H153" s="31" t="n">
        <v>-0.13</v>
      </c>
      <c r="I153" s="31" t="n">
        <v>1129654</v>
      </c>
      <c r="J153" s="31" t="inlineStr">
        <is>
          <t>531344</t>
        </is>
      </c>
    </row>
    <row r="154">
      <c r="A154" s="31" t="inlineStr">
        <is>
          <t>TEXINFRA</t>
        </is>
      </c>
      <c r="B154" s="31" t="inlineStr">
        <is>
          <t>Texmaco Infrastructure &amp; Holdings Limited</t>
        </is>
      </c>
      <c r="C154" s="31" t="inlineStr">
        <is>
          <t>realty</t>
        </is>
      </c>
      <c r="D154" s="31" t="inlineStr">
        <is>
          <t>construction</t>
        </is>
      </c>
      <c r="E154" s="31" t="inlineStr">
        <is>
          <t>smallcap</t>
        </is>
      </c>
      <c r="F154" s="31" t="n">
        <v>1464</v>
      </c>
      <c r="G154" s="31" t="n">
        <v>114.74</v>
      </c>
      <c r="H154" s="31" t="n">
        <v>-0.13</v>
      </c>
      <c r="I154" s="31" t="n">
        <v>41906</v>
      </c>
      <c r="J154" s="31" t="inlineStr">
        <is>
          <t>505400</t>
        </is>
      </c>
    </row>
    <row r="155">
      <c r="A155" s="31" t="inlineStr">
        <is>
          <t>GRAPHITE</t>
        </is>
      </c>
      <c r="B155" s="31" t="inlineStr">
        <is>
          <t>Graphite India Limited</t>
        </is>
      </c>
      <c r="C155" s="31" t="inlineStr">
        <is>
          <t>industrials</t>
        </is>
      </c>
      <c r="D155" s="31" t="inlineStr">
        <is>
          <t>electrodes - graphites</t>
        </is>
      </c>
      <c r="E155" s="31" t="inlineStr">
        <is>
          <t>midcap</t>
        </is>
      </c>
      <c r="F155" s="31" t="n">
        <v>13024.71</v>
      </c>
      <c r="G155" s="31" t="n">
        <v>665.7</v>
      </c>
      <c r="H155" s="31" t="n">
        <v>-0.14</v>
      </c>
      <c r="I155" s="31" t="n">
        <v>1250369</v>
      </c>
      <c r="J155" s="31" t="inlineStr">
        <is>
          <t>509488</t>
        </is>
      </c>
    </row>
    <row r="156">
      <c r="A156" s="31" t="inlineStr">
        <is>
          <t>RADICO</t>
        </is>
      </c>
      <c r="B156" s="31" t="inlineStr">
        <is>
          <t>Radico Khaitan Limited</t>
        </is>
      </c>
      <c r="C156" s="31" t="inlineStr">
        <is>
          <t>fmcg</t>
        </is>
      </c>
      <c r="D156" s="31" t="inlineStr">
        <is>
          <t>breweries &amp; distilleries</t>
        </is>
      </c>
      <c r="E156" s="31" t="inlineStr">
        <is>
          <t>largecap</t>
        </is>
      </c>
      <c r="F156" s="31" t="n">
        <v>58578.89</v>
      </c>
      <c r="G156" s="31" t="n">
        <v>4366.6</v>
      </c>
      <c r="H156" s="31" t="n">
        <v>-0.16</v>
      </c>
      <c r="I156" s="31" t="n">
        <v>692504</v>
      </c>
      <c r="J156" s="31" t="inlineStr">
        <is>
          <t>532497</t>
        </is>
      </c>
    </row>
    <row r="157">
      <c r="A157" s="31" t="inlineStr">
        <is>
          <t>CHOICEIN</t>
        </is>
      </c>
      <c r="B157" s="31" t="inlineStr">
        <is>
          <t>Choice International Ltd</t>
        </is>
      </c>
      <c r="C157" s="31" t="inlineStr">
        <is>
          <t>financials</t>
        </is>
      </c>
      <c r="D157" s="31" t="inlineStr">
        <is>
          <t>finance &amp; investments</t>
        </is>
      </c>
      <c r="E157" s="31" t="inlineStr">
        <is>
          <t>midcap</t>
        </is>
      </c>
      <c r="F157" s="31" t="n">
        <v>17824.35</v>
      </c>
      <c r="G157" s="31" t="n">
        <v>798.7</v>
      </c>
      <c r="H157" s="31" t="n">
        <v>-0.18</v>
      </c>
      <c r="I157" s="31" t="n">
        <v>228721</v>
      </c>
      <c r="J157" s="31" t="inlineStr">
        <is>
          <t>531358</t>
        </is>
      </c>
    </row>
    <row r="158">
      <c r="A158" s="31" t="inlineStr">
        <is>
          <t>SSWL</t>
        </is>
      </c>
      <c r="B158" s="31" t="inlineStr">
        <is>
          <t>Steel Strips Wheels Limited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smallcap</t>
        </is>
      </c>
      <c r="F158" s="31" t="n">
        <v>4680.52</v>
      </c>
      <c r="G158" s="31" t="n">
        <v>297.19</v>
      </c>
      <c r="H158" s="31" t="n">
        <v>-0.2</v>
      </c>
      <c r="I158" s="31" t="n">
        <v>616804</v>
      </c>
      <c r="J158" s="31" t="inlineStr">
        <is>
          <t>513262</t>
        </is>
      </c>
    </row>
    <row r="159">
      <c r="A159" s="31" t="inlineStr">
        <is>
          <t>PFC</t>
        </is>
      </c>
      <c r="B159" s="31" t="inlineStr">
        <is>
          <t>Power Finance Corporation Limited</t>
        </is>
      </c>
      <c r="C159" s="31" t="inlineStr">
        <is>
          <t>financials</t>
        </is>
      </c>
      <c r="D159" s="31" t="inlineStr">
        <is>
          <t>finance - term-lending institutions</t>
        </is>
      </c>
      <c r="E159" s="31" t="inlineStr">
        <is>
          <t>largecap</t>
        </is>
      </c>
      <c r="F159" s="31" t="n">
        <v>140947.35</v>
      </c>
      <c r="G159" s="31" t="n">
        <v>426.25</v>
      </c>
      <c r="H159" s="31" t="n">
        <v>-0.2</v>
      </c>
      <c r="I159" s="31" t="n">
        <v>7767894</v>
      </c>
      <c r="J159" s="31" t="inlineStr">
        <is>
          <t>532810</t>
        </is>
      </c>
    </row>
    <row r="160">
      <c r="A160" s="31" t="inlineStr">
        <is>
          <t>LALPATHLAB</t>
        </is>
      </c>
      <c r="B160" s="31" t="inlineStr">
        <is>
          <t>Dr. Lal Path Labs Ltd.</t>
        </is>
      </c>
      <c r="C160" s="31" t="inlineStr">
        <is>
          <t>healthcare</t>
        </is>
      </c>
      <c r="D160" s="31" t="inlineStr">
        <is>
          <t>healthcare</t>
        </is>
      </c>
      <c r="E160" s="31" t="inlineStr">
        <is>
          <t>largecap</t>
        </is>
      </c>
      <c r="F160" s="31" t="n">
        <v>31557.81</v>
      </c>
      <c r="G160" s="31" t="n">
        <v>1878.8</v>
      </c>
      <c r="H160" s="31" t="n">
        <v>-0.2</v>
      </c>
      <c r="I160" s="31" t="n">
        <v>609085</v>
      </c>
      <c r="J160" s="31" t="inlineStr">
        <is>
          <t>539524</t>
        </is>
      </c>
    </row>
    <row r="161">
      <c r="A161" s="31" t="inlineStr">
        <is>
          <t>SPECTRUM</t>
        </is>
      </c>
      <c r="B161" s="31" t="inlineStr">
        <is>
          <t>Spectrum Electrical Industries Ltd</t>
        </is>
      </c>
      <c r="C161" s="31" t="inlineStr">
        <is>
          <t>industrials</t>
        </is>
      </c>
      <c r="D161" s="31" t="inlineStr">
        <is>
          <t>electric equipment</t>
        </is>
      </c>
      <c r="E161" s="31" t="inlineStr">
        <is>
          <t>smallcap</t>
        </is>
      </c>
      <c r="F161" s="31" t="n">
        <v>3841.72</v>
      </c>
      <c r="G161" s="31" t="n">
        <v>2440</v>
      </c>
      <c r="H161" s="31" t="n">
        <v>-0.2</v>
      </c>
      <c r="I161" s="31" t="n">
        <v>21906</v>
      </c>
      <c r="J161" s="31" t="inlineStr">
        <is>
          <t>535112</t>
        </is>
      </c>
    </row>
    <row r="162">
      <c r="A162" s="31" t="inlineStr">
        <is>
          <t>HAL</t>
        </is>
      </c>
      <c r="B162" s="31" t="inlineStr">
        <is>
          <t>Hindustan Aeronautics Ltd</t>
        </is>
      </c>
      <c r="C162" s="31" t="inlineStr">
        <is>
          <t>aerospace &amp; defence</t>
        </is>
      </c>
      <c r="D162" s="31" t="inlineStr">
        <is>
          <t>engineering</t>
        </is>
      </c>
      <c r="E162" s="31" t="inlineStr">
        <is>
          <t>largecap</t>
        </is>
      </c>
      <c r="F162" s="31" t="n">
        <v>307101.48</v>
      </c>
      <c r="G162" s="31" t="n">
        <v>4581.4</v>
      </c>
      <c r="H162" s="31" t="n">
        <v>-0.23</v>
      </c>
      <c r="I162" s="31" t="n">
        <v>606007</v>
      </c>
      <c r="J162" s="31" t="inlineStr">
        <is>
          <t>541154</t>
        </is>
      </c>
    </row>
    <row r="163">
      <c r="A163" s="31" t="inlineStr">
        <is>
          <t>GNA</t>
        </is>
      </c>
      <c r="B163" s="31" t="inlineStr">
        <is>
          <t>Gna Axles Limited</t>
        </is>
      </c>
      <c r="C163" s="31" t="inlineStr">
        <is>
          <t>auto</t>
        </is>
      </c>
      <c r="D163" s="31" t="inlineStr">
        <is>
          <t>auto ancillaries</t>
        </is>
      </c>
      <c r="E163" s="31" t="inlineStr">
        <is>
          <t>smallcap</t>
        </is>
      </c>
      <c r="F163" s="31" t="n">
        <v>2284.56</v>
      </c>
      <c r="G163" s="31" t="n">
        <v>530.8</v>
      </c>
      <c r="H163" s="31" t="n">
        <v>-0.25</v>
      </c>
      <c r="I163" s="31" t="n">
        <v>341850</v>
      </c>
      <c r="J163" s="31" t="inlineStr">
        <is>
          <t>540124</t>
        </is>
      </c>
    </row>
    <row r="164">
      <c r="A164" s="31" t="inlineStr">
        <is>
          <t>ICICIBANK</t>
        </is>
      </c>
      <c r="B164" s="31" t="inlineStr">
        <is>
          <t>Icici Bank Limited</t>
        </is>
      </c>
      <c r="C164" s="31" t="inlineStr">
        <is>
          <t>bank</t>
        </is>
      </c>
      <c r="D164" s="31" t="inlineStr">
        <is>
          <t>banks - private sector</t>
        </is>
      </c>
      <c r="E164" s="31" t="inlineStr">
        <is>
          <t>largecap</t>
        </is>
      </c>
      <c r="F164" s="31" t="n">
        <v>1031494.21</v>
      </c>
      <c r="G164" s="31" t="n">
        <v>1433.9</v>
      </c>
      <c r="H164" s="31" t="n">
        <v>-0.28</v>
      </c>
      <c r="I164" s="31" t="n">
        <v>14141173</v>
      </c>
      <c r="J164" s="31" t="inlineStr">
        <is>
          <t>532174</t>
        </is>
      </c>
    </row>
    <row r="165">
      <c r="A165" s="31" t="inlineStr">
        <is>
          <t>NAUKRI</t>
        </is>
      </c>
      <c r="B165" s="31" t="inlineStr">
        <is>
          <t>Info Edge (india) Limited</t>
        </is>
      </c>
      <c r="C165" s="31" t="inlineStr">
        <is>
          <t>i.t</t>
        </is>
      </c>
      <c r="D165" s="31" t="inlineStr">
        <is>
          <t>miscellaneous</t>
        </is>
      </c>
      <c r="E165" s="31" t="inlineStr">
        <is>
          <t>largecap</t>
        </is>
      </c>
      <c r="F165" s="31" t="n">
        <v>80913.16</v>
      </c>
      <c r="G165" s="31" t="n">
        <v>1244.05</v>
      </c>
      <c r="H165" s="31" t="n">
        <v>-0.3</v>
      </c>
      <c r="I165" s="31" t="n">
        <v>1007603</v>
      </c>
      <c r="J165" s="31" t="inlineStr">
        <is>
          <t>532777</t>
        </is>
      </c>
    </row>
    <row r="166">
      <c r="A166" s="31" t="inlineStr">
        <is>
          <t>M&amp;MFIN</t>
        </is>
      </c>
      <c r="B166" s="31" t="inlineStr">
        <is>
          <t>Mahindra &amp; Mahindra Financial Services Limited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largecap</t>
        </is>
      </c>
      <c r="F166" s="31" t="n">
        <v>54730.11</v>
      </c>
      <c r="G166" s="31" t="n">
        <v>392.55</v>
      </c>
      <c r="H166" s="31" t="n">
        <v>-0.3</v>
      </c>
      <c r="I166" s="31" t="n">
        <v>5618806</v>
      </c>
      <c r="J166" s="31" t="inlineStr">
        <is>
          <t>532720</t>
        </is>
      </c>
    </row>
    <row r="167">
      <c r="A167" s="31" t="inlineStr">
        <is>
          <t>BHARATFORG</t>
        </is>
      </c>
      <c r="B167" s="31" t="inlineStr">
        <is>
          <t>Bharat Forge Limited</t>
        </is>
      </c>
      <c r="C167" s="31" t="inlineStr">
        <is>
          <t>industrials</t>
        </is>
      </c>
      <c r="D167" s="31" t="inlineStr">
        <is>
          <t>castings &amp; forgings</t>
        </is>
      </c>
      <c r="E167" s="31" t="inlineStr">
        <is>
          <t>largecap</t>
        </is>
      </c>
      <c r="F167" s="31" t="n">
        <v>103816.95</v>
      </c>
      <c r="G167" s="31" t="n">
        <v>2164.7</v>
      </c>
      <c r="H167" s="31" t="n">
        <v>-0.31</v>
      </c>
      <c r="I167" s="31" t="n">
        <v>317987</v>
      </c>
      <c r="J167" s="31" t="inlineStr">
        <is>
          <t>500493</t>
        </is>
      </c>
    </row>
    <row r="168">
      <c r="A168" s="31" t="inlineStr">
        <is>
          <t>IDFCFIRSTB</t>
        </is>
      </c>
      <c r="B168" s="31" t="inlineStr">
        <is>
          <t>IDFC First Bank Ltd</t>
        </is>
      </c>
      <c r="C168" s="31" t="inlineStr">
        <is>
          <t>bank</t>
        </is>
      </c>
      <c r="D168" s="31" t="inlineStr">
        <is>
          <t>banks - private sector</t>
        </is>
      </c>
      <c r="E168" s="31" t="inlineStr">
        <is>
          <t>largecap</t>
        </is>
      </c>
      <c r="F168" s="31" t="n">
        <v>73242.48</v>
      </c>
      <c r="G168" s="31" t="n">
        <v>84.76000000000001</v>
      </c>
      <c r="H168" s="31" t="n">
        <v>-0.31</v>
      </c>
      <c r="I168" s="31" t="n">
        <v>19103686</v>
      </c>
      <c r="J168" s="31" t="inlineStr">
        <is>
          <t>539437</t>
        </is>
      </c>
    </row>
    <row r="169">
      <c r="A169" s="31" t="inlineStr">
        <is>
          <t>ETERNAL</t>
        </is>
      </c>
      <c r="B169" s="31" t="inlineStr">
        <is>
          <t>Eternal Ltd</t>
        </is>
      </c>
      <c r="C169" s="31" t="inlineStr">
        <is>
          <t>i.t</t>
        </is>
      </c>
      <c r="D169" s="31" t="inlineStr">
        <is>
          <t>miscellaneous</t>
        </is>
      </c>
      <c r="E169" s="31" t="inlineStr">
        <is>
          <t>largecap</t>
        </is>
      </c>
      <c r="F169" s="31" t="n">
        <v>300897.93</v>
      </c>
      <c r="G169" s="31" t="n">
        <v>310.65</v>
      </c>
      <c r="H169" s="31" t="n">
        <v>-0.37</v>
      </c>
      <c r="I169" s="31" t="n">
        <v>32431887</v>
      </c>
      <c r="J169" s="31" t="inlineStr">
        <is>
          <t>543320</t>
        </is>
      </c>
    </row>
    <row r="170">
      <c r="A170" s="31" t="inlineStr">
        <is>
          <t>AMNPLST</t>
        </is>
      </c>
      <c r="B170" s="31" t="inlineStr">
        <is>
          <t>Amines &amp; Plasticizers Ltd</t>
        </is>
      </c>
      <c r="C170" s="31" t="inlineStr">
        <is>
          <t>chemicals</t>
        </is>
      </c>
      <c r="D170" s="31" t="inlineStr">
        <is>
          <t>chemicals</t>
        </is>
      </c>
      <c r="E170" s="31" t="inlineStr">
        <is>
          <t>smallcap</t>
        </is>
      </c>
      <c r="F170" s="31" t="n">
        <v>1107.44</v>
      </c>
      <c r="G170" s="31" t="n">
        <v>200.51</v>
      </c>
      <c r="H170" s="31" t="n">
        <v>-0.38</v>
      </c>
      <c r="I170" s="31" t="n">
        <v>7392</v>
      </c>
      <c r="J170" s="31" t="inlineStr">
        <is>
          <t>506248</t>
        </is>
      </c>
    </row>
    <row r="171">
      <c r="A171" s="31" t="inlineStr">
        <is>
          <t>ATHERENERG</t>
        </is>
      </c>
      <c r="B171" s="31" t="inlineStr">
        <is>
          <t>Ather Energy Ltd</t>
        </is>
      </c>
      <c r="C171" s="31" t="inlineStr">
        <is>
          <t>auto</t>
        </is>
      </c>
      <c r="D171" s="31" t="inlineStr">
        <is>
          <t>automobiles - scooters and 3 - wheelers</t>
        </is>
      </c>
      <c r="E171" s="31" t="inlineStr">
        <is>
          <t>largecap</t>
        </is>
      </c>
      <c r="F171" s="31" t="n">
        <v>47740.7</v>
      </c>
      <c r="G171" s="31" t="n">
        <v>1240.9</v>
      </c>
      <c r="H171" s="31" t="n">
        <v>-0.42</v>
      </c>
      <c r="I171" s="31" t="n">
        <v>2463994</v>
      </c>
      <c r="J171" s="31" t="inlineStr">
        <is>
          <t>544397</t>
        </is>
      </c>
    </row>
    <row r="172">
      <c r="A172" s="31" t="inlineStr">
        <is>
          <t>ASIANPAINT</t>
        </is>
      </c>
      <c r="B172" s="31" t="inlineStr">
        <is>
          <t>Asian Paints Limited</t>
        </is>
      </c>
      <c r="C172" s="31" t="inlineStr">
        <is>
          <t>building materials</t>
        </is>
      </c>
      <c r="D172" s="31" t="inlineStr">
        <is>
          <t>paints / varnishes</t>
        </is>
      </c>
      <c r="E172" s="31" t="inlineStr">
        <is>
          <t>largecap</t>
        </is>
      </c>
      <c r="F172" s="31" t="n">
        <v>264585.12</v>
      </c>
      <c r="G172" s="31" t="n">
        <v>2746.2</v>
      </c>
      <c r="H172" s="31" t="n">
        <v>-0.44</v>
      </c>
      <c r="I172" s="31" t="n">
        <v>2387024</v>
      </c>
      <c r="J172" s="31" t="inlineStr">
        <is>
          <t>500820</t>
        </is>
      </c>
    </row>
    <row r="173">
      <c r="A173" s="31" t="inlineStr">
        <is>
          <t>JSWSTEEL</t>
        </is>
      </c>
      <c r="B173" s="31" t="inlineStr">
        <is>
          <t>Jsw Steel Limited</t>
        </is>
      </c>
      <c r="C173" s="31" t="inlineStr">
        <is>
          <t>metals &amp; mining</t>
        </is>
      </c>
      <c r="D173" s="31" t="inlineStr">
        <is>
          <t>steel - large</t>
        </is>
      </c>
      <c r="E173" s="31" t="inlineStr">
        <is>
          <t>largecap</t>
        </is>
      </c>
      <c r="F173" s="31" t="n">
        <v>312186.65</v>
      </c>
      <c r="G173" s="31" t="n">
        <v>1270.8</v>
      </c>
      <c r="H173" s="31" t="n">
        <v>-0.45</v>
      </c>
      <c r="I173" s="31" t="n">
        <v>923153</v>
      </c>
      <c r="J173" s="31" t="inlineStr">
        <is>
          <t>500228</t>
        </is>
      </c>
    </row>
    <row r="174">
      <c r="A174" s="31" t="inlineStr">
        <is>
          <t>PAISALO</t>
        </is>
      </c>
      <c r="B174" s="31" t="inlineStr">
        <is>
          <t>Paisalo Digital Ltd</t>
        </is>
      </c>
      <c r="C174" s="31" t="inlineStr">
        <is>
          <t>financials</t>
        </is>
      </c>
      <c r="D174" s="31" t="inlineStr">
        <is>
          <t>finance &amp; investments</t>
        </is>
      </c>
      <c r="E174" s="31" t="inlineStr">
        <is>
          <t>midcap</t>
        </is>
      </c>
      <c r="F174" s="31" t="n">
        <v>6493.08</v>
      </c>
      <c r="G174" s="31" t="n">
        <v>71.06</v>
      </c>
      <c r="H174" s="31" t="n">
        <v>-0.46</v>
      </c>
      <c r="I174" s="31" t="n">
        <v>5986967</v>
      </c>
      <c r="J174" s="31" t="inlineStr">
        <is>
          <t>532900</t>
        </is>
      </c>
    </row>
    <row r="175">
      <c r="A175" s="31" t="inlineStr">
        <is>
          <t>KKCL</t>
        </is>
      </c>
      <c r="B175" s="31" t="inlineStr">
        <is>
          <t>Kewal Kiran Clothing Limited</t>
        </is>
      </c>
      <c r="C175" s="31" t="inlineStr">
        <is>
          <t>consumer discretionary</t>
        </is>
      </c>
      <c r="D175" s="31" t="inlineStr">
        <is>
          <t>textiles - products</t>
        </is>
      </c>
      <c r="E175" s="31" t="inlineStr">
        <is>
          <t>smallcap</t>
        </is>
      </c>
      <c r="F175" s="31" t="n">
        <v>3130.56</v>
      </c>
      <c r="G175" s="31" t="n">
        <v>505.65</v>
      </c>
      <c r="H175" s="31" t="n">
        <v>-0.46</v>
      </c>
      <c r="I175" s="31" t="n">
        <v>15190</v>
      </c>
      <c r="J175" s="31" t="inlineStr">
        <is>
          <t>532732</t>
        </is>
      </c>
    </row>
    <row r="176">
      <c r="A176" s="31" t="inlineStr">
        <is>
          <t>NELCO</t>
        </is>
      </c>
      <c r="B176" s="31" t="inlineStr">
        <is>
          <t>Nelco Limited</t>
        </is>
      </c>
      <c r="C176" s="31" t="inlineStr">
        <is>
          <t>telecom</t>
        </is>
      </c>
      <c r="D176" s="31" t="inlineStr">
        <is>
          <t>telecommunications - service provider</t>
        </is>
      </c>
      <c r="E176" s="31" t="inlineStr">
        <is>
          <t>smallcap</t>
        </is>
      </c>
      <c r="F176" s="31" t="n">
        <v>2131.47</v>
      </c>
      <c r="G176" s="31" t="n">
        <v>929.75</v>
      </c>
      <c r="H176" s="31" t="n">
        <v>-0.47</v>
      </c>
      <c r="I176" s="31" t="n">
        <v>235504</v>
      </c>
      <c r="J176" s="31" t="inlineStr">
        <is>
          <t>504112</t>
        </is>
      </c>
    </row>
    <row r="177">
      <c r="A177" s="31" t="inlineStr">
        <is>
          <t>MANAPPURAM</t>
        </is>
      </c>
      <c r="B177" s="31" t="inlineStr">
        <is>
          <t>Manappuram Finance Limited</t>
        </is>
      </c>
      <c r="C177" s="31" t="inlineStr">
        <is>
          <t>financials</t>
        </is>
      </c>
      <c r="D177" s="31" t="inlineStr">
        <is>
          <t>finance &amp; investments</t>
        </is>
      </c>
      <c r="E177" s="31" t="inlineStr">
        <is>
          <t>largecap</t>
        </is>
      </c>
      <c r="F177" s="31" t="n">
        <v>34769.53</v>
      </c>
      <c r="G177" s="31" t="n">
        <v>368.35</v>
      </c>
      <c r="H177" s="31" t="n">
        <v>-0.49</v>
      </c>
      <c r="I177" s="31" t="n">
        <v>8719819</v>
      </c>
      <c r="J177" s="31" t="inlineStr">
        <is>
          <t>531213</t>
        </is>
      </c>
    </row>
    <row r="178">
      <c r="A178" s="31" t="inlineStr">
        <is>
          <t>MAHLIFE</t>
        </is>
      </c>
      <c r="B178" s="31" t="inlineStr">
        <is>
          <t>Mahindra Lifespace Developers Limited</t>
        </is>
      </c>
      <c r="C178" s="31" t="inlineStr">
        <is>
          <t>realty</t>
        </is>
      </c>
      <c r="D178" s="31" t="inlineStr">
        <is>
          <t>construction</t>
        </is>
      </c>
      <c r="E178" s="31" t="inlineStr">
        <is>
          <t>midcap</t>
        </is>
      </c>
      <c r="F178" s="31" t="n">
        <v>8263.83</v>
      </c>
      <c r="G178" s="31" t="n">
        <v>385.4</v>
      </c>
      <c r="H178" s="31" t="n">
        <v>-0.5</v>
      </c>
      <c r="I178" s="31" t="n">
        <v>72952</v>
      </c>
      <c r="J178" s="31" t="inlineStr">
        <is>
          <t>532313</t>
        </is>
      </c>
    </row>
    <row r="179">
      <c r="A179" s="31" t="inlineStr">
        <is>
          <t>SHAILY</t>
        </is>
      </c>
      <c r="B179" s="31" t="inlineStr">
        <is>
          <t>Shaily Engineering Plastics Ltd</t>
        </is>
      </c>
      <c r="C179" s="31" t="inlineStr">
        <is>
          <t>plastic products</t>
        </is>
      </c>
      <c r="D179" s="31" t="inlineStr">
        <is>
          <t>plastics products</t>
        </is>
      </c>
      <c r="E179" s="31" t="inlineStr">
        <is>
          <t>midcap</t>
        </is>
      </c>
      <c r="F179" s="31" t="n">
        <v>14001.87</v>
      </c>
      <c r="G179" s="31" t="n">
        <v>3029.1</v>
      </c>
      <c r="H179" s="31" t="n">
        <v>-0.5</v>
      </c>
      <c r="I179" s="31" t="n">
        <v>94943</v>
      </c>
      <c r="J179" s="31" t="inlineStr">
        <is>
          <t>501423</t>
        </is>
      </c>
    </row>
    <row r="180">
      <c r="A180" s="31" t="inlineStr">
        <is>
          <t>WELINV</t>
        </is>
      </c>
      <c r="B180" s="31" t="inlineStr">
        <is>
          <t>Welspun Investments And Commercials Limited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smallcap</t>
        </is>
      </c>
      <c r="F180" s="31" t="n">
        <v>690.7</v>
      </c>
      <c r="G180" s="31" t="n">
        <v>1879.9</v>
      </c>
      <c r="H180" s="31" t="n">
        <v>-0.53</v>
      </c>
      <c r="I180" s="31" t="n">
        <v>6</v>
      </c>
      <c r="J180" s="31" t="inlineStr">
        <is>
          <t>533252</t>
        </is>
      </c>
    </row>
    <row r="181">
      <c r="A181" s="31" t="inlineStr">
        <is>
          <t>ASTERDM</t>
        </is>
      </c>
      <c r="B181" s="31" t="inlineStr">
        <is>
          <t>Aster DM Healthcare Ltd</t>
        </is>
      </c>
      <c r="C181" s="31" t="inlineStr">
        <is>
          <t>healthcare</t>
        </is>
      </c>
      <c r="D181" s="31" t="inlineStr">
        <is>
          <t>healthcare</t>
        </is>
      </c>
      <c r="E181" s="31" t="inlineStr">
        <is>
          <t>largecap</t>
        </is>
      </c>
      <c r="F181" s="31" t="n">
        <v>71333.31</v>
      </c>
      <c r="G181" s="31" t="n">
        <v>814</v>
      </c>
      <c r="H181" s="31" t="n">
        <v>-0.53</v>
      </c>
      <c r="I181" s="31" t="n">
        <v>676830</v>
      </c>
      <c r="J181" s="31" t="inlineStr">
        <is>
          <t>540975</t>
        </is>
      </c>
    </row>
    <row r="182">
      <c r="A182" s="31" t="inlineStr">
        <is>
          <t>CIPLA</t>
        </is>
      </c>
      <c r="B182" s="31" t="inlineStr">
        <is>
          <t>Cipla Limited</t>
        </is>
      </c>
      <c r="C182" s="31" t="inlineStr">
        <is>
          <t>healthcare</t>
        </is>
      </c>
      <c r="D182" s="31" t="inlineStr">
        <is>
          <t>pharmaceuticals - indian - bulk drugs &amp; formln</t>
        </is>
      </c>
      <c r="E182" s="31" t="inlineStr">
        <is>
          <t>largecap</t>
        </is>
      </c>
      <c r="F182" s="31" t="n">
        <v>119100.63</v>
      </c>
      <c r="G182" s="31" t="n">
        <v>1466.4</v>
      </c>
      <c r="H182" s="31" t="n">
        <v>-0.54</v>
      </c>
      <c r="I182" s="31" t="n">
        <v>833068</v>
      </c>
      <c r="J182" s="31" t="inlineStr">
        <is>
          <t>500087</t>
        </is>
      </c>
    </row>
    <row r="183">
      <c r="A183" s="31" t="inlineStr">
        <is>
          <t>CYIENTDLM</t>
        </is>
      </c>
      <c r="B183" s="31" t="inlineStr">
        <is>
          <t>Cyient DLM Ltd</t>
        </is>
      </c>
      <c r="C183" s="31" t="inlineStr">
        <is>
          <t>consumer discretionary</t>
        </is>
      </c>
      <c r="D183" s="31" t="inlineStr">
        <is>
          <t>electronics - components</t>
        </is>
      </c>
      <c r="E183" s="31" t="inlineStr">
        <is>
          <t>midcap</t>
        </is>
      </c>
      <c r="F183" s="31" t="n">
        <v>5411.96</v>
      </c>
      <c r="G183" s="31" t="n">
        <v>678.1</v>
      </c>
      <c r="H183" s="31" t="n">
        <v>-0.54</v>
      </c>
      <c r="I183" s="31" t="n">
        <v>385599</v>
      </c>
      <c r="J183" s="31" t="inlineStr">
        <is>
          <t>543933</t>
        </is>
      </c>
    </row>
    <row r="184">
      <c r="A184" s="31" t="inlineStr">
        <is>
          <t>MONARCH</t>
        </is>
      </c>
      <c r="B184" s="31" t="inlineStr">
        <is>
          <t>Monarch Networth Capital Ltd</t>
        </is>
      </c>
      <c r="C184" s="31" t="inlineStr">
        <is>
          <t>financials</t>
        </is>
      </c>
      <c r="D184" s="31" t="inlineStr">
        <is>
          <t>finance &amp; investments</t>
        </is>
      </c>
      <c r="E184" s="31" t="inlineStr">
        <is>
          <t>smallcap</t>
        </is>
      </c>
      <c r="F184" s="31" t="n">
        <v>3080.73</v>
      </c>
      <c r="G184" s="31" t="n">
        <v>386.2</v>
      </c>
      <c r="H184" s="31" t="n">
        <v>-0.58</v>
      </c>
      <c r="I184" s="31" t="n">
        <v>133642</v>
      </c>
      <c r="J184" s="31" t="inlineStr">
        <is>
          <t>511551</t>
        </is>
      </c>
    </row>
    <row r="185">
      <c r="A185" s="31" t="inlineStr">
        <is>
          <t>PNGJL</t>
        </is>
      </c>
      <c r="B185" s="31" t="inlineStr">
        <is>
          <t>P N Gadgil Jewellers Ltd</t>
        </is>
      </c>
      <c r="C185" s="31" t="inlineStr">
        <is>
          <t>consumer discretionary</t>
        </is>
      </c>
      <c r="D185" s="31" t="inlineStr">
        <is>
          <t>diamond cutting / jewellery</t>
        </is>
      </c>
      <c r="E185" s="31" t="inlineStr">
        <is>
          <t>midcap</t>
        </is>
      </c>
      <c r="F185" s="31" t="n">
        <v>9094.49</v>
      </c>
      <c r="G185" s="31" t="n">
        <v>666.15</v>
      </c>
      <c r="H185" s="31" t="n">
        <v>-0.6</v>
      </c>
      <c r="I185" s="31" t="n">
        <v>970169</v>
      </c>
      <c r="J185" s="31" t="n"/>
    </row>
    <row r="186">
      <c r="A186" s="31" t="inlineStr">
        <is>
          <t>GLAXO</t>
        </is>
      </c>
      <c r="B186" s="31" t="inlineStr">
        <is>
          <t>Glaxosmithkline Pharmaceuticals Limited</t>
        </is>
      </c>
      <c r="C186" s="31" t="inlineStr">
        <is>
          <t>healthcare</t>
        </is>
      </c>
      <c r="D186" s="31" t="inlineStr">
        <is>
          <t>pharmaceuticals - multinational</t>
        </is>
      </c>
      <c r="E186" s="31" t="inlineStr">
        <is>
          <t>largecap</t>
        </is>
      </c>
      <c r="F186" s="31" t="n">
        <v>44492.8</v>
      </c>
      <c r="G186" s="31" t="n">
        <v>2610.7</v>
      </c>
      <c r="H186" s="31" t="n">
        <v>-0.6</v>
      </c>
      <c r="I186" s="31" t="n">
        <v>68326</v>
      </c>
      <c r="J186" s="31" t="inlineStr">
        <is>
          <t>500660</t>
        </is>
      </c>
    </row>
    <row r="187">
      <c r="A187" s="31" t="inlineStr">
        <is>
          <t>ANANTRAJ</t>
        </is>
      </c>
      <c r="B187" s="31" t="inlineStr">
        <is>
          <t>Anant Raj Limited</t>
        </is>
      </c>
      <c r="C187" s="31" t="inlineStr">
        <is>
          <t>realty</t>
        </is>
      </c>
      <c r="D187" s="31" t="inlineStr">
        <is>
          <t>construction</t>
        </is>
      </c>
      <c r="E187" s="31" t="inlineStr">
        <is>
          <t>largecap</t>
        </is>
      </c>
      <c r="F187" s="31" t="n">
        <v>22074.85</v>
      </c>
      <c r="G187" s="31" t="n">
        <v>609.6</v>
      </c>
      <c r="H187" s="31" t="n">
        <v>-0.62</v>
      </c>
      <c r="I187" s="31" t="n">
        <v>3018560</v>
      </c>
      <c r="J187" s="31" t="inlineStr">
        <is>
          <t>515055</t>
        </is>
      </c>
    </row>
    <row r="188">
      <c r="A188" s="31" t="inlineStr">
        <is>
          <t>MANORAMA</t>
        </is>
      </c>
      <c r="B188" s="31" t="inlineStr">
        <is>
          <t>Manorama Industries Ltd</t>
        </is>
      </c>
      <c r="C188" s="31" t="inlineStr">
        <is>
          <t>fmcg</t>
        </is>
      </c>
      <c r="D188" s="31" t="inlineStr">
        <is>
          <t>food - processing - indian</t>
        </is>
      </c>
      <c r="E188" s="31" t="inlineStr">
        <is>
          <t>midcap</t>
        </is>
      </c>
      <c r="F188" s="31" t="n">
        <v>9826.83</v>
      </c>
      <c r="G188" s="31" t="n">
        <v>1635.2</v>
      </c>
      <c r="H188" s="31" t="n">
        <v>-0.64</v>
      </c>
      <c r="I188" s="31" t="n">
        <v>52428</v>
      </c>
      <c r="J188" s="31" t="inlineStr">
        <is>
          <t>541974</t>
        </is>
      </c>
    </row>
    <row r="189">
      <c r="A189" s="31" t="inlineStr">
        <is>
          <t>DIVGIITTS</t>
        </is>
      </c>
      <c r="B189" s="31" t="inlineStr">
        <is>
          <t>Divgi Torqtransfer Systems Ltd</t>
        </is>
      </c>
      <c r="C189" s="31" t="inlineStr">
        <is>
          <t>auto</t>
        </is>
      </c>
      <c r="D189" s="31" t="inlineStr">
        <is>
          <t>auto ancillaries</t>
        </is>
      </c>
      <c r="E189" s="31" t="inlineStr">
        <is>
          <t>smallcap</t>
        </is>
      </c>
      <c r="F189" s="31" t="n">
        <v>2937.03</v>
      </c>
      <c r="G189" s="31" t="n">
        <v>954.1</v>
      </c>
      <c r="H189" s="31" t="n">
        <v>-0.65</v>
      </c>
      <c r="I189" s="31" t="n">
        <v>29318</v>
      </c>
      <c r="J189" s="31" t="inlineStr">
        <is>
          <t>543812</t>
        </is>
      </c>
    </row>
    <row r="190">
      <c r="A190" s="31" t="inlineStr">
        <is>
          <t>MANKIND</t>
        </is>
      </c>
      <c r="B190" s="31" t="inlineStr">
        <is>
          <t>Mankind Pharma Ltd</t>
        </is>
      </c>
      <c r="C190" s="31" t="inlineStr">
        <is>
          <t>healthcare</t>
        </is>
      </c>
      <c r="D190" s="31" t="inlineStr">
        <is>
          <t>pharmaceuticals - indian - bulk drugs &amp; formln</t>
        </is>
      </c>
      <c r="E190" s="31" t="inlineStr">
        <is>
          <t>largecap</t>
        </is>
      </c>
      <c r="F190" s="31" t="n">
        <v>107077.47</v>
      </c>
      <c r="G190" s="31" t="n">
        <v>2575.9</v>
      </c>
      <c r="H190" s="31" t="n">
        <v>-0.65</v>
      </c>
      <c r="I190" s="31" t="n">
        <v>294648</v>
      </c>
      <c r="J190" s="31" t="inlineStr">
        <is>
          <t>543904</t>
        </is>
      </c>
    </row>
    <row r="191">
      <c r="A191" s="31" t="inlineStr">
        <is>
          <t>GPTHEALTH</t>
        </is>
      </c>
      <c r="B191" s="31" t="inlineStr">
        <is>
          <t>GPT Healthcare Ltd</t>
        </is>
      </c>
      <c r="C191" s="31" t="inlineStr">
        <is>
          <t>healthcare</t>
        </is>
      </c>
      <c r="D191" s="31" t="inlineStr">
        <is>
          <t>healthcare</t>
        </is>
      </c>
      <c r="E191" s="31" t="inlineStr">
        <is>
          <t>smallcap</t>
        </is>
      </c>
      <c r="F191" s="31" t="n">
        <v>1371.87</v>
      </c>
      <c r="G191" s="31" t="n">
        <v>166.04</v>
      </c>
      <c r="H191" s="31" t="n">
        <v>-0.6899999999999999</v>
      </c>
      <c r="I191" s="31" t="n">
        <v>224181</v>
      </c>
      <c r="J191" s="31" t="inlineStr">
        <is>
          <t>544131</t>
        </is>
      </c>
    </row>
    <row r="192">
      <c r="A192" s="31" t="inlineStr">
        <is>
          <t>MUNJALSHOW</t>
        </is>
      </c>
      <c r="B192" s="31" t="inlineStr">
        <is>
          <t>Munjal Showa Limited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smallcap</t>
        </is>
      </c>
      <c r="F192" s="31" t="n">
        <v>548.53</v>
      </c>
      <c r="G192" s="31" t="n">
        <v>136.16</v>
      </c>
      <c r="H192" s="31" t="n">
        <v>-0.72</v>
      </c>
      <c r="I192" s="31" t="n">
        <v>70068</v>
      </c>
      <c r="J192" s="31" t="inlineStr">
        <is>
          <t>520043</t>
        </is>
      </c>
    </row>
    <row r="193">
      <c r="A193" s="31" t="inlineStr">
        <is>
          <t>STOVEKRAFT</t>
        </is>
      </c>
      <c r="B193" s="31" t="inlineStr">
        <is>
          <t>Stove Kraft Ltd</t>
        </is>
      </c>
      <c r="C193" s="31" t="inlineStr">
        <is>
          <t>consumer discretionary</t>
        </is>
      </c>
      <c r="D193" s="31" t="inlineStr">
        <is>
          <t>domestic appliances</t>
        </is>
      </c>
      <c r="E193" s="31" t="inlineStr">
        <is>
          <t>smallcap</t>
        </is>
      </c>
      <c r="F193" s="31" t="n">
        <v>2672.42</v>
      </c>
      <c r="G193" s="31" t="n">
        <v>801.2</v>
      </c>
      <c r="H193" s="31" t="n">
        <v>-0.74</v>
      </c>
      <c r="I193" s="31" t="n">
        <v>96982</v>
      </c>
      <c r="J193" s="31" t="inlineStr">
        <is>
          <t>543260</t>
        </is>
      </c>
    </row>
    <row r="194">
      <c r="A194" s="31" t="inlineStr">
        <is>
          <t>HESTERBIO</t>
        </is>
      </c>
      <c r="B194" s="31" t="inlineStr">
        <is>
          <t>Hester Biosciences Limited</t>
        </is>
      </c>
      <c r="C194" s="31" t="inlineStr">
        <is>
          <t>healthcare</t>
        </is>
      </c>
      <c r="D194" s="31" t="inlineStr">
        <is>
          <t>pharmaceuticals - indian - formulations</t>
        </is>
      </c>
      <c r="E194" s="31" t="inlineStr">
        <is>
          <t>smallcap</t>
        </is>
      </c>
      <c r="F194" s="31" t="n">
        <v>2124.08</v>
      </c>
      <c r="G194" s="31" t="n">
        <v>2478.2</v>
      </c>
      <c r="H194" s="31" t="n">
        <v>-0.75</v>
      </c>
      <c r="I194" s="31" t="n">
        <v>450573</v>
      </c>
      <c r="J194" s="31" t="inlineStr">
        <is>
          <t>524669</t>
        </is>
      </c>
    </row>
    <row r="195">
      <c r="A195" s="31" t="inlineStr">
        <is>
          <t>PVRINOX</t>
        </is>
      </c>
      <c r="B195" s="31" t="inlineStr">
        <is>
          <t>PVR Inox Ltd</t>
        </is>
      </c>
      <c r="C195" s="31" t="inlineStr">
        <is>
          <t>media</t>
        </is>
      </c>
      <c r="D195" s="31" t="inlineStr">
        <is>
          <t>entertainment / electronic media software</t>
        </is>
      </c>
      <c r="E195" s="31" t="inlineStr">
        <is>
          <t>midcap</t>
        </is>
      </c>
      <c r="F195" s="31" t="n">
        <v>11194.8</v>
      </c>
      <c r="G195" s="31" t="n">
        <v>1131.45</v>
      </c>
      <c r="H195" s="31" t="n">
        <v>-0.75</v>
      </c>
      <c r="I195" s="31" t="n">
        <v>371133</v>
      </c>
      <c r="J195" s="31" t="inlineStr">
        <is>
          <t>532689</t>
        </is>
      </c>
    </row>
    <row r="196">
      <c r="A196" s="31" t="inlineStr">
        <is>
          <t>HCG</t>
        </is>
      </c>
      <c r="B196" s="31" t="inlineStr">
        <is>
          <t>Healthcare Global Enterprises Limited</t>
        </is>
      </c>
      <c r="C196" s="31" t="inlineStr">
        <is>
          <t>healthcare</t>
        </is>
      </c>
      <c r="D196" s="31" t="inlineStr">
        <is>
          <t>healthcare</t>
        </is>
      </c>
      <c r="E196" s="31" t="inlineStr">
        <is>
          <t>midcap</t>
        </is>
      </c>
      <c r="F196" s="31" t="n">
        <v>10074.17</v>
      </c>
      <c r="G196" s="31" t="n">
        <v>669.65</v>
      </c>
      <c r="H196" s="31" t="n">
        <v>-0.76</v>
      </c>
      <c r="I196" s="31" t="n">
        <v>156557</v>
      </c>
      <c r="J196" s="31" t="inlineStr">
        <is>
          <t>539787</t>
        </is>
      </c>
    </row>
    <row r="197">
      <c r="A197" s="31" t="inlineStr">
        <is>
          <t>BAJAJFINSV</t>
        </is>
      </c>
      <c r="B197" s="31" t="inlineStr">
        <is>
          <t>Bajaj Finserv Limited</t>
        </is>
      </c>
      <c r="C197" s="31" t="inlineStr">
        <is>
          <t>financials</t>
        </is>
      </c>
      <c r="D197" s="31" t="inlineStr">
        <is>
          <t>finance &amp; investments</t>
        </is>
      </c>
      <c r="E197" s="31" t="inlineStr">
        <is>
          <t>largecap</t>
        </is>
      </c>
      <c r="F197" s="31" t="n">
        <v>308009.84</v>
      </c>
      <c r="G197" s="31" t="n">
        <v>1909.4</v>
      </c>
      <c r="H197" s="31" t="n">
        <v>-0.78</v>
      </c>
      <c r="I197" s="31" t="n">
        <v>752615</v>
      </c>
      <c r="J197" s="31" t="inlineStr">
        <is>
          <t>532978</t>
        </is>
      </c>
    </row>
    <row r="198">
      <c r="A198" s="31" t="inlineStr">
        <is>
          <t>CENTENKA</t>
        </is>
      </c>
      <c r="B198" s="31" t="inlineStr">
        <is>
          <t>Century Enka Limited</t>
        </is>
      </c>
      <c r="C198" s="31" t="inlineStr">
        <is>
          <t>textiles</t>
        </is>
      </c>
      <c r="D198" s="31" t="inlineStr">
        <is>
          <t>textiles - manmade</t>
        </is>
      </c>
      <c r="E198" s="31" t="inlineStr">
        <is>
          <t>smallcap</t>
        </is>
      </c>
      <c r="F198" s="31" t="n">
        <v>1335.62</v>
      </c>
      <c r="G198" s="31" t="n">
        <v>606</v>
      </c>
      <c r="H198" s="31" t="n">
        <v>-0.86</v>
      </c>
      <c r="I198" s="31" t="n">
        <v>279362</v>
      </c>
      <c r="J198" s="31" t="inlineStr">
        <is>
          <t>500280</t>
        </is>
      </c>
    </row>
    <row r="199">
      <c r="A199" s="31" t="inlineStr">
        <is>
          <t>AUROPHARMA</t>
        </is>
      </c>
      <c r="B199" s="31" t="inlineStr">
        <is>
          <t>Aurobindo Pharma Limited</t>
        </is>
      </c>
      <c r="C199" s="31" t="inlineStr">
        <is>
          <t>healthcare</t>
        </is>
      </c>
      <c r="D199" s="31" t="inlineStr">
        <is>
          <t>pharmaceuticals - indian - bulk drugs &amp; formln</t>
        </is>
      </c>
      <c r="E199" s="31" t="inlineStr">
        <is>
          <t>largecap</t>
        </is>
      </c>
      <c r="F199" s="31" t="n">
        <v>91525.36</v>
      </c>
      <c r="G199" s="31" t="n">
        <v>1576.3</v>
      </c>
      <c r="H199" s="31" t="n">
        <v>-0.91</v>
      </c>
      <c r="I199" s="31" t="n">
        <v>733318</v>
      </c>
      <c r="J199" s="31" t="inlineStr">
        <is>
          <t>524804</t>
        </is>
      </c>
    </row>
    <row r="200">
      <c r="A200" s="31" t="inlineStr">
        <is>
          <t>SBILIFE</t>
        </is>
      </c>
      <c r="B200" s="31" t="inlineStr">
        <is>
          <t>SBI Life Insurance Company Ltd</t>
        </is>
      </c>
      <c r="C200" s="31" t="inlineStr">
        <is>
          <t>financials</t>
        </is>
      </c>
      <c r="D200" s="31" t="inlineStr">
        <is>
          <t>finance &amp; investments</t>
        </is>
      </c>
      <c r="E200" s="31" t="inlineStr">
        <is>
          <t>largecap</t>
        </is>
      </c>
      <c r="F200" s="31" t="n">
        <v>190104.05</v>
      </c>
      <c r="G200" s="31" t="n">
        <v>1877.5</v>
      </c>
      <c r="H200" s="31" t="n">
        <v>-0.92</v>
      </c>
      <c r="I200" s="31" t="n">
        <v>1513264</v>
      </c>
      <c r="J200" s="31" t="inlineStr">
        <is>
          <t>540719</t>
        </is>
      </c>
    </row>
    <row r="201">
      <c r="A201" s="31" t="inlineStr">
        <is>
          <t>OPTIEMUS</t>
        </is>
      </c>
      <c r="B201" s="31" t="inlineStr">
        <is>
          <t>Optiemus Infracom Ltd</t>
        </is>
      </c>
      <c r="C201" s="31" t="inlineStr">
        <is>
          <t>telecom</t>
        </is>
      </c>
      <c r="D201" s="31" t="inlineStr">
        <is>
          <t>trading</t>
        </is>
      </c>
      <c r="E201" s="31" t="inlineStr">
        <is>
          <t>midcap</t>
        </is>
      </c>
      <c r="F201" s="31" t="n">
        <v>5577.03</v>
      </c>
      <c r="G201" s="31" t="n">
        <v>618.85</v>
      </c>
      <c r="H201" s="31" t="n">
        <v>-0.95</v>
      </c>
      <c r="I201" s="31" t="n">
        <v>110844</v>
      </c>
      <c r="J201" s="31" t="inlineStr">
        <is>
          <t>530135</t>
        </is>
      </c>
    </row>
    <row r="202">
      <c r="A202" s="31" t="inlineStr">
        <is>
          <t>INDNIPPON</t>
        </is>
      </c>
      <c r="B202" s="31" t="inlineStr">
        <is>
          <t>India Nippon Electricals Limited</t>
        </is>
      </c>
      <c r="C202" s="31" t="inlineStr">
        <is>
          <t>auto</t>
        </is>
      </c>
      <c r="D202" s="31" t="inlineStr">
        <is>
          <t>auto ancillaries</t>
        </is>
      </c>
      <c r="E202" s="31" t="inlineStr">
        <is>
          <t>smallcap</t>
        </is>
      </c>
      <c r="F202" s="31" t="n">
        <v>2651</v>
      </c>
      <c r="G202" s="31" t="n">
        <v>1160.6</v>
      </c>
      <c r="H202" s="31" t="n">
        <v>-0.96</v>
      </c>
      <c r="I202" s="31" t="n">
        <v>16909</v>
      </c>
      <c r="J202" s="31" t="inlineStr">
        <is>
          <t>532240</t>
        </is>
      </c>
    </row>
    <row r="203">
      <c r="A203" s="31" t="inlineStr">
        <is>
          <t>POONAWALLA</t>
        </is>
      </c>
      <c r="B203" s="31" t="inlineStr">
        <is>
          <t>Poonawalla Fincorp Ltd</t>
        </is>
      </c>
      <c r="C203" s="31" t="inlineStr">
        <is>
          <t>financials</t>
        </is>
      </c>
      <c r="D203" s="31" t="inlineStr">
        <is>
          <t>finance &amp; investments</t>
        </is>
      </c>
      <c r="E203" s="31" t="inlineStr">
        <is>
          <t>largecap</t>
        </is>
      </c>
      <c r="F203" s="31" t="n">
        <v>42404.82</v>
      </c>
      <c r="G203" s="31" t="n">
        <v>476.9</v>
      </c>
      <c r="H203" s="31" t="n">
        <v>-0.98</v>
      </c>
      <c r="I203" s="31" t="n">
        <v>823341</v>
      </c>
      <c r="J203" s="31" t="inlineStr">
        <is>
          <t>524000</t>
        </is>
      </c>
    </row>
    <row r="204">
      <c r="A204" s="31" t="inlineStr">
        <is>
          <t>SIGMAADV</t>
        </is>
      </c>
      <c r="B204" s="31" t="inlineStr">
        <is>
          <t>Sigma Advanced System Ltd</t>
        </is>
      </c>
      <c r="C204" s="31" t="inlineStr">
        <is>
          <t>aerospace &amp; defence</t>
        </is>
      </c>
      <c r="D204" s="31" t="inlineStr">
        <is>
          <t>electronics - components</t>
        </is>
      </c>
      <c r="E204" s="31" t="inlineStr">
        <is>
          <t>midcap</t>
        </is>
      </c>
      <c r="F204" s="31" t="n">
        <v>10669.55</v>
      </c>
      <c r="G204" s="31" t="n">
        <v>599.4</v>
      </c>
      <c r="H204" s="31" t="n">
        <v>-0.99</v>
      </c>
      <c r="I204" s="31" t="n">
        <v>854299</v>
      </c>
      <c r="J204" s="31" t="inlineStr">
        <is>
          <t>532408</t>
        </is>
      </c>
    </row>
    <row r="205">
      <c r="A205" s="31" t="inlineStr">
        <is>
          <t>AEGISVOPAK</t>
        </is>
      </c>
      <c r="B205" s="31" t="inlineStr">
        <is>
          <t>Aegis Vopak Terminals Ltd</t>
        </is>
      </c>
      <c r="C205" s="31" t="inlineStr">
        <is>
          <t>transportation</t>
        </is>
      </c>
      <c r="D205" s="31" t="inlineStr">
        <is>
          <t>miscellaneous</t>
        </is>
      </c>
      <c r="E205" s="31" t="inlineStr">
        <is>
          <t>largecap</t>
        </is>
      </c>
      <c r="F205" s="31" t="n">
        <v>32731.18</v>
      </c>
      <c r="G205" s="31" t="n">
        <v>292.3</v>
      </c>
      <c r="H205" s="31" t="n">
        <v>-1.05</v>
      </c>
      <c r="I205" s="31" t="n">
        <v>658184</v>
      </c>
      <c r="J205" s="31" t="inlineStr">
        <is>
          <t>544407</t>
        </is>
      </c>
    </row>
    <row r="206">
      <c r="A206" s="31" t="inlineStr">
        <is>
          <t>GLAND</t>
        </is>
      </c>
      <c r="B206" s="31" t="inlineStr">
        <is>
          <t>Gland Pharma Ltd</t>
        </is>
      </c>
      <c r="C206" s="31" t="inlineStr">
        <is>
          <t>healthcare</t>
        </is>
      </c>
      <c r="D206" s="31" t="inlineStr">
        <is>
          <t>pharmaceuticals - indian - formulations</t>
        </is>
      </c>
      <c r="E206" s="31" t="inlineStr">
        <is>
          <t>largecap</t>
        </is>
      </c>
      <c r="F206" s="31" t="n">
        <v>41960.79</v>
      </c>
      <c r="G206" s="31" t="n">
        <v>2517</v>
      </c>
      <c r="H206" s="31" t="n">
        <v>-1.05</v>
      </c>
      <c r="I206" s="31" t="n">
        <v>745911</v>
      </c>
      <c r="J206" s="31" t="inlineStr">
        <is>
          <t>543245</t>
        </is>
      </c>
    </row>
    <row r="207">
      <c r="A207" s="31" t="inlineStr">
        <is>
          <t>METROPOLIS</t>
        </is>
      </c>
      <c r="B207" s="31" t="inlineStr">
        <is>
          <t>Metropolis Healthcare Ltd</t>
        </is>
      </c>
      <c r="C207" s="31" t="inlineStr">
        <is>
          <t>healthcare</t>
        </is>
      </c>
      <c r="D207" s="31" t="inlineStr">
        <is>
          <t>healthcare</t>
        </is>
      </c>
      <c r="E207" s="31" t="inlineStr">
        <is>
          <t>midcap</t>
        </is>
      </c>
      <c r="F207" s="31" t="n">
        <v>12265.76</v>
      </c>
      <c r="G207" s="31" t="n">
        <v>585.2</v>
      </c>
      <c r="H207" s="31" t="n">
        <v>-1.08</v>
      </c>
      <c r="I207" s="31" t="n">
        <v>460563</v>
      </c>
      <c r="J207" s="31" t="inlineStr">
        <is>
          <t>542650</t>
        </is>
      </c>
    </row>
    <row r="208">
      <c r="A208" s="31" t="inlineStr">
        <is>
          <t>TARSONS</t>
        </is>
      </c>
      <c r="B208" s="31" t="inlineStr">
        <is>
          <t>Tarsons Products Ltd</t>
        </is>
      </c>
      <c r="C208" s="31" t="inlineStr">
        <is>
          <t>healthcare</t>
        </is>
      </c>
      <c r="D208" s="31" t="inlineStr">
        <is>
          <t>miscellaneous</t>
        </is>
      </c>
      <c r="E208" s="31" t="inlineStr">
        <is>
          <t>smallcap</t>
        </is>
      </c>
      <c r="F208" s="31" t="n">
        <v>1702.6</v>
      </c>
      <c r="G208" s="31" t="n">
        <v>316.45</v>
      </c>
      <c r="H208" s="31" t="n">
        <v>-1.11</v>
      </c>
      <c r="I208" s="31" t="n">
        <v>47354</v>
      </c>
      <c r="J208" s="31" t="inlineStr">
        <is>
          <t>543399</t>
        </is>
      </c>
    </row>
    <row r="209">
      <c r="A209" s="31" t="inlineStr">
        <is>
          <t>VAIBHAVGBL</t>
        </is>
      </c>
      <c r="B209" s="31" t="inlineStr">
        <is>
          <t>Vaibhav Global Limited</t>
        </is>
      </c>
      <c r="C209" s="31" t="inlineStr">
        <is>
          <t>consumer discretionary</t>
        </is>
      </c>
      <c r="D209" s="31" t="inlineStr">
        <is>
          <t>diamond cutting / jewellery</t>
        </is>
      </c>
      <c r="E209" s="31" t="inlineStr">
        <is>
          <t>smallcap</t>
        </is>
      </c>
      <c r="F209" s="31" t="n">
        <v>4461.61</v>
      </c>
      <c r="G209" s="31" t="n">
        <v>263.6</v>
      </c>
      <c r="H209" s="31" t="n">
        <v>-1.13</v>
      </c>
      <c r="I209" s="31" t="n">
        <v>285167</v>
      </c>
      <c r="J209" s="31" t="inlineStr">
        <is>
          <t>532156</t>
        </is>
      </c>
    </row>
    <row r="210">
      <c r="A210" s="31" t="inlineStr">
        <is>
          <t>MEDANTA</t>
        </is>
      </c>
      <c r="B210" s="31" t="inlineStr">
        <is>
          <t>Global Health Ltd</t>
        </is>
      </c>
      <c r="C210" s="31" t="inlineStr">
        <is>
          <t>healthcare</t>
        </is>
      </c>
      <c r="D210" s="31" t="inlineStr">
        <is>
          <t>healthcare</t>
        </is>
      </c>
      <c r="E210" s="31" t="inlineStr">
        <is>
          <t>largecap</t>
        </is>
      </c>
      <c r="F210" s="31" t="n">
        <v>38526.64</v>
      </c>
      <c r="G210" s="31" t="n">
        <v>1416.4</v>
      </c>
      <c r="H210" s="31" t="n">
        <v>-1.15</v>
      </c>
      <c r="I210" s="31" t="n">
        <v>234633</v>
      </c>
      <c r="J210" s="31" t="inlineStr">
        <is>
          <t>543654</t>
        </is>
      </c>
    </row>
    <row r="211">
      <c r="A211" s="31" t="inlineStr">
        <is>
          <t>UNIVCABLES</t>
        </is>
      </c>
      <c r="B211" s="31" t="inlineStr">
        <is>
          <t>Universal Cables Limited</t>
        </is>
      </c>
      <c r="C211" s="31" t="inlineStr">
        <is>
          <t>industrials</t>
        </is>
      </c>
      <c r="D211" s="31" t="inlineStr">
        <is>
          <t>cables - power</t>
        </is>
      </c>
      <c r="E211" s="31" t="inlineStr">
        <is>
          <t>smallcap</t>
        </is>
      </c>
      <c r="F211" s="31" t="n">
        <v>4674.51</v>
      </c>
      <c r="G211" s="31" t="n">
        <v>1331.3</v>
      </c>
      <c r="H211" s="31" t="n">
        <v>-1.19</v>
      </c>
      <c r="I211" s="31" t="n">
        <v>92410</v>
      </c>
      <c r="J211" s="31" t="inlineStr">
        <is>
          <t>504212</t>
        </is>
      </c>
    </row>
    <row r="212">
      <c r="A212" s="31" t="inlineStr">
        <is>
          <t>HSCL</t>
        </is>
      </c>
      <c r="B212" s="31" t="inlineStr">
        <is>
          <t>Himadri Speciality Chemical Limited</t>
        </is>
      </c>
      <c r="C212" s="31" t="inlineStr">
        <is>
          <t>chemicals</t>
        </is>
      </c>
      <c r="D212" s="31" t="inlineStr">
        <is>
          <t>chemicals</t>
        </is>
      </c>
      <c r="E212" s="31" t="inlineStr">
        <is>
          <t>largecap</t>
        </is>
      </c>
      <c r="F212" s="31" t="n">
        <v>38844.66</v>
      </c>
      <c r="G212" s="31" t="n">
        <v>760.5</v>
      </c>
      <c r="H212" s="31" t="n">
        <v>-1.22</v>
      </c>
      <c r="I212" s="31" t="n">
        <v>3384244</v>
      </c>
      <c r="J212" s="31" t="inlineStr">
        <is>
          <t>500184</t>
        </is>
      </c>
    </row>
    <row r="213">
      <c r="A213" s="31" t="inlineStr">
        <is>
          <t>NAHARSPING</t>
        </is>
      </c>
      <c r="B213" s="31" t="inlineStr">
        <is>
          <t>Nahar Spinning Mills Limited</t>
        </is>
      </c>
      <c r="C213" s="31" t="inlineStr">
        <is>
          <t>textiles</t>
        </is>
      </c>
      <c r="D213" s="31" t="inlineStr">
        <is>
          <t>textiles - cotton/blended</t>
        </is>
      </c>
      <c r="E213" s="31" t="inlineStr">
        <is>
          <t>smallcap</t>
        </is>
      </c>
      <c r="F213" s="31" t="n">
        <v>1014.16</v>
      </c>
      <c r="G213" s="31" t="n">
        <v>277.75</v>
      </c>
      <c r="H213" s="31" t="n">
        <v>-1.23</v>
      </c>
      <c r="I213" s="31" t="n">
        <v>18915</v>
      </c>
      <c r="J213" s="31" t="inlineStr">
        <is>
          <t>500296</t>
        </is>
      </c>
    </row>
    <row r="214">
      <c r="A214" s="31" t="inlineStr">
        <is>
          <t>MPSLTD</t>
        </is>
      </c>
      <c r="B214" s="31" t="inlineStr">
        <is>
          <t>Mps Limited</t>
        </is>
      </c>
      <c r="C214" s="31" t="inlineStr">
        <is>
          <t>i.t</t>
        </is>
      </c>
      <c r="D214" s="31" t="inlineStr">
        <is>
          <t>computers - software - medium / small</t>
        </is>
      </c>
      <c r="E214" s="31" t="inlineStr">
        <is>
          <t>smallcap</t>
        </is>
      </c>
      <c r="F214" s="31" t="n">
        <v>4590.17</v>
      </c>
      <c r="G214" s="31" t="n">
        <v>2650.2</v>
      </c>
      <c r="H214" s="31" t="n">
        <v>-1.24</v>
      </c>
      <c r="I214" s="31" t="n">
        <v>24778</v>
      </c>
      <c r="J214" s="31" t="inlineStr">
        <is>
          <t>532440</t>
        </is>
      </c>
    </row>
    <row r="215">
      <c r="A215" s="31" t="inlineStr">
        <is>
          <t>RGL</t>
        </is>
      </c>
      <c r="B215" s="31" t="inlineStr">
        <is>
          <t>Renaissance Global Ltd</t>
        </is>
      </c>
      <c r="C215" s="31" t="inlineStr">
        <is>
          <t>consumer discretionary</t>
        </is>
      </c>
      <c r="D215" s="31" t="inlineStr">
        <is>
          <t>diamond cutting / jewellery</t>
        </is>
      </c>
      <c r="E215" s="31" t="inlineStr">
        <is>
          <t>smallcap</t>
        </is>
      </c>
      <c r="F215" s="31" t="n">
        <v>1299.8</v>
      </c>
      <c r="G215" s="31" t="n">
        <v>119.55</v>
      </c>
      <c r="H215" s="31" t="n">
        <v>-1.25</v>
      </c>
      <c r="I215" s="31" t="n">
        <v>287658</v>
      </c>
      <c r="J215" s="31" t="inlineStr">
        <is>
          <t>532923</t>
        </is>
      </c>
    </row>
    <row r="216">
      <c r="A216" s="31" t="inlineStr">
        <is>
          <t>RAIN</t>
        </is>
      </c>
      <c r="B216" s="31" t="inlineStr">
        <is>
          <t>Rain Industries Limited</t>
        </is>
      </c>
      <c r="C216" s="31" t="inlineStr">
        <is>
          <t>miscellaneous</t>
        </is>
      </c>
      <c r="D216" s="31" t="inlineStr">
        <is>
          <t>miscellaneous</t>
        </is>
      </c>
      <c r="E216" s="31" t="inlineStr">
        <is>
          <t>midcap</t>
        </is>
      </c>
      <c r="F216" s="31" t="n">
        <v>7553.31</v>
      </c>
      <c r="G216" s="31" t="n">
        <v>221.67</v>
      </c>
      <c r="H216" s="31" t="n">
        <v>-1.29</v>
      </c>
      <c r="I216" s="31" t="n">
        <v>2121179</v>
      </c>
      <c r="J216" s="31" t="inlineStr">
        <is>
          <t>500339</t>
        </is>
      </c>
    </row>
    <row r="217">
      <c r="A217" s="31" t="inlineStr">
        <is>
          <t>VRLLOG</t>
        </is>
      </c>
      <c r="B217" s="31" t="inlineStr">
        <is>
          <t>Vrl Logistics Limited</t>
        </is>
      </c>
      <c r="C217" s="31" t="inlineStr">
        <is>
          <t>transportation</t>
        </is>
      </c>
      <c r="D217" s="31" t="inlineStr">
        <is>
          <t>miscellaneous</t>
        </is>
      </c>
      <c r="E217" s="31" t="inlineStr">
        <is>
          <t>smallcap</t>
        </is>
      </c>
      <c r="F217" s="31" t="n">
        <v>4592.45</v>
      </c>
      <c r="G217" s="31" t="n">
        <v>259.1</v>
      </c>
      <c r="H217" s="31" t="n">
        <v>-1.3</v>
      </c>
      <c r="I217" s="31" t="n">
        <v>143273</v>
      </c>
      <c r="J217" s="31" t="inlineStr">
        <is>
          <t>539118</t>
        </is>
      </c>
    </row>
    <row r="218">
      <c r="A218" s="31" t="inlineStr">
        <is>
          <t>ONWARDTEC</t>
        </is>
      </c>
      <c r="B218" s="31" t="inlineStr">
        <is>
          <t>Onward Technologies Limited</t>
        </is>
      </c>
      <c r="C218" s="31" t="inlineStr">
        <is>
          <t>i.t</t>
        </is>
      </c>
      <c r="D218" s="31" t="inlineStr">
        <is>
          <t>computers - software - medium / small</t>
        </is>
      </c>
      <c r="E218" s="31" t="inlineStr">
        <is>
          <t>smallcap</t>
        </is>
      </c>
      <c r="F218" s="31" t="n">
        <v>662.5</v>
      </c>
      <c r="G218" s="31" t="n">
        <v>293.95</v>
      </c>
      <c r="H218" s="31" t="n">
        <v>-1.31</v>
      </c>
      <c r="I218" s="31" t="n">
        <v>50998</v>
      </c>
      <c r="J218" s="31" t="inlineStr">
        <is>
          <t>517536</t>
        </is>
      </c>
    </row>
    <row r="219">
      <c r="A219" s="31" t="inlineStr">
        <is>
          <t>INDIAGLYCO</t>
        </is>
      </c>
      <c r="B219" s="31" t="inlineStr">
        <is>
          <t>India Glycols Limited</t>
        </is>
      </c>
      <c r="C219" s="31" t="inlineStr">
        <is>
          <t>fmcg</t>
        </is>
      </c>
      <c r="D219" s="31" t="inlineStr">
        <is>
          <t>breweries &amp; distilleries</t>
        </is>
      </c>
      <c r="E219" s="31" t="inlineStr">
        <is>
          <t>midcap</t>
        </is>
      </c>
      <c r="F219" s="31" t="n">
        <v>7667.53</v>
      </c>
      <c r="G219" s="31" t="n">
        <v>1128.35</v>
      </c>
      <c r="H219" s="31" t="n">
        <v>-1.36</v>
      </c>
      <c r="I219" s="31" t="n">
        <v>116447</v>
      </c>
      <c r="J219" s="31" t="inlineStr">
        <is>
          <t>500201</t>
        </is>
      </c>
    </row>
    <row r="220">
      <c r="A220" s="31" t="inlineStr">
        <is>
          <t>WSTCSTPAPR</t>
        </is>
      </c>
      <c r="B220" s="31" t="inlineStr">
        <is>
          <t>West Coast Paper Mills Limited</t>
        </is>
      </c>
      <c r="C220" s="31" t="inlineStr">
        <is>
          <t>building materials</t>
        </is>
      </c>
      <c r="D220" s="31" t="inlineStr">
        <is>
          <t>paper</t>
        </is>
      </c>
      <c r="E220" s="31" t="inlineStr">
        <is>
          <t>smallcap</t>
        </is>
      </c>
      <c r="F220" s="31" t="n">
        <v>3766.77</v>
      </c>
      <c r="G220" s="31" t="n">
        <v>562.5</v>
      </c>
      <c r="H220" s="31" t="n">
        <v>-1.37</v>
      </c>
      <c r="I220" s="31" t="n">
        <v>59401</v>
      </c>
      <c r="J220" s="31" t="inlineStr">
        <is>
          <t>500444</t>
        </is>
      </c>
    </row>
    <row r="221">
      <c r="A221" s="31" t="inlineStr">
        <is>
          <t>BLSE</t>
        </is>
      </c>
      <c r="B221" s="31" t="inlineStr">
        <is>
          <t>BLS E-Services Ltd</t>
        </is>
      </c>
      <c r="C221" s="31" t="inlineStr">
        <is>
          <t>i.t</t>
        </is>
      </c>
      <c r="D221" s="31" t="inlineStr">
        <is>
          <t>computers - software - medium / small</t>
        </is>
      </c>
      <c r="E221" s="31" t="inlineStr">
        <is>
          <t>smallcap</t>
        </is>
      </c>
      <c r="F221" s="31" t="n">
        <v>2714.88</v>
      </c>
      <c r="G221" s="31" t="n">
        <v>294.72</v>
      </c>
      <c r="H221" s="31" t="n">
        <v>-1.37</v>
      </c>
      <c r="I221" s="31" t="n">
        <v>586016</v>
      </c>
      <c r="J221" s="31" t="inlineStr">
        <is>
          <t>544107</t>
        </is>
      </c>
    </row>
    <row r="222">
      <c r="A222" s="31" t="inlineStr">
        <is>
          <t>FEDERALBNK</t>
        </is>
      </c>
      <c r="B222" s="31" t="inlineStr">
        <is>
          <t>The Federal Bank  Limited</t>
        </is>
      </c>
      <c r="C222" s="31" t="inlineStr">
        <is>
          <t>bank</t>
        </is>
      </c>
      <c r="D222" s="31" t="inlineStr">
        <is>
          <t>banks - private sector</t>
        </is>
      </c>
      <c r="E222" s="31" t="inlineStr">
        <is>
          <t>largecap</t>
        </is>
      </c>
      <c r="F222" s="31" t="n">
        <v>88639.62</v>
      </c>
      <c r="G222" s="31" t="n">
        <v>354.15</v>
      </c>
      <c r="H222" s="31" t="n">
        <v>-1.39</v>
      </c>
      <c r="I222" s="31" t="n">
        <v>6259452</v>
      </c>
      <c r="J222" s="31" t="inlineStr">
        <is>
          <t>500469</t>
        </is>
      </c>
    </row>
    <row r="223">
      <c r="A223" s="31" t="inlineStr">
        <is>
          <t>HONAUT</t>
        </is>
      </c>
      <c r="B223" s="31" t="inlineStr">
        <is>
          <t>Honeywell Automation India Limited</t>
        </is>
      </c>
      <c r="C223" s="31" t="inlineStr">
        <is>
          <t>consumer discretionary</t>
        </is>
      </c>
      <c r="D223" s="31" t="inlineStr">
        <is>
          <t>electronics - components</t>
        </is>
      </c>
      <c r="E223" s="31" t="inlineStr">
        <is>
          <t>largecap</t>
        </is>
      </c>
      <c r="F223" s="31" t="n">
        <v>35458.93</v>
      </c>
      <c r="G223" s="31" t="n">
        <v>39505</v>
      </c>
      <c r="H223" s="31" t="n">
        <v>-1.5</v>
      </c>
      <c r="I223" s="31" t="n">
        <v>14732</v>
      </c>
      <c r="J223" s="31" t="inlineStr">
        <is>
          <t>517174</t>
        </is>
      </c>
    </row>
    <row r="224">
      <c r="A224" s="31" t="inlineStr">
        <is>
          <t>SILVERTUC</t>
        </is>
      </c>
      <c r="B224" s="31" t="inlineStr">
        <is>
          <t>Silver Touch Technologies Ltd</t>
        </is>
      </c>
      <c r="C224" s="31" t="inlineStr">
        <is>
          <t>i.t</t>
        </is>
      </c>
      <c r="D224" s="31" t="inlineStr">
        <is>
          <t>computers - software - medium / small</t>
        </is>
      </c>
      <c r="E224" s="31" t="inlineStr">
        <is>
          <t>smallcap</t>
        </is>
      </c>
      <c r="F224" s="31" t="n">
        <v>2662.88</v>
      </c>
      <c r="G224" s="31" t="n">
        <v>206.8</v>
      </c>
      <c r="H224" s="31" t="n">
        <v>-1.52</v>
      </c>
      <c r="I224" s="31" t="n">
        <v>1089247</v>
      </c>
      <c r="J224" s="31" t="inlineStr">
        <is>
          <t>535031</t>
        </is>
      </c>
    </row>
    <row r="225">
      <c r="A225" s="31" t="inlineStr">
        <is>
          <t>TMB</t>
        </is>
      </c>
      <c r="B225" s="31" t="inlineStr">
        <is>
          <t>Tamilnad Mercantile Bank Ltd</t>
        </is>
      </c>
      <c r="C225" s="31" t="inlineStr">
        <is>
          <t>bank</t>
        </is>
      </c>
      <c r="D225" s="31" t="inlineStr">
        <is>
          <t>banks - private sector</t>
        </is>
      </c>
      <c r="E225" s="31" t="inlineStr">
        <is>
          <t>midcap</t>
        </is>
      </c>
      <c r="F225" s="31" t="n">
        <v>13700.57</v>
      </c>
      <c r="G225" s="31" t="n">
        <v>851.75</v>
      </c>
      <c r="H225" s="31" t="n">
        <v>-1.55</v>
      </c>
      <c r="I225" s="31" t="n">
        <v>414923</v>
      </c>
      <c r="J225" s="31" t="inlineStr">
        <is>
          <t>543596</t>
        </is>
      </c>
    </row>
    <row r="226">
      <c r="A226" s="31" t="inlineStr">
        <is>
          <t>JSFB</t>
        </is>
      </c>
      <c r="B226" s="31" t="inlineStr">
        <is>
          <t>Jana Small Finance Bank Ltd</t>
        </is>
      </c>
      <c r="C226" s="31" t="inlineStr">
        <is>
          <t>bank</t>
        </is>
      </c>
      <c r="D226" s="31" t="inlineStr">
        <is>
          <t>banks - private sector</t>
        </is>
      </c>
      <c r="E226" s="31" t="inlineStr">
        <is>
          <t>midcap</t>
        </is>
      </c>
      <c r="F226" s="31" t="n">
        <v>6029.19</v>
      </c>
      <c r="G226" s="31" t="n">
        <v>563.35</v>
      </c>
      <c r="H226" s="31" t="n">
        <v>-1.57</v>
      </c>
      <c r="I226" s="31" t="n">
        <v>1104483</v>
      </c>
      <c r="J226" s="31" t="n"/>
    </row>
    <row r="227">
      <c r="A227" s="31" t="inlineStr">
        <is>
          <t>POLYPLEX</t>
        </is>
      </c>
      <c r="B227" s="31" t="inlineStr">
        <is>
          <t>Polyplex Corporation Limited</t>
        </is>
      </c>
      <c r="C227" s="31" t="inlineStr">
        <is>
          <t>industrials</t>
        </is>
      </c>
      <c r="D227" s="31" t="inlineStr">
        <is>
          <t>packaging</t>
        </is>
      </c>
      <c r="E227" s="31" t="inlineStr">
        <is>
          <t>smallcap</t>
        </is>
      </c>
      <c r="F227" s="31" t="n">
        <v>3519.41</v>
      </c>
      <c r="G227" s="31" t="n">
        <v>1103.45</v>
      </c>
      <c r="H227" s="31" t="n">
        <v>-1.57</v>
      </c>
      <c r="I227" s="31" t="n">
        <v>46801</v>
      </c>
      <c r="J227" s="31" t="inlineStr">
        <is>
          <t>524051</t>
        </is>
      </c>
    </row>
    <row r="228">
      <c r="A228" s="31" t="inlineStr">
        <is>
          <t>PGIL</t>
        </is>
      </c>
      <c r="B228" s="31" t="inlineStr">
        <is>
          <t>Pearl Global Industries Limited</t>
        </is>
      </c>
      <c r="C228" s="31" t="inlineStr">
        <is>
          <t>consumer discretionary</t>
        </is>
      </c>
      <c r="D228" s="31" t="inlineStr">
        <is>
          <t>textiles - products</t>
        </is>
      </c>
      <c r="E228" s="31" t="inlineStr">
        <is>
          <t>midcap</t>
        </is>
      </c>
      <c r="F228" s="31" t="n">
        <v>9516.700000000001</v>
      </c>
      <c r="G228" s="31" t="n">
        <v>2028</v>
      </c>
      <c r="H228" s="31" t="n">
        <v>-1.58</v>
      </c>
      <c r="I228" s="31" t="n">
        <v>40552</v>
      </c>
      <c r="J228" s="31" t="inlineStr">
        <is>
          <t>532808</t>
        </is>
      </c>
    </row>
    <row r="229">
      <c r="A229" s="31" t="inlineStr">
        <is>
          <t>TBOTEK</t>
        </is>
      </c>
      <c r="B229" s="31" t="inlineStr">
        <is>
          <t>TBO Tek Ltd</t>
        </is>
      </c>
      <c r="C229" s="31" t="inlineStr">
        <is>
          <t>i.t</t>
        </is>
      </c>
      <c r="D229" s="31" t="inlineStr">
        <is>
          <t>travel agencies</t>
        </is>
      </c>
      <c r="E229" s="31" t="inlineStr">
        <is>
          <t>midcap</t>
        </is>
      </c>
      <c r="F229" s="31" t="n">
        <v>16533.58</v>
      </c>
      <c r="G229" s="31" t="n">
        <v>1498.5</v>
      </c>
      <c r="H229" s="31" t="n">
        <v>-1.58</v>
      </c>
      <c r="I229" s="31" t="n">
        <v>1541761</v>
      </c>
      <c r="J229" s="31" t="inlineStr">
        <is>
          <t>544174</t>
        </is>
      </c>
    </row>
    <row r="230">
      <c r="A230" s="31" t="inlineStr">
        <is>
          <t>360ONE</t>
        </is>
      </c>
      <c r="B230" s="31" t="inlineStr">
        <is>
          <t>360 ONE WAM Ltd</t>
        </is>
      </c>
      <c r="C230" s="31" t="inlineStr">
        <is>
          <t>financials</t>
        </is>
      </c>
      <c r="D230" s="31" t="inlineStr">
        <is>
          <t>finance &amp; investments</t>
        </is>
      </c>
      <c r="E230" s="31" t="inlineStr">
        <is>
          <t>largecap</t>
        </is>
      </c>
      <c r="F230" s="31" t="n">
        <v>47228.33</v>
      </c>
      <c r="G230" s="31" t="n">
        <v>1142.9</v>
      </c>
      <c r="H230" s="31" t="n">
        <v>-1.58</v>
      </c>
      <c r="I230" s="31" t="n">
        <v>1268562</v>
      </c>
      <c r="J230" s="31" t="inlineStr">
        <is>
          <t>542772</t>
        </is>
      </c>
    </row>
    <row r="231">
      <c r="A231" s="31" t="inlineStr">
        <is>
          <t>JUSTDIAL</t>
        </is>
      </c>
      <c r="B231" s="31" t="inlineStr">
        <is>
          <t>Just Dial Limited</t>
        </is>
      </c>
      <c r="C231" s="31" t="inlineStr">
        <is>
          <t>i.t</t>
        </is>
      </c>
      <c r="D231" s="31" t="inlineStr">
        <is>
          <t>miscellaneous</t>
        </is>
      </c>
      <c r="E231" s="31" t="inlineStr">
        <is>
          <t>midcap</t>
        </is>
      </c>
      <c r="F231" s="31" t="n">
        <v>6410.15</v>
      </c>
      <c r="G231" s="31" t="n">
        <v>741.65</v>
      </c>
      <c r="H231" s="31" t="n">
        <v>-1.6</v>
      </c>
      <c r="I231" s="31" t="n">
        <v>338152</v>
      </c>
      <c r="J231" s="31" t="inlineStr">
        <is>
          <t>535648</t>
        </is>
      </c>
    </row>
    <row r="232">
      <c r="A232" s="31" t="inlineStr">
        <is>
          <t>GABRIEL</t>
        </is>
      </c>
      <c r="B232" s="31" t="inlineStr">
        <is>
          <t>Gabriel India Limited</t>
        </is>
      </c>
      <c r="C232" s="31" t="inlineStr">
        <is>
          <t>auto</t>
        </is>
      </c>
      <c r="D232" s="31" t="inlineStr">
        <is>
          <t>auto ancillaries</t>
        </is>
      </c>
      <c r="E232" s="31" t="inlineStr">
        <is>
          <t>largecap</t>
        </is>
      </c>
      <c r="F232" s="31" t="n">
        <v>25074.5</v>
      </c>
      <c r="G232" s="31" t="n">
        <v>1392</v>
      </c>
      <c r="H232" s="31" t="n">
        <v>-1.61</v>
      </c>
      <c r="I232" s="31" t="n">
        <v>309686</v>
      </c>
      <c r="J232" s="31" t="inlineStr">
        <is>
          <t>505714</t>
        </is>
      </c>
    </row>
    <row r="233">
      <c r="A233" s="31" t="inlineStr">
        <is>
          <t>PICCADIL</t>
        </is>
      </c>
      <c r="B233" s="31" t="inlineStr">
        <is>
          <t>Piccadily Agro Industries Ltd</t>
        </is>
      </c>
      <c r="C233" s="31" t="inlineStr">
        <is>
          <t>fmcg</t>
        </is>
      </c>
      <c r="D233" s="31" t="inlineStr">
        <is>
          <t>breweries &amp; distilleries</t>
        </is>
      </c>
      <c r="E233" s="31" t="inlineStr">
        <is>
          <t>midcap</t>
        </is>
      </c>
      <c r="F233" s="31" t="n">
        <v>7208.09</v>
      </c>
      <c r="G233" s="31" t="n">
        <v>719.45</v>
      </c>
      <c r="H233" s="31" t="n">
        <v>-1.61</v>
      </c>
      <c r="I233" s="31" t="n">
        <v>89979</v>
      </c>
      <c r="J233" s="31" t="inlineStr">
        <is>
          <t>530305</t>
        </is>
      </c>
    </row>
    <row r="234">
      <c r="A234" s="31" t="inlineStr">
        <is>
          <t>BALRAMCHIN</t>
        </is>
      </c>
      <c r="B234" s="31" t="inlineStr">
        <is>
          <t>Balrampur Chini Mills Limited</t>
        </is>
      </c>
      <c r="C234" s="31" t="inlineStr">
        <is>
          <t>fmcg</t>
        </is>
      </c>
      <c r="D234" s="31" t="inlineStr">
        <is>
          <t>sugar</t>
        </is>
      </c>
      <c r="E234" s="31" t="inlineStr">
        <is>
          <t>midcap</t>
        </is>
      </c>
      <c r="F234" s="31" t="n">
        <v>12809.13</v>
      </c>
      <c r="G234" s="31" t="n">
        <v>596.3</v>
      </c>
      <c r="H234" s="31" t="n">
        <v>-1.65</v>
      </c>
      <c r="I234" s="31" t="n">
        <v>236918</v>
      </c>
      <c r="J234" s="31" t="inlineStr">
        <is>
          <t>500038</t>
        </is>
      </c>
    </row>
    <row r="235">
      <c r="A235" s="31" t="inlineStr">
        <is>
          <t>SFL</t>
        </is>
      </c>
      <c r="B235" s="31" t="inlineStr">
        <is>
          <t>Sheela Foam Limited</t>
        </is>
      </c>
      <c r="C235" s="31" t="inlineStr">
        <is>
          <t>consumer discretionary</t>
        </is>
      </c>
      <c r="D235" s="31" t="inlineStr">
        <is>
          <t>miscellaneous</t>
        </is>
      </c>
      <c r="E235" s="31" t="inlineStr">
        <is>
          <t>midcap</t>
        </is>
      </c>
      <c r="F235" s="31" t="n">
        <v>8619.959999999999</v>
      </c>
      <c r="G235" s="31" t="n">
        <v>776.3</v>
      </c>
      <c r="H235" s="31" t="n">
        <v>-1.65</v>
      </c>
      <c r="I235" s="31" t="n">
        <v>104580</v>
      </c>
      <c r="J235" s="31" t="inlineStr">
        <is>
          <t>540203</t>
        </is>
      </c>
    </row>
    <row r="236">
      <c r="A236" s="31" t="inlineStr">
        <is>
          <t>MAHLOG</t>
        </is>
      </c>
      <c r="B236" s="31" t="inlineStr">
        <is>
          <t>Mahindra Logistics Ltd</t>
        </is>
      </c>
      <c r="C236" s="31" t="inlineStr">
        <is>
          <t>transportation</t>
        </is>
      </c>
      <c r="D236" s="31" t="inlineStr">
        <is>
          <t>miscellaneous</t>
        </is>
      </c>
      <c r="E236" s="31" t="inlineStr">
        <is>
          <t>smallcap</t>
        </is>
      </c>
      <c r="F236" s="31" t="n">
        <v>4062.66</v>
      </c>
      <c r="G236" s="31" t="n">
        <v>402.65</v>
      </c>
      <c r="H236" s="31" t="n">
        <v>-1.66</v>
      </c>
      <c r="I236" s="31" t="n">
        <v>163081</v>
      </c>
      <c r="J236" s="31" t="inlineStr">
        <is>
          <t>540768</t>
        </is>
      </c>
    </row>
    <row r="237">
      <c r="A237" s="31" t="inlineStr">
        <is>
          <t>SAREGAMA</t>
        </is>
      </c>
      <c r="B237" s="31" t="inlineStr">
        <is>
          <t>Saregama India Limited</t>
        </is>
      </c>
      <c r="C237" s="31" t="inlineStr">
        <is>
          <t>media</t>
        </is>
      </c>
      <c r="D237" s="31" t="inlineStr">
        <is>
          <t>entertainment / electronic media software</t>
        </is>
      </c>
      <c r="E237" s="31" t="inlineStr">
        <is>
          <t>midcap</t>
        </is>
      </c>
      <c r="F237" s="31" t="n">
        <v>10227.58</v>
      </c>
      <c r="G237" s="31" t="n">
        <v>521.4</v>
      </c>
      <c r="H237" s="31" t="n">
        <v>-1.71</v>
      </c>
      <c r="I237" s="31" t="n">
        <v>270017</v>
      </c>
      <c r="J237" s="31" t="inlineStr">
        <is>
          <t>532163</t>
        </is>
      </c>
    </row>
    <row r="238">
      <c r="A238" s="31" t="inlineStr">
        <is>
          <t>HIRECT</t>
        </is>
      </c>
      <c r="B238" s="31" t="inlineStr">
        <is>
          <t>Hind Rectifiers Limited</t>
        </is>
      </c>
      <c r="C238" s="31" t="inlineStr">
        <is>
          <t>consumer discretionary</t>
        </is>
      </c>
      <c r="D238" s="31" t="inlineStr">
        <is>
          <t>electronics - components</t>
        </is>
      </c>
      <c r="E238" s="31" t="inlineStr">
        <is>
          <t>smallcap</t>
        </is>
      </c>
      <c r="F238" s="31" t="n">
        <v>4547.79</v>
      </c>
      <c r="G238" s="31" t="n">
        <v>1300.4</v>
      </c>
      <c r="H238" s="31" t="n">
        <v>-1.72</v>
      </c>
      <c r="I238" s="31" t="n">
        <v>199318</v>
      </c>
      <c r="J238" s="31" t="inlineStr">
        <is>
          <t>504036</t>
        </is>
      </c>
    </row>
    <row r="239">
      <c r="A239" s="31" t="inlineStr">
        <is>
          <t>LLOYDSME</t>
        </is>
      </c>
      <c r="B239" s="31" t="inlineStr">
        <is>
          <t>Lloyds Metals &amp; Energy Ltd</t>
        </is>
      </c>
      <c r="C239" s="31" t="inlineStr">
        <is>
          <t>metals &amp; mining</t>
        </is>
      </c>
      <c r="D239" s="31" t="inlineStr">
        <is>
          <t>mining / minerals / metals</t>
        </is>
      </c>
      <c r="E239" s="31" t="inlineStr">
        <is>
          <t>largecap</t>
        </is>
      </c>
      <c r="F239" s="31" t="n">
        <v>115469.1</v>
      </c>
      <c r="G239" s="31" t="n">
        <v>2015.1</v>
      </c>
      <c r="H239" s="31" t="n">
        <v>-1.76</v>
      </c>
      <c r="I239" s="31" t="n">
        <v>480340</v>
      </c>
      <c r="J239" s="31" t="inlineStr">
        <is>
          <t>512455</t>
        </is>
      </c>
    </row>
    <row r="240">
      <c r="A240" s="31" t="inlineStr">
        <is>
          <t>INDIANHUME</t>
        </is>
      </c>
      <c r="B240" s="31" t="inlineStr">
        <is>
          <t>Indian Hume Pipe Company Limited</t>
        </is>
      </c>
      <c r="C240" s="31" t="inlineStr">
        <is>
          <t>realty</t>
        </is>
      </c>
      <c r="D240" s="31" t="inlineStr">
        <is>
          <t>construction</t>
        </is>
      </c>
      <c r="E240" s="31" t="inlineStr">
        <is>
          <t>smallcap</t>
        </is>
      </c>
      <c r="F240" s="31" t="n">
        <v>2074.87</v>
      </c>
      <c r="G240" s="31" t="n">
        <v>386.65</v>
      </c>
      <c r="H240" s="31" t="n">
        <v>-1.83</v>
      </c>
      <c r="I240" s="31" t="n">
        <v>30477</v>
      </c>
      <c r="J240" s="31" t="inlineStr">
        <is>
          <t>504741</t>
        </is>
      </c>
    </row>
    <row r="241">
      <c r="A241" s="31" t="inlineStr">
        <is>
          <t>RUBYMILLS</t>
        </is>
      </c>
      <c r="B241" s="31" t="inlineStr">
        <is>
          <t>The Ruby Mills Limited</t>
        </is>
      </c>
      <c r="C241" s="31" t="inlineStr">
        <is>
          <t>textiles</t>
        </is>
      </c>
      <c r="D241" s="31" t="inlineStr">
        <is>
          <t>textiles - composite</t>
        </is>
      </c>
      <c r="E241" s="31" t="inlineStr">
        <is>
          <t>smallcap</t>
        </is>
      </c>
      <c r="F241" s="31" t="n">
        <v>1318.2</v>
      </c>
      <c r="G241" s="31" t="n">
        <v>386.7</v>
      </c>
      <c r="H241" s="31" t="n">
        <v>-1.9</v>
      </c>
      <c r="I241" s="31" t="n">
        <v>6428</v>
      </c>
      <c r="J241" s="31" t="inlineStr">
        <is>
          <t>503169</t>
        </is>
      </c>
    </row>
    <row r="242">
      <c r="A242" s="31" t="inlineStr">
        <is>
          <t>INDIGOPNTS</t>
        </is>
      </c>
      <c r="B242" s="31" t="inlineStr">
        <is>
          <t>Indigo Paints Ltd</t>
        </is>
      </c>
      <c r="C242" s="31" t="inlineStr">
        <is>
          <t>building materials</t>
        </is>
      </c>
      <c r="D242" s="31" t="inlineStr">
        <is>
          <t>paints / varnishes</t>
        </is>
      </c>
      <c r="E242" s="31" t="inlineStr">
        <is>
          <t>midcap</t>
        </is>
      </c>
      <c r="F242" s="31" t="n">
        <v>5255.29</v>
      </c>
      <c r="G242" s="31" t="n">
        <v>1080.9</v>
      </c>
      <c r="H242" s="31" t="n">
        <v>-1.94</v>
      </c>
      <c r="I242" s="31" t="n">
        <v>65314</v>
      </c>
      <c r="J242" s="31" t="inlineStr">
        <is>
          <t>543258</t>
        </is>
      </c>
    </row>
    <row r="243">
      <c r="A243" s="31" t="inlineStr">
        <is>
          <t>VSSL</t>
        </is>
      </c>
      <c r="B243" s="31" t="inlineStr">
        <is>
          <t>Vardhman Special Steels Limited</t>
        </is>
      </c>
      <c r="C243" s="31" t="inlineStr">
        <is>
          <t>metals &amp; mining</t>
        </is>
      </c>
      <c r="D243" s="31" t="inlineStr">
        <is>
          <t>steel - medium / small</t>
        </is>
      </c>
      <c r="E243" s="31" t="inlineStr">
        <is>
          <t>smallcap</t>
        </is>
      </c>
      <c r="F243" s="31" t="n">
        <v>2960.03</v>
      </c>
      <c r="G243" s="31" t="n">
        <v>300.1</v>
      </c>
      <c r="H243" s="31" t="n">
        <v>-1.98</v>
      </c>
      <c r="I243" s="31" t="n">
        <v>74609</v>
      </c>
      <c r="J243" s="31" t="inlineStr">
        <is>
          <t>534392</t>
        </is>
      </c>
    </row>
    <row r="244">
      <c r="A244" s="31" t="inlineStr">
        <is>
          <t>HEG</t>
        </is>
      </c>
      <c r="B244" s="31" t="inlineStr">
        <is>
          <t>Heg Limited</t>
        </is>
      </c>
      <c r="C244" s="31" t="inlineStr">
        <is>
          <t>industrials</t>
        </is>
      </c>
      <c r="D244" s="31" t="inlineStr">
        <is>
          <t>electrodes - graphites</t>
        </is>
      </c>
      <c r="E244" s="31" t="inlineStr">
        <is>
          <t>midcap</t>
        </is>
      </c>
      <c r="F244" s="31" t="n">
        <v>12980.63</v>
      </c>
      <c r="G244" s="31" t="n">
        <v>659.25</v>
      </c>
      <c r="H244" s="31" t="n">
        <v>-1.99</v>
      </c>
      <c r="I244" s="31" t="n">
        <v>2076663</v>
      </c>
      <c r="J244" s="31" t="inlineStr">
        <is>
          <t>509631</t>
        </is>
      </c>
    </row>
    <row r="245">
      <c r="A245" s="31" t="inlineStr">
        <is>
          <t>FAIRCHEMOR</t>
        </is>
      </c>
      <c r="B245" s="31" t="inlineStr">
        <is>
          <t>Fairchem Organics Ltd</t>
        </is>
      </c>
      <c r="C245" s="31" t="inlineStr">
        <is>
          <t>chemicals</t>
        </is>
      </c>
      <c r="D245" s="31" t="inlineStr">
        <is>
          <t>chemicals</t>
        </is>
      </c>
      <c r="E245" s="31" t="inlineStr">
        <is>
          <t>smallcap</t>
        </is>
      </c>
      <c r="F245" s="31" t="n">
        <v>1045.33</v>
      </c>
      <c r="G245" s="31" t="n">
        <v>813.35</v>
      </c>
      <c r="H245" s="31" t="n">
        <v>-1.99</v>
      </c>
      <c r="I245" s="31" t="n">
        <v>830</v>
      </c>
      <c r="J245" s="31" t="inlineStr">
        <is>
          <t>543252</t>
        </is>
      </c>
    </row>
    <row r="246">
      <c r="A246" s="31" t="inlineStr">
        <is>
          <t>CUPID</t>
        </is>
      </c>
      <c r="B246" s="31" t="inlineStr">
        <is>
          <t>Cupid Limited</t>
        </is>
      </c>
      <c r="C246" s="31" t="inlineStr">
        <is>
          <t>fmcg</t>
        </is>
      </c>
      <c r="D246" s="31" t="inlineStr">
        <is>
          <t>personal care - indian</t>
        </is>
      </c>
      <c r="E246" s="31" t="inlineStr">
        <is>
          <t>largecap</t>
        </is>
      </c>
      <c r="F246" s="31" t="n">
        <v>31434.13</v>
      </c>
      <c r="G246" s="31" t="n">
        <v>228.94</v>
      </c>
      <c r="H246" s="31" t="n">
        <v>-2.07</v>
      </c>
      <c r="I246" s="31" t="n">
        <v>20377656</v>
      </c>
      <c r="J246" s="31" t="inlineStr">
        <is>
          <t>530843</t>
        </is>
      </c>
    </row>
    <row r="247">
      <c r="A247" s="31" t="inlineStr">
        <is>
          <t>SENCO</t>
        </is>
      </c>
      <c r="B247" s="31" t="inlineStr">
        <is>
          <t>Senco Gold Ltd</t>
        </is>
      </c>
      <c r="C247" s="31" t="inlineStr">
        <is>
          <t>consumer discretionary</t>
        </is>
      </c>
      <c r="D247" s="31" t="inlineStr">
        <is>
          <t>diamond cutting / jewellery</t>
        </is>
      </c>
      <c r="E247" s="31" t="inlineStr">
        <is>
          <t>midcap</t>
        </is>
      </c>
      <c r="F247" s="31" t="n">
        <v>6773.09</v>
      </c>
      <c r="G247" s="31" t="n">
        <v>404.85</v>
      </c>
      <c r="H247" s="31" t="n">
        <v>-2.07</v>
      </c>
      <c r="I247" s="31" t="n">
        <v>1193415</v>
      </c>
      <c r="J247" s="31" t="inlineStr">
        <is>
          <t>543936</t>
        </is>
      </c>
    </row>
    <row r="248">
      <c r="A248" s="31" t="inlineStr">
        <is>
          <t>GODREJPROP</t>
        </is>
      </c>
      <c r="B248" s="31" t="inlineStr">
        <is>
          <t>Godrej Properties Limited</t>
        </is>
      </c>
      <c r="C248" s="31" t="inlineStr">
        <is>
          <t>realty</t>
        </is>
      </c>
      <c r="D248" s="31" t="inlineStr">
        <is>
          <t>construction</t>
        </is>
      </c>
      <c r="E248" s="31" t="inlineStr">
        <is>
          <t>largecap</t>
        </is>
      </c>
      <c r="F248" s="31" t="n">
        <v>64944.32</v>
      </c>
      <c r="G248" s="31" t="n">
        <v>2110.9</v>
      </c>
      <c r="H248" s="31" t="n">
        <v>-2.09</v>
      </c>
      <c r="I248" s="31" t="n">
        <v>523448</v>
      </c>
      <c r="J248" s="31" t="inlineStr">
        <is>
          <t>533150</t>
        </is>
      </c>
    </row>
    <row r="249">
      <c r="A249" s="31" t="inlineStr">
        <is>
          <t>KANPRPLA</t>
        </is>
      </c>
      <c r="B249" s="31" t="inlineStr">
        <is>
          <t>Kanpur Plastipack Ltd</t>
        </is>
      </c>
      <c r="C249" s="31" t="inlineStr">
        <is>
          <t>industrials</t>
        </is>
      </c>
      <c r="D249" s="31" t="inlineStr">
        <is>
          <t>packaging</t>
        </is>
      </c>
      <c r="E249" s="31" t="inlineStr">
        <is>
          <t>smallcap</t>
        </is>
      </c>
      <c r="F249" s="31" t="n">
        <v>527.11</v>
      </c>
      <c r="G249" s="31" t="n">
        <v>210.84</v>
      </c>
      <c r="H249" s="31" t="n">
        <v>-2.09</v>
      </c>
      <c r="I249" s="31" t="n">
        <v>17114</v>
      </c>
      <c r="J249" s="31" t="inlineStr">
        <is>
          <t>507779</t>
        </is>
      </c>
    </row>
    <row r="250">
      <c r="A250" s="31" t="inlineStr">
        <is>
          <t>MENONBE</t>
        </is>
      </c>
      <c r="B250" s="31" t="inlineStr">
        <is>
          <t>Menon Bearings Limited</t>
        </is>
      </c>
      <c r="C250" s="31" t="inlineStr">
        <is>
          <t>auto</t>
        </is>
      </c>
      <c r="D250" s="31" t="inlineStr">
        <is>
          <t>auto ancillaries</t>
        </is>
      </c>
      <c r="E250" s="31" t="inlineStr">
        <is>
          <t>smallcap</t>
        </is>
      </c>
      <c r="F250" s="31" t="n">
        <v>1230.53</v>
      </c>
      <c r="G250" s="31" t="n">
        <v>214.97</v>
      </c>
      <c r="H250" s="31" t="n">
        <v>-2.1</v>
      </c>
      <c r="I250" s="31" t="n">
        <v>53218</v>
      </c>
      <c r="J250" s="31" t="inlineStr">
        <is>
          <t>523828</t>
        </is>
      </c>
    </row>
    <row r="251">
      <c r="A251" s="31" t="inlineStr">
        <is>
          <t>ASKAUTOLTD</t>
        </is>
      </c>
      <c r="B251" s="31" t="inlineStr">
        <is>
          <t>ASK Automotive Ltd</t>
        </is>
      </c>
      <c r="C251" s="31" t="inlineStr">
        <is>
          <t>auto</t>
        </is>
      </c>
      <c r="D251" s="31" t="inlineStr">
        <is>
          <t>auto ancillaries</t>
        </is>
      </c>
      <c r="E251" s="31" t="inlineStr">
        <is>
          <t>midcap</t>
        </is>
      </c>
      <c r="F251" s="31" t="n">
        <v>10230.72</v>
      </c>
      <c r="G251" s="31" t="n">
        <v>508</v>
      </c>
      <c r="H251" s="31" t="n">
        <v>-2.11</v>
      </c>
      <c r="I251" s="31" t="n">
        <v>237105</v>
      </c>
      <c r="J251" s="31" t="inlineStr">
        <is>
          <t>544022</t>
        </is>
      </c>
    </row>
    <row r="252">
      <c r="A252" s="31" t="inlineStr">
        <is>
          <t>RITCO</t>
        </is>
      </c>
      <c r="B252" s="31" t="inlineStr">
        <is>
          <t>Ritco Logistics Ltd</t>
        </is>
      </c>
      <c r="C252" s="31" t="inlineStr">
        <is>
          <t>transportation</t>
        </is>
      </c>
      <c r="D252" s="31" t="inlineStr">
        <is>
          <t>miscellaneous</t>
        </is>
      </c>
      <c r="E252" s="31" t="inlineStr">
        <is>
          <t>smallcap</t>
        </is>
      </c>
      <c r="F252" s="31" t="n">
        <v>857.25</v>
      </c>
      <c r="G252" s="31" t="n">
        <v>293.05</v>
      </c>
      <c r="H252" s="31" t="n">
        <v>-2.15</v>
      </c>
      <c r="I252" s="31" t="n">
        <v>205479</v>
      </c>
      <c r="J252" s="31" t="inlineStr">
        <is>
          <t>542383</t>
        </is>
      </c>
    </row>
    <row r="253">
      <c r="A253" s="31" t="inlineStr">
        <is>
          <t>JGCHEM</t>
        </is>
      </c>
      <c r="B253" s="31" t="inlineStr">
        <is>
          <t>J.G.Chemicals Ltd</t>
        </is>
      </c>
      <c r="C253" s="31" t="inlineStr">
        <is>
          <t>chemicals</t>
        </is>
      </c>
      <c r="D253" s="31" t="inlineStr">
        <is>
          <t>chemicals</t>
        </is>
      </c>
      <c r="E253" s="31" t="inlineStr">
        <is>
          <t>smallcap</t>
        </is>
      </c>
      <c r="F253" s="31" t="n">
        <v>1969.49</v>
      </c>
      <c r="G253" s="31" t="n">
        <v>491.65</v>
      </c>
      <c r="H253" s="31" t="n">
        <v>-2.18</v>
      </c>
      <c r="I253" s="31" t="n">
        <v>79578</v>
      </c>
      <c r="J253" s="31" t="n"/>
    </row>
    <row r="254">
      <c r="A254" s="31" t="inlineStr">
        <is>
          <t>INDOTECH</t>
        </is>
      </c>
      <c r="B254" s="31" t="inlineStr">
        <is>
          <t>Indo Tech Transformers Limited</t>
        </is>
      </c>
      <c r="C254" s="31" t="inlineStr">
        <is>
          <t>industrials</t>
        </is>
      </c>
      <c r="D254" s="31" t="inlineStr">
        <is>
          <t>electric equipment</t>
        </is>
      </c>
      <c r="E254" s="31" t="inlineStr">
        <is>
          <t>smallcap</t>
        </is>
      </c>
      <c r="F254" s="31" t="n">
        <v>3678.56</v>
      </c>
      <c r="G254" s="31" t="n">
        <v>3387.8</v>
      </c>
      <c r="H254" s="31" t="n">
        <v>-2.19</v>
      </c>
      <c r="I254" s="31" t="n">
        <v>23108</v>
      </c>
      <c r="J254" s="31" t="inlineStr">
        <is>
          <t>532717</t>
        </is>
      </c>
    </row>
    <row r="255">
      <c r="A255" s="31" t="inlineStr">
        <is>
          <t>LODHA</t>
        </is>
      </c>
      <c r="B255" s="31" t="inlineStr">
        <is>
          <t>Lodha Developers Ltd</t>
        </is>
      </c>
      <c r="C255" s="31" t="inlineStr">
        <is>
          <t>realty</t>
        </is>
      </c>
      <c r="D255" s="31" t="inlineStr">
        <is>
          <t>construction</t>
        </is>
      </c>
      <c r="E255" s="31" t="inlineStr">
        <is>
          <t>largecap</t>
        </is>
      </c>
      <c r="F255" s="31" t="n">
        <v>131515.79</v>
      </c>
      <c r="G255" s="31" t="n">
        <v>1287.15</v>
      </c>
      <c r="H255" s="31" t="n">
        <v>-2.22</v>
      </c>
      <c r="I255" s="31" t="n">
        <v>3725269</v>
      </c>
      <c r="J255" s="31" t="inlineStr">
        <is>
          <t>543287</t>
        </is>
      </c>
    </row>
    <row r="256">
      <c r="A256" s="31" t="inlineStr">
        <is>
          <t>GUJALKALI</t>
        </is>
      </c>
      <c r="B256" s="31" t="inlineStr">
        <is>
          <t>Gujarat Alkalies And Chemicals Limited</t>
        </is>
      </c>
      <c r="C256" s="31" t="inlineStr">
        <is>
          <t>chemicals</t>
        </is>
      </c>
      <c r="D256" s="31" t="inlineStr">
        <is>
          <t>chemicals</t>
        </is>
      </c>
      <c r="E256" s="31" t="inlineStr">
        <is>
          <t>midcap</t>
        </is>
      </c>
      <c r="F256" s="31" t="n">
        <v>5020.52</v>
      </c>
      <c r="G256" s="31" t="n">
        <v>668.3</v>
      </c>
      <c r="H256" s="31" t="n">
        <v>-2.25</v>
      </c>
      <c r="I256" s="31" t="n">
        <v>75248</v>
      </c>
      <c r="J256" s="31" t="inlineStr">
        <is>
          <t>530001</t>
        </is>
      </c>
    </row>
    <row r="257">
      <c r="A257" s="31" t="inlineStr">
        <is>
          <t>SKYGOLD</t>
        </is>
      </c>
      <c r="B257" s="31" t="inlineStr">
        <is>
          <t>Sky Gold Ltd</t>
        </is>
      </c>
      <c r="C257" s="31" t="inlineStr">
        <is>
          <t>consumer discretionary</t>
        </is>
      </c>
      <c r="D257" s="31" t="inlineStr">
        <is>
          <t>diamond cutting / jewellery</t>
        </is>
      </c>
      <c r="E257" s="31" t="inlineStr">
        <is>
          <t>midcap</t>
        </is>
      </c>
      <c r="F257" s="31" t="n">
        <v>10121.01</v>
      </c>
      <c r="G257" s="31" t="n">
        <v>638.25</v>
      </c>
      <c r="H257" s="31" t="n">
        <v>-2.33</v>
      </c>
      <c r="I257" s="31" t="n">
        <v>1042358</v>
      </c>
      <c r="J257" s="31" t="inlineStr">
        <is>
          <t>541967</t>
        </is>
      </c>
    </row>
    <row r="258">
      <c r="A258" s="31" t="inlineStr">
        <is>
          <t>BODALCHEM</t>
        </is>
      </c>
      <c r="B258" s="31" t="inlineStr">
        <is>
          <t>Bodal Chemicals Limited</t>
        </is>
      </c>
      <c r="C258" s="31" t="inlineStr">
        <is>
          <t>chemicals</t>
        </is>
      </c>
      <c r="D258" s="31" t="inlineStr">
        <is>
          <t>dyes and pigments</t>
        </is>
      </c>
      <c r="E258" s="31" t="inlineStr">
        <is>
          <t>smallcap</t>
        </is>
      </c>
      <c r="F258" s="31" t="n">
        <v>900.88</v>
      </c>
      <c r="G258" s="31" t="n">
        <v>69.81</v>
      </c>
      <c r="H258" s="31" t="n">
        <v>-2.4</v>
      </c>
      <c r="I258" s="31" t="n">
        <v>643099</v>
      </c>
      <c r="J258" s="31" t="inlineStr">
        <is>
          <t>524370</t>
        </is>
      </c>
    </row>
    <row r="259">
      <c r="A259" s="31" t="inlineStr">
        <is>
          <t>RSWM</t>
        </is>
      </c>
      <c r="B259" s="31" t="inlineStr">
        <is>
          <t>Rswm Limited</t>
        </is>
      </c>
      <c r="C259" s="31" t="inlineStr">
        <is>
          <t>textiles</t>
        </is>
      </c>
      <c r="D259" s="31" t="inlineStr">
        <is>
          <t>textiles - cotton/blended</t>
        </is>
      </c>
      <c r="E259" s="31" t="inlineStr">
        <is>
          <t>smallcap</t>
        </is>
      </c>
      <c r="F259" s="31" t="n">
        <v>1016.03</v>
      </c>
      <c r="G259" s="31" t="n">
        <v>210.54</v>
      </c>
      <c r="H259" s="31" t="n">
        <v>-2.4</v>
      </c>
      <c r="I259" s="31" t="n">
        <v>34001</v>
      </c>
      <c r="J259" s="31" t="inlineStr">
        <is>
          <t>500350</t>
        </is>
      </c>
    </row>
    <row r="260">
      <c r="A260" s="31" t="inlineStr">
        <is>
          <t>RKFORGE</t>
        </is>
      </c>
      <c r="B260" s="31" t="inlineStr">
        <is>
          <t>Ramkrishna Forgings Limited</t>
        </is>
      </c>
      <c r="C260" s="31" t="inlineStr">
        <is>
          <t>industrials</t>
        </is>
      </c>
      <c r="D260" s="31" t="inlineStr">
        <is>
          <t>castings &amp; forgings</t>
        </is>
      </c>
      <c r="E260" s="31" t="inlineStr">
        <is>
          <t>midcap</t>
        </is>
      </c>
      <c r="F260" s="31" t="n">
        <v>11699.87</v>
      </c>
      <c r="G260" s="31" t="n">
        <v>626.4</v>
      </c>
      <c r="H260" s="31" t="n">
        <v>-2.47</v>
      </c>
      <c r="I260" s="31" t="n">
        <v>885269</v>
      </c>
      <c r="J260" s="31" t="inlineStr">
        <is>
          <t>532527</t>
        </is>
      </c>
    </row>
    <row r="261">
      <c r="A261" s="31" t="inlineStr">
        <is>
          <t>WELCORP</t>
        </is>
      </c>
      <c r="B261" s="31" t="inlineStr">
        <is>
          <t>Welspun Corp Limited</t>
        </is>
      </c>
      <c r="C261" s="31" t="inlineStr">
        <is>
          <t>industrials</t>
        </is>
      </c>
      <c r="D261" s="31" t="inlineStr">
        <is>
          <t>steel - large</t>
        </is>
      </c>
      <c r="E261" s="31" t="inlineStr">
        <is>
          <t>largecap</t>
        </is>
      </c>
      <c r="F261" s="31" t="n">
        <v>44765.27</v>
      </c>
      <c r="G261" s="31" t="n">
        <v>1655</v>
      </c>
      <c r="H261" s="31" t="n">
        <v>-2.48</v>
      </c>
      <c r="I261" s="31" t="n">
        <v>236845</v>
      </c>
      <c r="J261" s="31" t="inlineStr">
        <is>
          <t>532144</t>
        </is>
      </c>
    </row>
    <row r="262">
      <c r="A262" s="31" t="inlineStr">
        <is>
          <t>MMFL</t>
        </is>
      </c>
      <c r="B262" s="31" t="inlineStr">
        <is>
          <t>Mm Forgings Limited</t>
        </is>
      </c>
      <c r="C262" s="31" t="inlineStr">
        <is>
          <t>industrials</t>
        </is>
      </c>
      <c r="D262" s="31" t="inlineStr">
        <is>
          <t>castings &amp; forgings</t>
        </is>
      </c>
      <c r="E262" s="31" t="inlineStr">
        <is>
          <t>smallcap</t>
        </is>
      </c>
      <c r="F262" s="31" t="n">
        <v>2649.21</v>
      </c>
      <c r="G262" s="31" t="n">
        <v>535</v>
      </c>
      <c r="H262" s="31" t="n">
        <v>-2.5</v>
      </c>
      <c r="I262" s="31" t="n">
        <v>30165</v>
      </c>
      <c r="J262" s="31" t="inlineStr">
        <is>
          <t>522241</t>
        </is>
      </c>
    </row>
    <row r="263">
      <c r="A263" s="31" t="inlineStr">
        <is>
          <t>NEULANDLAB</t>
        </is>
      </c>
      <c r="B263" s="31" t="inlineStr">
        <is>
          <t>Neuland Laboratories Limited</t>
        </is>
      </c>
      <c r="C263" s="31" t="inlineStr">
        <is>
          <t>healthcare</t>
        </is>
      </c>
      <c r="D263" s="31" t="inlineStr">
        <is>
          <t>pharmaceuticals - indian - bulk drugs</t>
        </is>
      </c>
      <c r="E263" s="31" t="inlineStr">
        <is>
          <t>largecap</t>
        </is>
      </c>
      <c r="F263" s="31" t="n">
        <v>25271.03</v>
      </c>
      <c r="G263" s="31" t="n">
        <v>19202</v>
      </c>
      <c r="H263" s="31" t="n">
        <v>-2.51</v>
      </c>
      <c r="I263" s="31" t="n">
        <v>55859</v>
      </c>
      <c r="J263" s="31" t="inlineStr">
        <is>
          <t>524558</t>
        </is>
      </c>
    </row>
    <row r="264">
      <c r="A264" s="31" t="inlineStr">
        <is>
          <t>ESAFSFB</t>
        </is>
      </c>
      <c r="B264" s="31" t="inlineStr">
        <is>
          <t>ESAF Small Finance Bank Ltd</t>
        </is>
      </c>
      <c r="C264" s="31" t="inlineStr">
        <is>
          <t>bank</t>
        </is>
      </c>
      <c r="D264" s="31" t="inlineStr">
        <is>
          <t>banks - private sector</t>
        </is>
      </c>
      <c r="E264" s="31" t="inlineStr">
        <is>
          <t>smallcap</t>
        </is>
      </c>
      <c r="F264" s="31" t="n">
        <v>1931.21</v>
      </c>
      <c r="G264" s="31" t="n">
        <v>36.48</v>
      </c>
      <c r="H264" s="31" t="n">
        <v>-2.54</v>
      </c>
      <c r="I264" s="31" t="n">
        <v>1207299</v>
      </c>
      <c r="J264" s="31" t="inlineStr">
        <is>
          <t>544020</t>
        </is>
      </c>
    </row>
    <row r="265">
      <c r="A265" s="31" t="inlineStr">
        <is>
          <t>DIACABS</t>
        </is>
      </c>
      <c r="B265" s="31" t="inlineStr">
        <is>
          <t>Diamond Power Infrastructure Ltd</t>
        </is>
      </c>
      <c r="C265" s="31" t="inlineStr">
        <is>
          <t>industrials</t>
        </is>
      </c>
      <c r="D265" s="31" t="inlineStr">
        <is>
          <t>cables - power</t>
        </is>
      </c>
      <c r="E265" s="31" t="inlineStr">
        <is>
          <t>midcap</t>
        </is>
      </c>
      <c r="F265" s="31" t="n">
        <v>17782.64</v>
      </c>
      <c r="G265" s="31" t="n">
        <v>328.5</v>
      </c>
      <c r="H265" s="31" t="n">
        <v>-2.65</v>
      </c>
      <c r="I265" s="31" t="n">
        <v>14136009</v>
      </c>
      <c r="J265" s="31" t="inlineStr">
        <is>
          <t>522163</t>
        </is>
      </c>
    </row>
    <row r="266">
      <c r="A266" s="31" t="inlineStr">
        <is>
          <t>PYRAMID</t>
        </is>
      </c>
      <c r="B266" s="31" t="inlineStr">
        <is>
          <t>Pyramid Technoplast Ltd</t>
        </is>
      </c>
      <c r="C266" s="31" t="inlineStr">
        <is>
          <t>industrials</t>
        </is>
      </c>
      <c r="D266" s="31" t="inlineStr">
        <is>
          <t>packaging</t>
        </is>
      </c>
      <c r="E266" s="31" t="inlineStr">
        <is>
          <t>smallcap</t>
        </is>
      </c>
      <c r="F266" s="31" t="n">
        <v>683.76</v>
      </c>
      <c r="G266" s="31" t="n">
        <v>180.85</v>
      </c>
      <c r="H266" s="31" t="n">
        <v>-2.71</v>
      </c>
      <c r="I266" s="31" t="n">
        <v>83598</v>
      </c>
      <c r="J266" s="31" t="inlineStr">
        <is>
          <t>543969</t>
        </is>
      </c>
    </row>
    <row r="267">
      <c r="A267" s="31" t="inlineStr">
        <is>
          <t>TTKPRESTIG</t>
        </is>
      </c>
      <c r="B267" s="31" t="inlineStr">
        <is>
          <t>Ttk Prestige Limited</t>
        </is>
      </c>
      <c r="C267" s="31" t="inlineStr">
        <is>
          <t>consumer discretionary</t>
        </is>
      </c>
      <c r="D267" s="31" t="inlineStr">
        <is>
          <t>domestic appliances</t>
        </is>
      </c>
      <c r="E267" s="31" t="inlineStr">
        <is>
          <t>midcap</t>
        </is>
      </c>
      <c r="F267" s="31" t="n">
        <v>9273.639999999999</v>
      </c>
      <c r="G267" s="31" t="n">
        <v>656.6</v>
      </c>
      <c r="H267" s="31" t="n">
        <v>-3.03</v>
      </c>
      <c r="I267" s="31" t="n">
        <v>258216</v>
      </c>
      <c r="J267" s="31" t="inlineStr">
        <is>
          <t>517506</t>
        </is>
      </c>
    </row>
    <row r="268">
      <c r="A268" s="31" t="inlineStr">
        <is>
          <t>TIRUPATIFL</t>
        </is>
      </c>
      <c r="B268" s="31" t="inlineStr">
        <is>
          <t>Tirupati Forge Ltd</t>
        </is>
      </c>
      <c r="C268" s="31" t="inlineStr">
        <is>
          <t>industrials</t>
        </is>
      </c>
      <c r="D268" s="31" t="inlineStr">
        <is>
          <t>castings &amp; forgings</t>
        </is>
      </c>
      <c r="E268" s="31" t="inlineStr">
        <is>
          <t>smallcap</t>
        </is>
      </c>
      <c r="F268" s="31" t="n">
        <v>945</v>
      </c>
      <c r="G268" s="31" t="n">
        <v>70.41</v>
      </c>
      <c r="H268" s="31" t="n">
        <v>-3.11</v>
      </c>
      <c r="I268" s="31" t="n">
        <v>319824</v>
      </c>
      <c r="J268" s="31" t="inlineStr">
        <is>
          <t>535021</t>
        </is>
      </c>
    </row>
    <row r="269">
      <c r="A269" s="31" t="inlineStr">
        <is>
          <t>MUTHOOTMF</t>
        </is>
      </c>
      <c r="B269" s="31" t="inlineStr">
        <is>
          <t>Muthoot Microfin Ltd</t>
        </is>
      </c>
      <c r="C269" s="31" t="inlineStr">
        <is>
          <t>financials</t>
        </is>
      </c>
      <c r="D269" s="31" t="inlineStr">
        <is>
          <t>finance &amp; investments</t>
        </is>
      </c>
      <c r="E269" s="31" t="inlineStr">
        <is>
          <t>smallcap</t>
        </is>
      </c>
      <c r="F269" s="31" t="n">
        <v>4357.44</v>
      </c>
      <c r="G269" s="31" t="n">
        <v>246.88</v>
      </c>
      <c r="H269" s="31" t="n">
        <v>-3.4</v>
      </c>
      <c r="I269" s="31" t="n">
        <v>321850</v>
      </c>
      <c r="J269" s="31" t="inlineStr">
        <is>
          <t>544055</t>
        </is>
      </c>
    </row>
    <row r="270">
      <c r="A270" s="31" t="inlineStr">
        <is>
          <t>ORBTEXP</t>
        </is>
      </c>
      <c r="B270" s="31" t="inlineStr">
        <is>
          <t>Orbit Exports Limited</t>
        </is>
      </c>
      <c r="C270" s="31" t="inlineStr">
        <is>
          <t>textiles</t>
        </is>
      </c>
      <c r="D270" s="31" t="inlineStr">
        <is>
          <t>textiles - processing</t>
        </is>
      </c>
      <c r="E270" s="31" t="inlineStr">
        <is>
          <t>smallcap</t>
        </is>
      </c>
      <c r="F270" s="31" t="n">
        <v>645.39</v>
      </c>
      <c r="G270" s="31" t="n">
        <v>234.7</v>
      </c>
      <c r="H270" s="31" t="n">
        <v>-3.59</v>
      </c>
      <c r="I270" s="31" t="n">
        <v>4030</v>
      </c>
      <c r="J270" s="31" t="inlineStr">
        <is>
          <t>512626</t>
        </is>
      </c>
    </row>
    <row r="271">
      <c r="A271" s="31" t="inlineStr">
        <is>
          <t>TATVA</t>
        </is>
      </c>
      <c r="B271" s="31" t="inlineStr">
        <is>
          <t>Tatva Chintan Pharma Chem Ltd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smallcap</t>
        </is>
      </c>
      <c r="F271" s="31" t="n">
        <v>4080.51</v>
      </c>
      <c r="G271" s="31" t="n">
        <v>1680.2</v>
      </c>
      <c r="H271" s="31" t="n">
        <v>-3.68</v>
      </c>
      <c r="I271" s="31" t="n">
        <v>66477</v>
      </c>
      <c r="J271" s="31" t="inlineStr">
        <is>
          <t>543321</t>
        </is>
      </c>
    </row>
    <row r="272">
      <c r="A272" s="31" t="inlineStr">
        <is>
          <t>TIMETECHNO</t>
        </is>
      </c>
      <c r="B272" s="31" t="inlineStr">
        <is>
          <t>Time Technoplast Limited</t>
        </is>
      </c>
      <c r="C272" s="31" t="inlineStr">
        <is>
          <t>plastic products</t>
        </is>
      </c>
      <c r="D272" s="31" t="inlineStr">
        <is>
          <t>plastics products</t>
        </is>
      </c>
      <c r="E272" s="31" t="inlineStr">
        <is>
          <t>midcap</t>
        </is>
      </c>
      <c r="F272" s="31" t="n">
        <v>10680.3</v>
      </c>
      <c r="G272" s="31" t="n">
        <v>208.36</v>
      </c>
      <c r="H272" s="31" t="n">
        <v>-3.7</v>
      </c>
      <c r="I272" s="31" t="n">
        <v>3553226</v>
      </c>
      <c r="J272" s="31" t="inlineStr">
        <is>
          <t>532856</t>
        </is>
      </c>
    </row>
    <row r="273">
      <c r="A273" s="31" t="inlineStr">
        <is>
          <t>FLUOROCHEM</t>
        </is>
      </c>
      <c r="B273" s="31" t="inlineStr">
        <is>
          <t>Gujarat Fluorochemicals Ltd</t>
        </is>
      </c>
      <c r="C273" s="31" t="inlineStr">
        <is>
          <t>chemicals</t>
        </is>
      </c>
      <c r="D273" s="31" t="inlineStr">
        <is>
          <t>chemicals</t>
        </is>
      </c>
      <c r="E273" s="31" t="inlineStr">
        <is>
          <t>largecap</t>
        </is>
      </c>
      <c r="F273" s="31" t="n">
        <v>50334.37</v>
      </c>
      <c r="G273" s="31" t="n">
        <v>4395</v>
      </c>
      <c r="H273" s="31" t="n">
        <v>-4.08</v>
      </c>
      <c r="I273" s="31" t="n">
        <v>84723</v>
      </c>
      <c r="J273" s="31" t="inlineStr">
        <is>
          <t>542812</t>
        </is>
      </c>
    </row>
    <row r="274">
      <c r="A274" s="31" t="inlineStr">
        <is>
          <t>SCPL</t>
        </is>
      </c>
      <c r="B274" s="31" t="inlineStr">
        <is>
          <t>Sheetal Cool Products Ltd</t>
        </is>
      </c>
      <c r="C274" s="31" t="inlineStr">
        <is>
          <t>fmcg</t>
        </is>
      </c>
      <c r="D274" s="31" t="inlineStr">
        <is>
          <t>food - processing - indian</t>
        </is>
      </c>
      <c r="E274" s="31" t="inlineStr">
        <is>
          <t>smallcap</t>
        </is>
      </c>
      <c r="F274" s="31" t="n">
        <v>603.75</v>
      </c>
      <c r="G274" s="31" t="n">
        <v>551.15</v>
      </c>
      <c r="H274" s="31" t="n">
        <v>-4.15</v>
      </c>
      <c r="I274" s="31" t="n">
        <v>16926</v>
      </c>
      <c r="J274" s="31" t="inlineStr">
        <is>
          <t>540757</t>
        </is>
      </c>
    </row>
    <row r="275">
      <c r="A275" s="31" t="inlineStr">
        <is>
          <t>FILATEX</t>
        </is>
      </c>
      <c r="B275" s="31" t="inlineStr">
        <is>
          <t>Filatex India Limited</t>
        </is>
      </c>
      <c r="C275" s="31" t="inlineStr">
        <is>
          <t>textiles</t>
        </is>
      </c>
      <c r="D275" s="31" t="inlineStr">
        <is>
          <t>textiles - manmade</t>
        </is>
      </c>
      <c r="E275" s="31" t="inlineStr">
        <is>
          <t>smallcap</t>
        </is>
      </c>
      <c r="F275" s="31" t="n">
        <v>3172.8</v>
      </c>
      <c r="G275" s="31" t="n">
        <v>68.34</v>
      </c>
      <c r="H275" s="31" t="n">
        <v>-4.35</v>
      </c>
      <c r="I275" s="31" t="n">
        <v>2745963</v>
      </c>
      <c r="J275" s="31" t="inlineStr">
        <is>
          <t>526227</t>
        </is>
      </c>
    </row>
    <row r="276">
      <c r="A276" s="31" t="inlineStr">
        <is>
          <t>OAL</t>
        </is>
      </c>
      <c r="B276" s="31" t="inlineStr">
        <is>
          <t>Oriental Aromatics Ltd</t>
        </is>
      </c>
      <c r="C276" s="31" t="inlineStr">
        <is>
          <t>chemicals</t>
        </is>
      </c>
      <c r="D276" s="31" t="inlineStr">
        <is>
          <t>chemicals</t>
        </is>
      </c>
      <c r="E276" s="31" t="inlineStr">
        <is>
          <t>smallcap</t>
        </is>
      </c>
      <c r="F276" s="31" t="n">
        <v>1340.93</v>
      </c>
      <c r="G276" s="31" t="n">
        <v>380.85</v>
      </c>
      <c r="H276" s="31" t="n">
        <v>-4.42</v>
      </c>
      <c r="I276" s="31" t="n">
        <v>37957</v>
      </c>
      <c r="J276" s="31" t="inlineStr">
        <is>
          <t>500078</t>
        </is>
      </c>
    </row>
    <row r="277">
      <c r="A277" s="31" t="inlineStr">
        <is>
          <t>GHCLTEXTIL</t>
        </is>
      </c>
      <c r="B277" s="31" t="inlineStr">
        <is>
          <t>GHCL Textiles Ltd</t>
        </is>
      </c>
      <c r="C277" s="31" t="inlineStr">
        <is>
          <t>textiles</t>
        </is>
      </c>
      <c r="D277" s="31" t="inlineStr">
        <is>
          <t>textiles - spinning - synthetic / blended</t>
        </is>
      </c>
      <c r="E277" s="31" t="inlineStr">
        <is>
          <t>smallcap</t>
        </is>
      </c>
      <c r="F277" s="31" t="n">
        <v>1142.54</v>
      </c>
      <c r="G277" s="31" t="n">
        <v>114.12</v>
      </c>
      <c r="H277" s="31" t="n">
        <v>-4.53</v>
      </c>
      <c r="I277" s="31" t="n">
        <v>11875585</v>
      </c>
      <c r="J277" s="31" t="inlineStr">
        <is>
          <t>543918</t>
        </is>
      </c>
    </row>
    <row r="278">
      <c r="A278" s="31" t="inlineStr">
        <is>
          <t>KAMDHENU</t>
        </is>
      </c>
      <c r="B278" s="31" t="inlineStr">
        <is>
          <t>Kamdhenu Limited</t>
        </is>
      </c>
      <c r="C278" s="31" t="inlineStr">
        <is>
          <t>metals &amp; mining</t>
        </is>
      </c>
      <c r="D278" s="31" t="inlineStr">
        <is>
          <t>steel - medium / small</t>
        </is>
      </c>
      <c r="E278" s="31" t="inlineStr">
        <is>
          <t>smallcap</t>
        </is>
      </c>
      <c r="F278" s="31" t="n">
        <v>1010.55</v>
      </c>
      <c r="G278" s="31" t="n">
        <v>34.06</v>
      </c>
      <c r="H278" s="31" t="n">
        <v>-4.99</v>
      </c>
      <c r="I278" s="31" t="n">
        <v>832028</v>
      </c>
      <c r="J278" s="31" t="inlineStr">
        <is>
          <t>532741</t>
        </is>
      </c>
    </row>
    <row r="279">
      <c r="A279" s="31" t="inlineStr">
        <is>
          <t>SALSTEEL</t>
        </is>
      </c>
      <c r="B279" s="31" t="inlineStr">
        <is>
          <t>SAL Steel</t>
        </is>
      </c>
      <c r="C279" s="31" t="inlineStr">
        <is>
          <t>metals &amp; mining</t>
        </is>
      </c>
      <c r="D279" s="31" t="inlineStr">
        <is>
          <t>steel - sponge iron</t>
        </is>
      </c>
      <c r="E279" s="31" t="inlineStr">
        <is>
          <t>smallcap</t>
        </is>
      </c>
      <c r="F279" s="31" t="n">
        <v>906.53</v>
      </c>
      <c r="G279" s="31" t="n">
        <v>59.49</v>
      </c>
      <c r="H279" s="31" t="n">
        <v>-5</v>
      </c>
      <c r="I279" s="31" t="n">
        <v>107358</v>
      </c>
      <c r="J279" s="31" t="inlineStr">
        <is>
          <t>532604</t>
        </is>
      </c>
    </row>
    <row r="280">
      <c r="A280" s="31" t="inlineStr">
        <is>
          <t>GANESHBE</t>
        </is>
      </c>
      <c r="B280" s="31" t="inlineStr">
        <is>
          <t>Ganesh Benzoplast Ltd</t>
        </is>
      </c>
      <c r="C280" s="31" t="inlineStr">
        <is>
          <t>miscellaneous</t>
        </is>
      </c>
      <c r="D280" s="31" t="inlineStr">
        <is>
          <t>miscellaneous</t>
        </is>
      </c>
      <c r="E280" s="31" t="inlineStr">
        <is>
          <t>smallcap</t>
        </is>
      </c>
      <c r="F280" s="31" t="n">
        <v>879.42</v>
      </c>
      <c r="G280" s="31" t="n">
        <v>116.01</v>
      </c>
      <c r="H280" s="31" t="n">
        <v>-5.03</v>
      </c>
      <c r="I280" s="31" t="n">
        <v>857397</v>
      </c>
      <c r="J280" s="31" t="inlineStr">
        <is>
          <t>500153</t>
        </is>
      </c>
    </row>
    <row r="281">
      <c r="A281" s="31" t="inlineStr">
        <is>
          <t>ARIHANT</t>
        </is>
      </c>
      <c r="B281" s="31" t="inlineStr">
        <is>
          <t>Arihant Foundations &amp; Housing Limited</t>
        </is>
      </c>
      <c r="C281" s="31" t="inlineStr">
        <is>
          <t>realty</t>
        </is>
      </c>
      <c r="D281" s="31" t="inlineStr">
        <is>
          <t>construction</t>
        </is>
      </c>
      <c r="E281" s="31" t="inlineStr">
        <is>
          <t>smallcap</t>
        </is>
      </c>
      <c r="F281" s="31" t="n">
        <v>1140.96</v>
      </c>
      <c r="G281" s="31" t="n">
        <v>1087</v>
      </c>
      <c r="H281" s="31" t="n">
        <v>-5.06</v>
      </c>
      <c r="I281" s="31" t="n">
        <v>4909</v>
      </c>
      <c r="J281" s="31" t="inlineStr">
        <is>
          <t>531381</t>
        </is>
      </c>
    </row>
    <row r="282">
      <c r="A282" s="31" t="inlineStr">
        <is>
          <t>KECL</t>
        </is>
      </c>
      <c r="B282" s="31" t="inlineStr">
        <is>
          <t>Kirloskar Electric Company Limited</t>
        </is>
      </c>
      <c r="C282" s="31" t="inlineStr">
        <is>
          <t>industrials</t>
        </is>
      </c>
      <c r="D282" s="31" t="inlineStr">
        <is>
          <t>electric equipment</t>
        </is>
      </c>
      <c r="E282" s="31" t="inlineStr">
        <is>
          <t>smallcap</t>
        </is>
      </c>
      <c r="F282" s="31" t="n">
        <v>952.91</v>
      </c>
      <c r="G282" s="31" t="n">
        <v>136.17</v>
      </c>
      <c r="H282" s="31" t="n">
        <v>-5.09</v>
      </c>
      <c r="I282" s="31" t="n">
        <v>163321</v>
      </c>
      <c r="J282" s="31" t="inlineStr">
        <is>
          <t>533193</t>
        </is>
      </c>
    </row>
    <row r="283">
      <c r="A283" s="31" t="inlineStr">
        <is>
          <t>KMEW</t>
        </is>
      </c>
      <c r="B283" s="31" t="inlineStr">
        <is>
          <t>Knowledge Marine &amp; Engineering Works Ltd</t>
        </is>
      </c>
      <c r="C283" s="31" t="inlineStr">
        <is>
          <t>transportation</t>
        </is>
      </c>
      <c r="D283" s="31" t="inlineStr">
        <is>
          <t>miscellaneous</t>
        </is>
      </c>
      <c r="E283" s="31" t="inlineStr">
        <is>
          <t>midcap</t>
        </is>
      </c>
      <c r="F283" s="31" t="n">
        <v>6550.53</v>
      </c>
      <c r="G283" s="31" t="n">
        <v>2529</v>
      </c>
      <c r="H283" s="31" t="n">
        <v>-5.63</v>
      </c>
      <c r="I283" s="31" t="n">
        <v>122309</v>
      </c>
      <c r="J283" s="31" t="inlineStr">
        <is>
          <t>543273</t>
        </is>
      </c>
    </row>
    <row r="284">
      <c r="A284" s="31" t="inlineStr">
        <is>
          <t>NILKAMAL</t>
        </is>
      </c>
      <c r="B284" s="31" t="inlineStr">
        <is>
          <t>Nilkamal Limited</t>
        </is>
      </c>
      <c r="C284" s="31" t="inlineStr">
        <is>
          <t>plastic products</t>
        </is>
      </c>
      <c r="D284" s="31" t="inlineStr">
        <is>
          <t>plastics products</t>
        </is>
      </c>
      <c r="E284" s="31" t="inlineStr">
        <is>
          <t>smallcap</t>
        </is>
      </c>
      <c r="F284" s="31" t="n">
        <v>2791.11</v>
      </c>
      <c r="G284" s="31" t="n">
        <v>1753.4</v>
      </c>
      <c r="H284" s="31" t="n">
        <v>-6.26</v>
      </c>
      <c r="I284" s="31" t="n">
        <v>100837</v>
      </c>
      <c r="J284" s="31" t="inlineStr">
        <is>
          <t>523385</t>
        </is>
      </c>
    </row>
    <row r="285">
      <c r="A285" s="31" t="inlineStr">
        <is>
          <t>KABRAEXTRU</t>
        </is>
      </c>
      <c r="B285" s="31" t="inlineStr">
        <is>
          <t>Kabra Extrusion Technik Limited</t>
        </is>
      </c>
      <c r="C285" s="31" t="inlineStr">
        <is>
          <t>industrials</t>
        </is>
      </c>
      <c r="D285" s="31" t="inlineStr">
        <is>
          <t>engineering</t>
        </is>
      </c>
      <c r="E285" s="31" t="inlineStr">
        <is>
          <t>smallcap</t>
        </is>
      </c>
      <c r="F285" s="31" t="n">
        <v>1364.47</v>
      </c>
      <c r="G285" s="31" t="n">
        <v>365.2</v>
      </c>
      <c r="H285" s="31" t="n">
        <v>-6.4</v>
      </c>
      <c r="I285" s="31" t="n">
        <v>330760</v>
      </c>
      <c r="J285" s="31" t="inlineStr">
        <is>
          <t>524109</t>
        </is>
      </c>
    </row>
    <row r="286">
      <c r="A286" s="31" t="inlineStr">
        <is>
          <t>APCOTEXIND</t>
        </is>
      </c>
      <c r="B286" s="31" t="inlineStr">
        <is>
          <t>Apcotex Industries Limited</t>
        </is>
      </c>
      <c r="C286" s="31" t="inlineStr">
        <is>
          <t>chemicals</t>
        </is>
      </c>
      <c r="D286" s="31" t="inlineStr">
        <is>
          <t>miscellaneous</t>
        </is>
      </c>
      <c r="E286" s="31" t="inlineStr">
        <is>
          <t>smallcap</t>
        </is>
      </c>
      <c r="F286" s="31" t="n">
        <v>3533.75</v>
      </c>
      <c r="G286" s="31" t="n">
        <v>637.45</v>
      </c>
      <c r="H286" s="31" t="n">
        <v>-6.48</v>
      </c>
      <c r="I286" s="31" t="n">
        <v>2737312</v>
      </c>
      <c r="J286" s="31" t="inlineStr">
        <is>
          <t>523694</t>
        </is>
      </c>
    </row>
  </sheetData>
  <autoFilter ref="A1:J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RPTECH</t>
        </is>
      </c>
      <c r="E2" s="31" t="inlineStr">
        <is>
          <t>Rashi Peripherals Ltd</t>
        </is>
      </c>
      <c r="F2" s="31" t="inlineStr">
        <is>
          <t>Trading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23</v>
      </c>
      <c r="K2" s="31" t="n">
        <v>28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RRKABEL</t>
        </is>
      </c>
      <c r="E3" s="31" t="inlineStr">
        <is>
          <t>R R Kabel Ltd</t>
        </is>
      </c>
      <c r="F3" s="31" t="inlineStr">
        <is>
          <t>Cables - Power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24</v>
      </c>
      <c r="K3" s="31" t="n">
        <v>29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UNIPARTS</t>
        </is>
      </c>
      <c r="E4" s="31" t="inlineStr">
        <is>
          <t>Uniparts India Ltd</t>
        </is>
      </c>
      <c r="F4" s="31" t="inlineStr">
        <is>
          <t>Castings, Forgings &amp; Fastners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26</v>
      </c>
      <c r="K4" s="31" t="n">
        <v>29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GLAND</t>
        </is>
      </c>
      <c r="E5" s="31" t="inlineStr">
        <is>
          <t>Gland Pharma Ltd</t>
        </is>
      </c>
      <c r="F5" s="31" t="inlineStr">
        <is>
          <t>Pharma - API &amp; CRAMS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23</v>
      </c>
      <c r="K5" s="31" t="n">
        <v>19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CUPID</t>
        </is>
      </c>
      <c r="E6" s="31" t="inlineStr">
        <is>
          <t>Cupid Limited</t>
        </is>
      </c>
      <c r="F6" s="31" t="inlineStr">
        <is>
          <t>Contraceptives/Protectives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20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SIGMAADV</t>
        </is>
      </c>
      <c r="E7" s="31" t="inlineStr">
        <is>
          <t>Sigma Advanced System Ltd</t>
        </is>
      </c>
      <c r="F7" s="31" t="inlineStr">
        <is>
          <t>Aerospace &amp; Defence - Equipments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30</v>
      </c>
      <c r="K7" s="31" t="n">
        <v>24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MOTHERSON</t>
        </is>
      </c>
      <c r="E8" s="31" t="inlineStr">
        <is>
          <t>Samvardhana Motherson International Ltd</t>
        </is>
      </c>
      <c r="F8" s="31" t="inlineStr">
        <is>
          <t>Auto Ancillaries - Diversified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20</v>
      </c>
      <c r="K8" s="31" t="n">
        <v>25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RAIN</t>
        </is>
      </c>
      <c r="E9" s="31" t="inlineStr">
        <is>
          <t>Rain Industries Limited</t>
        </is>
      </c>
      <c r="F9" s="31" t="inlineStr">
        <is>
          <t>Cement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25</v>
      </c>
      <c r="K9" s="31" t="n">
        <v>24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INDNIPPON</t>
        </is>
      </c>
      <c r="E10" s="31" t="inlineStr">
        <is>
          <t>India Nippon Electricals Limited</t>
        </is>
      </c>
      <c r="F10" s="31" t="inlineStr">
        <is>
          <t>Auto Ancillaries - Engine Parts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23</v>
      </c>
      <c r="K10" s="31" t="n">
        <v>28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HESTERBIO</t>
        </is>
      </c>
      <c r="E11" s="31" t="inlineStr">
        <is>
          <t>Hester Biosciences Limited</t>
        </is>
      </c>
      <c r="F11" s="31" t="inlineStr">
        <is>
          <t>Pharma - Animal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19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NGLFINE</t>
        </is>
      </c>
      <c r="E12" s="31" t="inlineStr">
        <is>
          <t>NGL Fine Chem Ltd</t>
        </is>
      </c>
      <c r="F12" s="31" t="inlineStr">
        <is>
          <t>Pharma - Animal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20</v>
      </c>
      <c r="K12" s="31" t="n">
        <v>27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MINDACORP</t>
        </is>
      </c>
      <c r="E13" s="31" t="inlineStr">
        <is>
          <t>Minda Corporation Limited</t>
        </is>
      </c>
      <c r="F13" s="31" t="inlineStr">
        <is>
          <t>Auto Ancillaries - Diversified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27</v>
      </c>
      <c r="K13" s="31" t="n">
        <v>24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VADILALIND</t>
        </is>
      </c>
      <c r="E14" s="31" t="inlineStr">
        <is>
          <t>Vadilal Industries Limited</t>
        </is>
      </c>
      <c r="F14" s="31" t="inlineStr">
        <is>
          <t>FMCG - Dairy Products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20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UNIVCABLES</t>
        </is>
      </c>
      <c r="E15" s="31" t="inlineStr">
        <is>
          <t>Universal Cables Limited</t>
        </is>
      </c>
      <c r="F15" s="31" t="inlineStr">
        <is>
          <t>Cables - Power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18</v>
      </c>
      <c r="K15" s="31" t="n">
        <v>21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CRAFTSMAN</t>
        </is>
      </c>
      <c r="E16" s="31" t="inlineStr">
        <is>
          <t>Craftsman Automation Ltd</t>
        </is>
      </c>
      <c r="F16" s="31" t="inlineStr">
        <is>
          <t>Auto &amp; Auto Ancl - CV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19</v>
      </c>
      <c r="K16" s="31" t="n">
        <v>25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YASHO</t>
        </is>
      </c>
      <c r="E17" s="31" t="inlineStr">
        <is>
          <t>Yasho Industries Ltd</t>
        </is>
      </c>
      <c r="F17" s="31" t="inlineStr">
        <is>
          <t>Speciality Chemicals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KRISHANA</t>
        </is>
      </c>
      <c r="E18" s="31" t="inlineStr">
        <is>
          <t>Krishana Phoschem Ltd</t>
        </is>
      </c>
      <c r="F18" s="31" t="inlineStr">
        <is>
          <t>Fertilisers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24</v>
      </c>
      <c r="K18" s="31" t="n">
        <v>14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ARTEMISMED</t>
        </is>
      </c>
      <c r="E19" s="31" t="inlineStr">
        <is>
          <t>Artemis Medicare Services Ltd</t>
        </is>
      </c>
      <c r="F19" s="31" t="inlineStr">
        <is>
          <t>Hospitals</t>
        </is>
      </c>
      <c r="G19" s="31" t="n">
        <v>2</v>
      </c>
      <c r="H19" s="31" t="inlineStr">
        <is>
          <t>52W Breakout</t>
        </is>
      </c>
      <c r="I19" s="31" t="inlineStr">
        <is>
          <t>Yes</t>
        </is>
      </c>
      <c r="J19" s="31" t="n">
        <v>8</v>
      </c>
      <c r="K19" s="31" t="n">
        <v>5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DIACABS</t>
        </is>
      </c>
      <c r="E20" s="31" t="inlineStr">
        <is>
          <t>Diamond Power Infrastructure Ltd</t>
        </is>
      </c>
      <c r="F20" s="31" t="inlineStr">
        <is>
          <t>Cables - Power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SKYGOLD</t>
        </is>
      </c>
      <c r="E21" s="31" t="inlineStr">
        <is>
          <t>Sky Gold Ltd</t>
        </is>
      </c>
      <c r="F21" s="31" t="inlineStr">
        <is>
          <t>Diamond, Gems &amp; Jewellery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31</v>
      </c>
      <c r="K21" s="31" t="n">
        <v>19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PAISALO</t>
        </is>
      </c>
      <c r="E22" s="31" t="inlineStr">
        <is>
          <t>Paisalo Digital Ltd</t>
        </is>
      </c>
      <c r="F22" s="31" t="inlineStr">
        <is>
          <t>Finance - Capital Markets - Brokers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23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AVALON</t>
        </is>
      </c>
      <c r="E23" s="31" t="inlineStr">
        <is>
          <t>Avalon Technologies Ltd</t>
        </is>
      </c>
      <c r="F23" s="31" t="inlineStr">
        <is>
          <t>Consumer Electronics - EMS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25</v>
      </c>
      <c r="K23" s="31" t="n">
        <v>23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SANSERA</t>
        </is>
      </c>
      <c r="E24" s="31" t="inlineStr">
        <is>
          <t>Sansera Engineering Ltd</t>
        </is>
      </c>
      <c r="F24" s="31" t="inlineStr">
        <is>
          <t>Auto Ancillaries - Diversified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21</v>
      </c>
      <c r="K24" s="31" t="n">
        <v>26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DIVGIITTS</t>
        </is>
      </c>
      <c r="E25" s="31" t="inlineStr">
        <is>
          <t>Divgi Torqtransfer Systems Ltd</t>
        </is>
      </c>
      <c r="F25" s="31" t="inlineStr">
        <is>
          <t>Auto Ancillaries - Transmission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18</v>
      </c>
      <c r="K25" s="31" t="n">
        <v>27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KERNEX</t>
        </is>
      </c>
      <c r="E26" s="31" t="inlineStr">
        <is>
          <t>Kernex Microsystems (india) Limited</t>
        </is>
      </c>
      <c r="F26" s="31" t="inlineStr">
        <is>
          <t>Railways - Kavach/Springs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LLOYDSME</t>
        </is>
      </c>
      <c r="E27" s="31" t="inlineStr">
        <is>
          <t>Lloyds Metals &amp; Energy Ltd</t>
        </is>
      </c>
      <c r="F27" s="31" t="inlineStr">
        <is>
          <t>Mining/Minerals - Iron Ore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16</v>
      </c>
    </row>
  </sheetData>
  <autoFilter ref="A1:K27"/>
  <conditionalFormatting sqref="G2: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5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IF(B2=0,"",RANK(B2,$B$2:$B$250,0))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E2E</t>
        </is>
      </c>
      <c r="D2" s="31" t="inlineStr">
        <is>
          <t>E2E Networks Ltd</t>
        </is>
      </c>
      <c r="E2" s="31" t="inlineStr">
        <is>
          <t>i.t</t>
        </is>
      </c>
      <c r="F2" s="31" t="inlineStr">
        <is>
          <t>computers - software - medium / small</t>
        </is>
      </c>
      <c r="G2" s="31" t="inlineStr">
        <is>
          <t>midcap</t>
        </is>
      </c>
      <c r="H2" s="32" t="n">
        <v>10102.49</v>
      </c>
      <c r="I2" s="32" t="n">
        <v>492.55</v>
      </c>
      <c r="J2" s="32" t="n">
        <v>0.22</v>
      </c>
      <c r="K2" s="32" t="n">
        <v>1788213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67.19</v>
      </c>
      <c r="P2" s="32" t="n">
        <v>45.13</v>
      </c>
      <c r="Q2" s="32" t="n">
        <v>353.74</v>
      </c>
      <c r="R2" s="31" t="inlineStr">
        <is>
          <t>Near 52W High Breakout</t>
        </is>
      </c>
      <c r="S2" s="31" t="inlineStr">
        <is>
          <t>Nifty IT</t>
        </is>
      </c>
      <c r="T2" s="32" t="n">
        <v>-9.970000000000001</v>
      </c>
      <c r="U2" s="32" t="n">
        <v>138.43</v>
      </c>
      <c r="V2" s="32" t="n">
        <v>164.84</v>
      </c>
      <c r="W2" s="32" t="n">
        <v>38.23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IF(B3=0,"",RANK(B3,$B$2:$B$250,0))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CONFIPET</t>
        </is>
      </c>
      <c r="D3" s="31" t="inlineStr">
        <is>
          <t>Confidence Petroleum India Ltd</t>
        </is>
      </c>
      <c r="E3" s="31" t="inlineStr">
        <is>
          <t>miscellaneous</t>
        </is>
      </c>
      <c r="F3" s="31" t="inlineStr">
        <is>
          <t>miscellaneous</t>
        </is>
      </c>
      <c r="G3" s="31" t="inlineStr">
        <is>
          <t>smallcap</t>
        </is>
      </c>
      <c r="H3" s="32" t="n">
        <v>2600.78</v>
      </c>
      <c r="I3" s="32" t="n">
        <v>78.27</v>
      </c>
      <c r="J3" s="32" t="n">
        <v>-0.01</v>
      </c>
      <c r="K3" s="32" t="n">
        <v>1716785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70.7</v>
      </c>
      <c r="P3" s="32" t="n">
        <v>66.77</v>
      </c>
      <c r="Q3" s="32" t="n">
        <v>53.69</v>
      </c>
      <c r="R3" s="31" t="inlineStr">
        <is>
          <t>Near 52W High Breakout</t>
        </is>
      </c>
      <c r="S3" s="31" t="inlineStr">
        <is>
          <t>Nifty 50</t>
        </is>
      </c>
      <c r="T3" s="32" t="n">
        <v>-1.01</v>
      </c>
      <c r="U3" s="32" t="n">
        <v>54.4</v>
      </c>
      <c r="V3" s="32" t="n">
        <v>55.98</v>
      </c>
      <c r="W3" s="32" t="n">
        <v>23.5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IF(B4=0,"",RANK(B4,$B$2:$B$250,0))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MENONBE</t>
        </is>
      </c>
      <c r="D4" s="31" t="inlineStr">
        <is>
          <t>Menon Bearings Limited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1230.53</v>
      </c>
      <c r="I4" s="32" t="n">
        <v>214.97</v>
      </c>
      <c r="J4" s="32" t="n">
        <v>-2.1</v>
      </c>
      <c r="K4" s="32" t="n">
        <v>53218</v>
      </c>
      <c r="L4" s="31" t="n">
        <v>90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77.15000000000001</v>
      </c>
      <c r="P4" s="32" t="n">
        <v>48.62</v>
      </c>
      <c r="Q4" s="32" t="n">
        <v>161.71</v>
      </c>
      <c r="R4" s="31" t="inlineStr">
        <is>
          <t>Near 52W High Breakout</t>
        </is>
      </c>
      <c r="S4" s="31" t="inlineStr">
        <is>
          <t>Nifty Auto</t>
        </is>
      </c>
      <c r="T4" s="32" t="n">
        <v>18.91</v>
      </c>
      <c r="U4" s="32" t="n">
        <v>69.15000000000001</v>
      </c>
      <c r="V4" s="32" t="n">
        <v>42.24</v>
      </c>
      <c r="W4" s="32" t="n">
        <v>31.57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IF(B5=0,"",RANK(B5,$B$2:$B$250,0))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INDIAGLYCO</t>
        </is>
      </c>
      <c r="D5" s="31" t="inlineStr">
        <is>
          <t>India Glycols Limited</t>
        </is>
      </c>
      <c r="E5" s="31" t="inlineStr">
        <is>
          <t>fmcg</t>
        </is>
      </c>
      <c r="F5" s="31" t="inlineStr">
        <is>
          <t>breweries &amp; distilleries</t>
        </is>
      </c>
      <c r="G5" s="31" t="inlineStr">
        <is>
          <t>midcap</t>
        </is>
      </c>
      <c r="H5" s="32" t="n">
        <v>7667.53</v>
      </c>
      <c r="I5" s="32" t="n">
        <v>1128.35</v>
      </c>
      <c r="J5" s="32" t="n">
        <v>-1.36</v>
      </c>
      <c r="K5" s="32" t="n">
        <v>116447</v>
      </c>
      <c r="L5" s="31" t="n">
        <v>46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61.61</v>
      </c>
      <c r="P5" s="32" t="n">
        <v>26.31</v>
      </c>
      <c r="Q5" s="32" t="n">
        <v>910.6</v>
      </c>
      <c r="R5" s="31" t="inlineStr">
        <is>
          <t>Near 52W High Breakout</t>
        </is>
      </c>
      <c r="S5" s="31" t="inlineStr">
        <is>
          <t>Nifty FMCG</t>
        </is>
      </c>
      <c r="T5" s="32" t="n">
        <v>-9.050000000000001</v>
      </c>
      <c r="U5" s="32" t="n">
        <v>32.55</v>
      </c>
      <c r="V5" s="32" t="n">
        <v>45.73</v>
      </c>
      <c r="W5" s="32" t="n">
        <v>10.06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IF(B6=0,"",RANK(B6,$B$2:$B$250,0))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RPTECH</t>
        </is>
      </c>
      <c r="D6" s="31" t="inlineStr">
        <is>
          <t>Rashi Peripherals Ltd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midcap</t>
        </is>
      </c>
      <c r="H6" s="32" t="n">
        <v>5097.67</v>
      </c>
      <c r="I6" s="32" t="n">
        <v>813</v>
      </c>
      <c r="J6" s="32" t="n">
        <v>5.1</v>
      </c>
      <c r="K6" s="32" t="n">
        <v>1871397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79.67</v>
      </c>
      <c r="P6" s="32" t="n">
        <v>75.53</v>
      </c>
      <c r="Q6" s="32" t="n">
        <v>626.15</v>
      </c>
      <c r="R6" s="31" t="inlineStr">
        <is>
          <t>Near 52W High Breakout</t>
        </is>
      </c>
      <c r="S6" s="31" t="inlineStr">
        <is>
          <t>Nifty 50</t>
        </is>
      </c>
      <c r="T6" s="32" t="n">
        <v>-1.01</v>
      </c>
      <c r="U6" s="32" t="n">
        <v>182.99</v>
      </c>
      <c r="V6" s="32" t="n">
        <v>185.88</v>
      </c>
      <c r="W6" s="32" t="n">
        <v>41.17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IF(B7=0,"",RANK(B7,$B$2:$B$250,0))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ATHERENERG</t>
        </is>
      </c>
      <c r="D7" s="31" t="inlineStr">
        <is>
          <t>Ather Energy Ltd</t>
        </is>
      </c>
      <c r="E7" s="31" t="inlineStr">
        <is>
          <t>auto</t>
        </is>
      </c>
      <c r="F7" s="31" t="inlineStr">
        <is>
          <t>automobiles - scooters and 3 - wheelers</t>
        </is>
      </c>
      <c r="G7" s="31" t="inlineStr">
        <is>
          <t>largecap</t>
        </is>
      </c>
      <c r="H7" s="32" t="n">
        <v>47740.7</v>
      </c>
      <c r="I7" s="32" t="n">
        <v>1240.9</v>
      </c>
      <c r="J7" s="32" t="n">
        <v>-0.42</v>
      </c>
      <c r="K7" s="32" t="n">
        <v>2463994</v>
      </c>
      <c r="L7" s="31" t="n">
        <v>97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72.63</v>
      </c>
      <c r="P7" s="32" t="n">
        <v>56.88</v>
      </c>
      <c r="Q7" s="32" t="n">
        <v>980.4299999999999</v>
      </c>
      <c r="R7" s="31" t="inlineStr">
        <is>
          <t>Near 52W High Breakout</t>
        </is>
      </c>
      <c r="S7" s="31" t="inlineStr">
        <is>
          <t>Nifty Auto</t>
        </is>
      </c>
      <c r="T7" s="32" t="n">
        <v>18.91</v>
      </c>
      <c r="U7" s="32" t="n">
        <v>271.19</v>
      </c>
      <c r="V7" s="32" t="n">
        <v>212.16</v>
      </c>
      <c r="W7" s="32" t="n">
        <v>44.49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Negative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IF(B8=0,"",RANK(B8,$B$2:$B$250,0))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PGIL</t>
        </is>
      </c>
      <c r="D8" s="31" t="inlineStr">
        <is>
          <t>Pearl Global Industries Limited</t>
        </is>
      </c>
      <c r="E8" s="31" t="inlineStr">
        <is>
          <t>consumer discretionary</t>
        </is>
      </c>
      <c r="F8" s="31" t="inlineStr">
        <is>
          <t>textiles - products</t>
        </is>
      </c>
      <c r="G8" s="31" t="inlineStr">
        <is>
          <t>midcap</t>
        </is>
      </c>
      <c r="H8" s="32" t="n">
        <v>9516.700000000001</v>
      </c>
      <c r="I8" s="32" t="n">
        <v>2028</v>
      </c>
      <c r="J8" s="32" t="n">
        <v>-1.58</v>
      </c>
      <c r="K8" s="32" t="n">
        <v>40552</v>
      </c>
      <c r="L8" s="31" t="n">
        <v>63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65.05</v>
      </c>
      <c r="P8" s="32" t="n">
        <v>47.52</v>
      </c>
      <c r="Q8" s="32" t="n">
        <v>1579.76</v>
      </c>
      <c r="R8" s="31" t="inlineStr">
        <is>
          <t>Near 52W High Breakout</t>
        </is>
      </c>
      <c r="S8" s="31" t="inlineStr">
        <is>
          <t>Nifty 50</t>
        </is>
      </c>
      <c r="T8" s="32" t="n">
        <v>-1.01</v>
      </c>
      <c r="U8" s="32" t="n">
        <v>46.72</v>
      </c>
      <c r="V8" s="32" t="n">
        <v>48.22</v>
      </c>
      <c r="W8" s="32" t="n">
        <v>15.58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Between 1.5 to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IF(B9=0,"",RANK(B9,$B$2:$B$250,0))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GOKULAGRO</t>
        </is>
      </c>
      <c r="D9" s="31" t="inlineStr">
        <is>
          <t>Gokul Agro Resources Limited</t>
        </is>
      </c>
      <c r="E9" s="31" t="inlineStr">
        <is>
          <t>fmcg</t>
        </is>
      </c>
      <c r="F9" s="31" t="inlineStr">
        <is>
          <t>solvent extraction</t>
        </is>
      </c>
      <c r="G9" s="31" t="inlineStr">
        <is>
          <t>midcap</t>
        </is>
      </c>
      <c r="H9" s="32" t="n">
        <v>6586.34</v>
      </c>
      <c r="I9" s="32" t="n">
        <v>225.15</v>
      </c>
      <c r="J9" s="32" t="n">
        <v>0.87</v>
      </c>
      <c r="K9" s="32" t="n">
        <v>3418850</v>
      </c>
      <c r="L9" s="31" t="n">
        <v>42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58.85</v>
      </c>
      <c r="P9" s="32" t="n">
        <v>31.02</v>
      </c>
      <c r="Q9" s="32" t="n">
        <v>184.01</v>
      </c>
      <c r="R9" s="31" t="inlineStr">
        <is>
          <t>Volume Spike / Accumulation</t>
        </is>
      </c>
      <c r="S9" s="31" t="inlineStr">
        <is>
          <t>Nifty FMCG</t>
        </is>
      </c>
      <c r="T9" s="32" t="n">
        <v>-9.050000000000001</v>
      </c>
      <c r="U9" s="32" t="n">
        <v>45.87</v>
      </c>
      <c r="V9" s="32" t="n">
        <v>60.38</v>
      </c>
      <c r="W9" s="32" t="n">
        <v>9.26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IF(B10=0,"",RANK(B10,$B$2:$B$250,0))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EMCURE</t>
        </is>
      </c>
      <c r="D10" s="31" t="inlineStr">
        <is>
          <t>Emcure Pharmaceuticals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largecap</t>
        </is>
      </c>
      <c r="H10" s="32" t="n">
        <v>36109.41</v>
      </c>
      <c r="I10" s="32" t="n">
        <v>1910.9</v>
      </c>
      <c r="J10" s="32" t="n">
        <v>0.38</v>
      </c>
      <c r="K10" s="32" t="n">
        <v>73582</v>
      </c>
      <c r="L10" s="31" t="n">
        <v>46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68.06</v>
      </c>
      <c r="P10" s="32" t="n">
        <v>58.93</v>
      </c>
      <c r="Q10" s="32" t="n">
        <v>1539.24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19.69</v>
      </c>
      <c r="U10" s="32" t="n">
        <v>40.36</v>
      </c>
      <c r="V10" s="32" t="n">
        <v>17.27</v>
      </c>
      <c r="W10" s="32" t="n">
        <v>10.02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IF(B11=0,"",RANK(B11,$B$2:$B$250,0))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RADICO</t>
        </is>
      </c>
      <c r="D11" s="31" t="inlineStr">
        <is>
          <t>Radico Khaitan Limited</t>
        </is>
      </c>
      <c r="E11" s="31" t="inlineStr">
        <is>
          <t>fmcg</t>
        </is>
      </c>
      <c r="F11" s="31" t="inlineStr">
        <is>
          <t>breweries &amp; distilleries</t>
        </is>
      </c>
      <c r="G11" s="31" t="inlineStr">
        <is>
          <t>largecap</t>
        </is>
      </c>
      <c r="H11" s="32" t="n">
        <v>58578.89</v>
      </c>
      <c r="I11" s="32" t="n">
        <v>4366.6</v>
      </c>
      <c r="J11" s="32" t="n">
        <v>-0.16</v>
      </c>
      <c r="K11" s="32" t="n">
        <v>692504</v>
      </c>
      <c r="L11" s="31" t="n">
        <v>74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83.97</v>
      </c>
      <c r="P11" s="32" t="n">
        <v>57.81</v>
      </c>
      <c r="Q11" s="32" t="n">
        <v>3699.58</v>
      </c>
      <c r="R11" s="31" t="inlineStr">
        <is>
          <t>Volume Spike &amp; Near 52W High Breakout</t>
        </is>
      </c>
      <c r="S11" s="31" t="inlineStr">
        <is>
          <t>Nifty FMCG</t>
        </is>
      </c>
      <c r="T11" s="32" t="n">
        <v>-9.050000000000001</v>
      </c>
      <c r="U11" s="32" t="n">
        <v>61.96</v>
      </c>
      <c r="V11" s="32" t="n">
        <v>78.06999999999999</v>
      </c>
      <c r="W11" s="32" t="n">
        <v>18.67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IF(B12=0,"",RANK(B12,$B$2:$B$250,0))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REDINGTON</t>
        </is>
      </c>
      <c r="D12" s="31" t="inlineStr">
        <is>
          <t>Redington (india) Limited</t>
        </is>
      </c>
      <c r="E12" s="31" t="inlineStr">
        <is>
          <t>services</t>
        </is>
      </c>
      <c r="F12" s="31" t="inlineStr">
        <is>
          <t>trading</t>
        </is>
      </c>
      <c r="G12" s="31" t="inlineStr">
        <is>
          <t>largecap</t>
        </is>
      </c>
      <c r="H12" s="32" t="n">
        <v>22472.11</v>
      </c>
      <c r="I12" s="32" t="n">
        <v>310.95</v>
      </c>
      <c r="J12" s="32" t="n">
        <v>8.18</v>
      </c>
      <c r="K12" s="32" t="n">
        <v>56111752</v>
      </c>
      <c r="L12" s="31" t="n">
        <v>66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66.23999999999999</v>
      </c>
      <c r="P12" s="32" t="n">
        <v>24.09</v>
      </c>
      <c r="Q12" s="32" t="n">
        <v>233.41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-1.01</v>
      </c>
      <c r="U12" s="32" t="n">
        <v>27.39</v>
      </c>
      <c r="V12" s="32" t="n">
        <v>28.69</v>
      </c>
      <c r="W12" s="32" t="n">
        <v>16.43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IF(B13=0,"",RANK(B13,$B$2:$B$250,0))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SANGAMIND</t>
        </is>
      </c>
      <c r="D13" s="31" t="inlineStr">
        <is>
          <t>Sangam (india) Limited</t>
        </is>
      </c>
      <c r="E13" s="31" t="inlineStr">
        <is>
          <t>textiles</t>
        </is>
      </c>
      <c r="F13" s="31" t="inlineStr">
        <is>
          <t>textiles - spinning - synthetic / blended</t>
        </is>
      </c>
      <c r="G13" s="31" t="inlineStr">
        <is>
          <t>smallcap</t>
        </is>
      </c>
      <c r="H13" s="32" t="n">
        <v>3008.51</v>
      </c>
      <c r="I13" s="32" t="n">
        <v>615.65</v>
      </c>
      <c r="J13" s="32" t="n">
        <v>2.82</v>
      </c>
      <c r="K13" s="32" t="n">
        <v>27405</v>
      </c>
      <c r="L13" s="31" t="n">
        <v>55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72.47</v>
      </c>
      <c r="P13" s="32" t="n">
        <v>47.05</v>
      </c>
      <c r="Q13" s="32" t="n">
        <v>501.48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-1.01</v>
      </c>
      <c r="U13" s="32" t="n">
        <v>49.09</v>
      </c>
      <c r="V13" s="32" t="n">
        <v>50.61</v>
      </c>
      <c r="W13" s="32" t="n">
        <v>12.47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Between 0.7 to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IF(B14=0,"",RANK(B14,$B$2:$B$250,0))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UNIPARTS</t>
        </is>
      </c>
      <c r="D14" s="31" t="inlineStr">
        <is>
          <t>Uniparts India Ltd</t>
        </is>
      </c>
      <c r="E14" s="31" t="inlineStr">
        <is>
          <t>industrials</t>
        </is>
      </c>
      <c r="F14" s="31" t="inlineStr">
        <is>
          <t>engineering</t>
        </is>
      </c>
      <c r="G14" s="31" t="inlineStr">
        <is>
          <t>smallcap</t>
        </is>
      </c>
      <c r="H14" s="32" t="n">
        <v>3273.1</v>
      </c>
      <c r="I14" s="32" t="n">
        <v>738.2</v>
      </c>
      <c r="J14" s="32" t="n">
        <v>1.81</v>
      </c>
      <c r="K14" s="32" t="n">
        <v>217869</v>
      </c>
      <c r="L14" s="31" t="n">
        <v>86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73.83</v>
      </c>
      <c r="P14" s="32" t="n">
        <v>57.26</v>
      </c>
      <c r="Q14" s="32" t="n">
        <v>586</v>
      </c>
      <c r="R14" s="31" t="inlineStr">
        <is>
          <t>Near 52W High Breakout</t>
        </is>
      </c>
      <c r="S14" s="31" t="inlineStr">
        <is>
          <t>Nifty 50</t>
        </is>
      </c>
      <c r="T14" s="32" t="n">
        <v>-1.01</v>
      </c>
      <c r="U14" s="32" t="n">
        <v>128.7</v>
      </c>
      <c r="V14" s="32" t="n">
        <v>131.04</v>
      </c>
      <c r="W14" s="32" t="n">
        <v>28.1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IF(B15=0,"",RANK(B15,$B$2:$B$250,0))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SJS</t>
        </is>
      </c>
      <c r="D15" s="31" t="inlineStr">
        <is>
          <t>S J S Enterprises Ltd</t>
        </is>
      </c>
      <c r="E15" s="31" t="inlineStr">
        <is>
          <t>auto</t>
        </is>
      </c>
      <c r="F15" s="31" t="inlineStr">
        <is>
          <t>plastics products</t>
        </is>
      </c>
      <c r="G15" s="31" t="inlineStr">
        <is>
          <t>midcap</t>
        </is>
      </c>
      <c r="H15" s="32" t="n">
        <v>7513.85</v>
      </c>
      <c r="I15" s="32" t="n">
        <v>2359</v>
      </c>
      <c r="J15" s="32" t="n">
        <v>0.48</v>
      </c>
      <c r="K15" s="32" t="n">
        <v>75434</v>
      </c>
      <c r="L15" s="31" t="n">
        <v>82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69.37</v>
      </c>
      <c r="P15" s="32" t="n">
        <v>39.14</v>
      </c>
      <c r="Q15" s="32" t="n">
        <v>1894.68</v>
      </c>
      <c r="R15" s="31" t="inlineStr">
        <is>
          <t>Near 52W High Breakout</t>
        </is>
      </c>
      <c r="S15" s="31" t="inlineStr">
        <is>
          <t>Nifty Auto</t>
        </is>
      </c>
      <c r="T15" s="32" t="n">
        <v>18.91</v>
      </c>
      <c r="U15" s="32" t="n">
        <v>89.12</v>
      </c>
      <c r="V15" s="32" t="n">
        <v>59.04</v>
      </c>
      <c r="W15" s="32" t="n">
        <v>24.02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IF(B16=0,"",RANK(B16,$B$2:$B$250,0))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RRKABEL</t>
        </is>
      </c>
      <c r="D16" s="31" t="inlineStr">
        <is>
          <t>R R Kabel Ltd</t>
        </is>
      </c>
      <c r="E16" s="31" t="inlineStr">
        <is>
          <t>industrials</t>
        </is>
      </c>
      <c r="F16" s="31" t="inlineStr">
        <is>
          <t>cables - power</t>
        </is>
      </c>
      <c r="G16" s="31" t="inlineStr">
        <is>
          <t>largecap</t>
        </is>
      </c>
      <c r="H16" s="32" t="n">
        <v>28942.57</v>
      </c>
      <c r="I16" s="32" t="n">
        <v>2562.2</v>
      </c>
      <c r="J16" s="32" t="n">
        <v>0.13</v>
      </c>
      <c r="K16" s="32" t="n">
        <v>522489</v>
      </c>
      <c r="L16" s="31" t="n">
        <v>91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73.52</v>
      </c>
      <c r="P16" s="32" t="n">
        <v>64.17</v>
      </c>
      <c r="Q16" s="32" t="n">
        <v>1993.34</v>
      </c>
      <c r="R16" s="31" t="inlineStr">
        <is>
          <t>Volume Spike &amp; Near 52W High Breakout</t>
        </is>
      </c>
      <c r="S16" s="31" t="inlineStr">
        <is>
          <t>Nifty Energy</t>
        </is>
      </c>
      <c r="T16" s="32" t="n">
        <v>8.69</v>
      </c>
      <c r="U16" s="32" t="n">
        <v>84.5</v>
      </c>
      <c r="V16" s="32" t="n">
        <v>69.75</v>
      </c>
      <c r="W16" s="32" t="n">
        <v>32.18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IF(B17=0,"",RANK(B17,$B$2:$B$250,0))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SSWL</t>
        </is>
      </c>
      <c r="D17" s="31" t="inlineStr">
        <is>
          <t>Steel Strips Wheels Limited</t>
        </is>
      </c>
      <c r="E17" s="31" t="inlineStr">
        <is>
          <t>auto</t>
        </is>
      </c>
      <c r="F17" s="31" t="inlineStr">
        <is>
          <t>auto ancillaries</t>
        </is>
      </c>
      <c r="G17" s="31" t="inlineStr">
        <is>
          <t>smallcap</t>
        </is>
      </c>
      <c r="H17" s="32" t="n">
        <v>4680.52</v>
      </c>
      <c r="I17" s="32" t="n">
        <v>297.19</v>
      </c>
      <c r="J17" s="32" t="n">
        <v>-0.2</v>
      </c>
      <c r="K17" s="32" t="n">
        <v>616804</v>
      </c>
      <c r="L17" s="31" t="n">
        <v>61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74.26000000000001</v>
      </c>
      <c r="P17" s="32" t="n">
        <v>20.25</v>
      </c>
      <c r="Q17" s="32" t="n">
        <v>233.96</v>
      </c>
      <c r="R17" s="31" t="inlineStr">
        <is>
          <t>Near 52W High Breakout</t>
        </is>
      </c>
      <c r="S17" s="31" t="inlineStr">
        <is>
          <t>Nifty Auto</t>
        </is>
      </c>
      <c r="T17" s="32" t="n">
        <v>18.91</v>
      </c>
      <c r="U17" s="32" t="n">
        <v>24.09</v>
      </c>
      <c r="V17" s="32" t="n">
        <v>4.35</v>
      </c>
      <c r="W17" s="32" t="n">
        <v>15.02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IF(B18=0,"",RANK(B18,$B$2:$B$250,0))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HSCL</t>
        </is>
      </c>
      <c r="D18" s="31" t="inlineStr">
        <is>
          <t>Himadri Speciality Chemical Limited</t>
        </is>
      </c>
      <c r="E18" s="31" t="inlineStr">
        <is>
          <t>chemicals</t>
        </is>
      </c>
      <c r="F18" s="31" t="inlineStr">
        <is>
          <t>chemicals</t>
        </is>
      </c>
      <c r="G18" s="31" t="inlineStr">
        <is>
          <t>largecap</t>
        </is>
      </c>
      <c r="H18" s="32" t="n">
        <v>38844.66</v>
      </c>
      <c r="I18" s="32" t="n">
        <v>760.5</v>
      </c>
      <c r="J18" s="32" t="n">
        <v>-1.22</v>
      </c>
      <c r="K18" s="32" t="n">
        <v>3384244</v>
      </c>
      <c r="L18" s="31" t="n">
        <v>67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71.78</v>
      </c>
      <c r="P18" s="32" t="n">
        <v>43.7</v>
      </c>
      <c r="Q18" s="32" t="n">
        <v>613.0599999999999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-1.01</v>
      </c>
      <c r="U18" s="32" t="n">
        <v>64.56999999999999</v>
      </c>
      <c r="V18" s="32" t="n">
        <v>66.25</v>
      </c>
      <c r="W18" s="32" t="n">
        <v>16.72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Between 1.5 to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IF(B19=0,"",RANK(B19,$B$2:$B$250,0))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BAFNAPH</t>
        </is>
      </c>
      <c r="D19" s="31" t="inlineStr">
        <is>
          <t>Bafna Pharmaceuticals Ltd</t>
        </is>
      </c>
      <c r="E19" s="31" t="inlineStr">
        <is>
          <t>healthcare</t>
        </is>
      </c>
      <c r="F19" s="31" t="inlineStr">
        <is>
          <t>pharmaceuticals - indian - formulations</t>
        </is>
      </c>
      <c r="G19" s="31" t="inlineStr">
        <is>
          <t>smallcap</t>
        </is>
      </c>
      <c r="H19" s="32" t="n">
        <v>597.8200000000001</v>
      </c>
      <c r="I19" s="32" t="n">
        <v>257.76</v>
      </c>
      <c r="J19" s="32" t="n">
        <v>2</v>
      </c>
      <c r="K19" s="32" t="n">
        <v>268</v>
      </c>
      <c r="L19" s="31" t="n">
        <v>98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75.59999999999999</v>
      </c>
      <c r="P19" s="32" t="n">
        <v>45.02</v>
      </c>
      <c r="Q19" s="32" t="n">
        <v>193.49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19.69</v>
      </c>
      <c r="U19" s="32" t="n">
        <v>201.02</v>
      </c>
      <c r="V19" s="32" t="n">
        <v>151.49</v>
      </c>
      <c r="W19" s="32" t="n">
        <v>49.69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IF(B20=0,"",RANK(B20,$B$2:$B$250,0))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THYROCARE</t>
        </is>
      </c>
      <c r="D20" s="31" t="inlineStr">
        <is>
          <t>Thyrocare Technologies Limited</t>
        </is>
      </c>
      <c r="E20" s="31" t="inlineStr">
        <is>
          <t>healthcare</t>
        </is>
      </c>
      <c r="F20" s="31" t="inlineStr">
        <is>
          <t>healthcare</t>
        </is>
      </c>
      <c r="G20" s="31" t="inlineStr">
        <is>
          <t>midcap</t>
        </is>
      </c>
      <c r="H20" s="32" t="n">
        <v>9231.59</v>
      </c>
      <c r="I20" s="32" t="n">
        <v>591.45</v>
      </c>
      <c r="J20" s="32" t="n">
        <v>1.97</v>
      </c>
      <c r="K20" s="32" t="n">
        <v>640060</v>
      </c>
      <c r="L20" s="31" t="n">
        <v>73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70.16</v>
      </c>
      <c r="P20" s="32" t="n">
        <v>52.18</v>
      </c>
      <c r="Q20" s="32" t="n">
        <v>449.02</v>
      </c>
      <c r="R20" s="31" t="inlineStr">
        <is>
          <t>Volume Spike &amp; Near 52W High Breakout</t>
        </is>
      </c>
      <c r="S20" s="31" t="inlineStr">
        <is>
          <t>Nifty Pharma</t>
        </is>
      </c>
      <c r="T20" s="32" t="n">
        <v>19.69</v>
      </c>
      <c r="U20" s="32" t="n">
        <v>36.85</v>
      </c>
      <c r="V20" s="32" t="n">
        <v>14.34</v>
      </c>
      <c r="W20" s="32" t="n">
        <v>18.34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IF(B21=0,"",RANK(B21,$B$2:$B$250,0))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NESTLEIND</t>
        </is>
      </c>
      <c r="D21" s="31" t="inlineStr">
        <is>
          <t>Nestle India Limited</t>
        </is>
      </c>
      <c r="E21" s="31" t="inlineStr">
        <is>
          <t>fmcg</t>
        </is>
      </c>
      <c r="F21" s="31" t="inlineStr">
        <is>
          <t>food - processing - mnc</t>
        </is>
      </c>
      <c r="G21" s="31" t="inlineStr">
        <is>
          <t>largecap</t>
        </is>
      </c>
      <c r="H21" s="32" t="n">
        <v>289883.49</v>
      </c>
      <c r="I21" s="32" t="n">
        <v>1520.7</v>
      </c>
      <c r="J21" s="32" t="n">
        <v>1.16</v>
      </c>
      <c r="K21" s="32" t="n">
        <v>3698063</v>
      </c>
      <c r="L21" s="31" t="n">
        <v>36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69.45</v>
      </c>
      <c r="P21" s="32" t="n">
        <v>35.45</v>
      </c>
      <c r="Q21" s="32" t="n">
        <v>1331.23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-9.050000000000001</v>
      </c>
      <c r="U21" s="32" t="n">
        <v>35.08</v>
      </c>
      <c r="V21" s="32" t="n">
        <v>48.52</v>
      </c>
      <c r="W21" s="32" t="n">
        <v>7.82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IF(B22=0,"",RANK(B22,$B$2:$B$250,0))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ASTERDM</t>
        </is>
      </c>
      <c r="D22" s="31" t="inlineStr">
        <is>
          <t>Aster DM Healthcare Ltd</t>
        </is>
      </c>
      <c r="E22" s="31" t="inlineStr">
        <is>
          <t>healthcare</t>
        </is>
      </c>
      <c r="F22" s="31" t="inlineStr">
        <is>
          <t>healthcare</t>
        </is>
      </c>
      <c r="G22" s="31" t="inlineStr">
        <is>
          <t>largecap</t>
        </is>
      </c>
      <c r="H22" s="32" t="n">
        <v>71333.31</v>
      </c>
      <c r="I22" s="32" t="n">
        <v>814</v>
      </c>
      <c r="J22" s="32" t="n">
        <v>-0.53</v>
      </c>
      <c r="K22" s="32" t="n">
        <v>676830</v>
      </c>
      <c r="L22" s="31" t="n">
        <v>48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63.88</v>
      </c>
      <c r="P22" s="32" t="n">
        <v>48.32</v>
      </c>
      <c r="Q22" s="32" t="n">
        <v>667.67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19.69</v>
      </c>
      <c r="U22" s="32" t="n">
        <v>37.54</v>
      </c>
      <c r="V22" s="32" t="n">
        <v>14.91</v>
      </c>
      <c r="W22" s="32" t="n">
        <v>10.77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IF(B23=0,"",RANK(B23,$B$2:$B$250,0))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GLAND</t>
        </is>
      </c>
      <c r="D23" s="31" t="inlineStr">
        <is>
          <t>Gland Pharma Ltd</t>
        </is>
      </c>
      <c r="E23" s="31" t="inlineStr">
        <is>
          <t>healthcare</t>
        </is>
      </c>
      <c r="F23" s="31" t="inlineStr">
        <is>
          <t>pharmaceuticals - indian - formulations</t>
        </is>
      </c>
      <c r="G23" s="31" t="inlineStr">
        <is>
          <t>largecap</t>
        </is>
      </c>
      <c r="H23" s="32" t="n">
        <v>41960.79</v>
      </c>
      <c r="I23" s="32" t="n">
        <v>2517</v>
      </c>
      <c r="J23" s="32" t="n">
        <v>-1.05</v>
      </c>
      <c r="K23" s="32" t="n">
        <v>745911</v>
      </c>
      <c r="L23" s="31" t="n">
        <v>62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69.95</v>
      </c>
      <c r="P23" s="32" t="n">
        <v>53.65</v>
      </c>
      <c r="Q23" s="32" t="n">
        <v>2031.84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19.69</v>
      </c>
      <c r="U23" s="32" t="n">
        <v>28.4</v>
      </c>
      <c r="V23" s="32" t="n">
        <v>7.28</v>
      </c>
      <c r="W23" s="32" t="n">
        <v>15.29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IF(B24=0,"",RANK(B24,$B$2:$B$250,0))</f>
        <v/>
      </c>
      <c r="B24" s="32">
        <f>SUM(N24,Y24,AA24,AC24,AE24,AG24,AI24,AK24,AM24,AO24,AQ24,AS24,AU24,AW24,AY24,BA24,BC24,BE24,BG24,BI24,BK24,BM24,BO24,BQ24,BS24,BU24,BW24,BY24,CA24,CC24,CE24)</f>
        <v/>
      </c>
      <c r="C24" s="33" t="inlineStr">
        <is>
          <t>METROPOLIS</t>
        </is>
      </c>
      <c r="D24" s="33" t="inlineStr">
        <is>
          <t>Metropolis Healthcare Ltd</t>
        </is>
      </c>
      <c r="E24" s="31" t="inlineStr">
        <is>
          <t>healthcare</t>
        </is>
      </c>
      <c r="F24" s="31" t="inlineStr">
        <is>
          <t>healthcare</t>
        </is>
      </c>
      <c r="G24" s="31" t="inlineStr">
        <is>
          <t>midcap</t>
        </is>
      </c>
      <c r="H24" s="32" t="n">
        <v>12265.76</v>
      </c>
      <c r="I24" s="32" t="n">
        <v>585.2</v>
      </c>
      <c r="J24" s="32" t="n">
        <v>-1.08</v>
      </c>
      <c r="K24" s="32" t="n">
        <v>460563</v>
      </c>
      <c r="L24" s="31" t="n">
        <v>37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64.59</v>
      </c>
      <c r="P24" s="32" t="n">
        <v>42.11</v>
      </c>
      <c r="Q24" s="32" t="n">
        <v>466.55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19.69</v>
      </c>
      <c r="U24" s="32" t="n">
        <v>15.34</v>
      </c>
      <c r="V24" s="32" t="n">
        <v>-3.64</v>
      </c>
      <c r="W24" s="32" t="n">
        <v>7.95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IF(B25=0,"",RANK(B25,$B$2:$B$250,0))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MPSLTD</t>
        </is>
      </c>
      <c r="D25" s="31" t="inlineStr">
        <is>
          <t>Mps Limited</t>
        </is>
      </c>
      <c r="E25" s="31" t="inlineStr">
        <is>
          <t>i.t</t>
        </is>
      </c>
      <c r="F25" s="31" t="inlineStr">
        <is>
          <t>computers - software - medium / small</t>
        </is>
      </c>
      <c r="G25" s="31" t="inlineStr">
        <is>
          <t>smallcap</t>
        </is>
      </c>
      <c r="H25" s="32" t="n">
        <v>4590.17</v>
      </c>
      <c r="I25" s="32" t="n">
        <v>2650.2</v>
      </c>
      <c r="J25" s="32" t="n">
        <v>-1.24</v>
      </c>
      <c r="K25" s="32" t="n">
        <v>24778</v>
      </c>
      <c r="L25" s="31" t="n">
        <v>72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72.90000000000001</v>
      </c>
      <c r="P25" s="32" t="n">
        <v>26.49</v>
      </c>
      <c r="Q25" s="32" t="n">
        <v>2168.67</v>
      </c>
      <c r="R25" s="31" t="inlineStr">
        <is>
          <t>Near 52W High Breakout</t>
        </is>
      </c>
      <c r="S25" s="31" t="inlineStr">
        <is>
          <t>Nifty IT</t>
        </is>
      </c>
      <c r="T25" s="32" t="n">
        <v>-9.970000000000001</v>
      </c>
      <c r="U25" s="32" t="n">
        <v>17.57</v>
      </c>
      <c r="V25" s="32" t="n">
        <v>30.59</v>
      </c>
      <c r="W25" s="32" t="n">
        <v>18.17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IF(B26=0,"",RANK(B26,$B$2:$B$250,0))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CUPID</t>
        </is>
      </c>
      <c r="D26" s="31" t="inlineStr">
        <is>
          <t>Cupid Limited</t>
        </is>
      </c>
      <c r="E26" s="31" t="inlineStr">
        <is>
          <t>fmcg</t>
        </is>
      </c>
      <c r="F26" s="31" t="inlineStr">
        <is>
          <t>personal care - indian</t>
        </is>
      </c>
      <c r="G26" s="31" t="inlineStr">
        <is>
          <t>largecap</t>
        </is>
      </c>
      <c r="H26" s="32" t="n">
        <v>31434.13</v>
      </c>
      <c r="I26" s="32" t="n">
        <v>228.94</v>
      </c>
      <c r="J26" s="32" t="n">
        <v>-2.07</v>
      </c>
      <c r="K26" s="32" t="n">
        <v>20377656</v>
      </c>
      <c r="L26" s="31" t="n">
        <v>99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89.41</v>
      </c>
      <c r="P26" s="32" t="n">
        <v>67.45999999999999</v>
      </c>
      <c r="Q26" s="32" t="n">
        <v>180.54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-9.050000000000001</v>
      </c>
      <c r="U26" s="32" t="n">
        <v>673.92</v>
      </c>
      <c r="V26" s="32" t="n">
        <v>750.9</v>
      </c>
      <c r="W26" s="32" t="n">
        <v>75.03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IF(B27=0,"",RANK(B27,$B$2:$B$250,0))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SCPL</t>
        </is>
      </c>
      <c r="D27" s="31" t="inlineStr">
        <is>
          <t>Sheetal Cool Products Ltd</t>
        </is>
      </c>
      <c r="E27" s="31" t="inlineStr">
        <is>
          <t>fmcg</t>
        </is>
      </c>
      <c r="F27" s="31" t="inlineStr">
        <is>
          <t>food - processing - indian</t>
        </is>
      </c>
      <c r="G27" s="31" t="inlineStr">
        <is>
          <t>smallcap</t>
        </is>
      </c>
      <c r="H27" s="32" t="n">
        <v>603.75</v>
      </c>
      <c r="I27" s="32" t="n">
        <v>551.15</v>
      </c>
      <c r="J27" s="32" t="n">
        <v>-4.15</v>
      </c>
      <c r="K27" s="32" t="n">
        <v>16926</v>
      </c>
      <c r="L27" s="31" t="n">
        <v>90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67.14</v>
      </c>
      <c r="P27" s="32" t="n">
        <v>55.7</v>
      </c>
      <c r="Q27" s="32" t="n">
        <v>391.22</v>
      </c>
      <c r="R27" s="31" t="inlineStr">
        <is>
          <t>Near 52W High Breakout</t>
        </is>
      </c>
      <c r="S27" s="31" t="inlineStr">
        <is>
          <t>Nifty FMCG</t>
        </is>
      </c>
      <c r="T27" s="32" t="n">
        <v>-9.050000000000001</v>
      </c>
      <c r="U27" s="32" t="n">
        <v>86.61</v>
      </c>
      <c r="V27" s="32" t="n">
        <v>105.17</v>
      </c>
      <c r="W27" s="32" t="n">
        <v>31.1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IF(B28=0,"",RANK(B28,$B$2:$B$250,0))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ADOR</t>
        </is>
      </c>
      <c r="D28" s="31" t="inlineStr">
        <is>
          <t>Ador Welding Ltd</t>
        </is>
      </c>
      <c r="E28" s="31" t="inlineStr">
        <is>
          <t>industrials</t>
        </is>
      </c>
      <c r="F28" s="31" t="inlineStr">
        <is>
          <t>electrodes - welding equipment</t>
        </is>
      </c>
      <c r="G28" s="31" t="inlineStr">
        <is>
          <t>smallcap</t>
        </is>
      </c>
      <c r="H28" s="32" t="n">
        <v>2477.12</v>
      </c>
      <c r="I28" s="32" t="n">
        <v>1480.2</v>
      </c>
      <c r="J28" s="32" t="n">
        <v>3.99</v>
      </c>
      <c r="K28" s="32" t="n">
        <v>64061</v>
      </c>
      <c r="L28" s="31" t="n">
        <v>71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79.8</v>
      </c>
      <c r="P28" s="32" t="n">
        <v>43.29</v>
      </c>
      <c r="Q28" s="32" t="n">
        <v>1196.72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-1.01</v>
      </c>
      <c r="U28" s="32" t="n">
        <v>53.97</v>
      </c>
      <c r="V28" s="32" t="n">
        <v>55.54</v>
      </c>
      <c r="W28" s="32" t="n">
        <v>17.88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IF(B29=0,"",RANK(B29,$B$2:$B$250,0))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CARYSIL</t>
        </is>
      </c>
      <c r="D29" s="31" t="inlineStr">
        <is>
          <t>Carysil Ltd</t>
        </is>
      </c>
      <c r="E29" s="31" t="inlineStr">
        <is>
          <t>consumer discretionary</t>
        </is>
      </c>
      <c r="F29" s="31" t="inlineStr">
        <is>
          <t>domestic appliances</t>
        </is>
      </c>
      <c r="G29" s="31" t="inlineStr">
        <is>
          <t>smallcap</t>
        </is>
      </c>
      <c r="H29" s="32" t="n">
        <v>3351.68</v>
      </c>
      <c r="I29" s="32" t="n">
        <v>1189</v>
      </c>
      <c r="J29" s="32" t="n">
        <v>0.9</v>
      </c>
      <c r="K29" s="32" t="n">
        <v>57602</v>
      </c>
      <c r="L29" s="31" t="n">
        <v>60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66.34</v>
      </c>
      <c r="P29" s="32" t="n">
        <v>32.31</v>
      </c>
      <c r="Q29" s="32" t="n">
        <v>902.6799999999999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-1.01</v>
      </c>
      <c r="U29" s="32" t="n">
        <v>42.36</v>
      </c>
      <c r="V29" s="32" t="n">
        <v>43.81</v>
      </c>
      <c r="W29" s="32" t="n">
        <v>14.78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IF(B30=0,"",RANK(B30,$B$2:$B$250,0))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BAJAJ-AUTO</t>
        </is>
      </c>
      <c r="D30" s="31" t="inlineStr">
        <is>
          <t>Bajaj Auto Limited</t>
        </is>
      </c>
      <c r="E30" s="31" t="inlineStr">
        <is>
          <t>auto</t>
        </is>
      </c>
      <c r="F30" s="31" t="inlineStr">
        <is>
          <t>automobiles - scooters and 3 - wheelers</t>
        </is>
      </c>
      <c r="G30" s="31" t="inlineStr">
        <is>
          <t>largecap</t>
        </is>
      </c>
      <c r="H30" s="32" t="n">
        <v>316894.65</v>
      </c>
      <c r="I30" s="32" t="n">
        <v>11432</v>
      </c>
      <c r="J30" s="32" t="n">
        <v>0.83</v>
      </c>
      <c r="K30" s="32" t="n">
        <v>295600</v>
      </c>
      <c r="L30" s="31" t="n">
        <v>53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71.18000000000001</v>
      </c>
      <c r="P30" s="32" t="n">
        <v>20.62</v>
      </c>
      <c r="Q30" s="32" t="n">
        <v>9866.860000000001</v>
      </c>
      <c r="R30" s="31" t="inlineStr">
        <is>
          <t>Near 52W High Breakout</t>
        </is>
      </c>
      <c r="S30" s="31" t="inlineStr">
        <is>
          <t>Nifty Auto</t>
        </is>
      </c>
      <c r="T30" s="32" t="n">
        <v>18.91</v>
      </c>
      <c r="U30" s="32" t="n">
        <v>43.56</v>
      </c>
      <c r="V30" s="32" t="n">
        <v>20.72</v>
      </c>
      <c r="W30" s="32" t="n">
        <v>11.99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IF(B31=0,"",RANK(B31,$B$2:$B$250,0))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QUESS</t>
        </is>
      </c>
      <c r="D31" s="31" t="inlineStr">
        <is>
          <t>Quess Corp Limited</t>
        </is>
      </c>
      <c r="E31" s="31" t="inlineStr">
        <is>
          <t>miscellaneous</t>
        </is>
      </c>
      <c r="F31" s="31" t="inlineStr">
        <is>
          <t>diversified - large</t>
        </is>
      </c>
      <c r="G31" s="31" t="inlineStr">
        <is>
          <t>smallcap</t>
        </is>
      </c>
      <c r="H31" s="32" t="n">
        <v>4591.32</v>
      </c>
      <c r="I31" s="32" t="n">
        <v>309.7</v>
      </c>
      <c r="J31" s="32" t="n">
        <v>0.75</v>
      </c>
      <c r="K31" s="32" t="n">
        <v>2273940</v>
      </c>
      <c r="L31" s="31" t="n">
        <v>69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76.03</v>
      </c>
      <c r="P31" s="32" t="n">
        <v>41.53</v>
      </c>
      <c r="Q31" s="32" t="n">
        <v>247.37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-1.01</v>
      </c>
      <c r="U31" s="32" t="n">
        <v>12.97</v>
      </c>
      <c r="V31" s="32" t="n">
        <v>14.13</v>
      </c>
      <c r="W31" s="32" t="n">
        <v>17.16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IF(B32=0,"",RANK(B32,$B$2:$B$250,0))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HITECHCORP</t>
        </is>
      </c>
      <c r="D32" s="31" t="inlineStr">
        <is>
          <t>Hitech Corporation</t>
        </is>
      </c>
      <c r="E32" s="31" t="inlineStr">
        <is>
          <t>industrials</t>
        </is>
      </c>
      <c r="F32" s="31" t="inlineStr">
        <is>
          <t>packaging</t>
        </is>
      </c>
      <c r="G32" s="31" t="inlineStr">
        <is>
          <t>smallcap</t>
        </is>
      </c>
      <c r="H32" s="32" t="n">
        <v>549.62</v>
      </c>
      <c r="I32" s="32" t="n">
        <v>322</v>
      </c>
      <c r="J32" s="32" t="n">
        <v>0.63</v>
      </c>
      <c r="K32" s="32" t="n">
        <v>5949</v>
      </c>
      <c r="L32" s="31" t="n">
        <v>98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80.26000000000001</v>
      </c>
      <c r="P32" s="32" t="n">
        <v>51.79</v>
      </c>
      <c r="Q32" s="32" t="n">
        <v>256.35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-1.01</v>
      </c>
      <c r="U32" s="32" t="n">
        <v>72.94</v>
      </c>
      <c r="V32" s="32" t="n">
        <v>74.70999999999999</v>
      </c>
      <c r="W32" s="32" t="n">
        <v>46.93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IF(B33=0,"",RANK(B33,$B$2:$B$250,0))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HUHTAMAKI</t>
        </is>
      </c>
      <c r="D33" s="31" t="inlineStr">
        <is>
          <t>Huhtamaki India Ltd</t>
        </is>
      </c>
      <c r="E33" s="31" t="inlineStr">
        <is>
          <t>industrials</t>
        </is>
      </c>
      <c r="F33" s="31" t="inlineStr">
        <is>
          <t>packaging</t>
        </is>
      </c>
      <c r="G33" s="31" t="inlineStr">
        <is>
          <t>smallcap</t>
        </is>
      </c>
      <c r="H33" s="32" t="n">
        <v>2242.17</v>
      </c>
      <c r="I33" s="32" t="n">
        <v>298.58</v>
      </c>
      <c r="J33" s="32" t="n">
        <v>0.57</v>
      </c>
      <c r="K33" s="32" t="n">
        <v>470725</v>
      </c>
      <c r="L33" s="31" t="n">
        <v>80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73.70999999999999</v>
      </c>
      <c r="P33" s="32" t="n">
        <v>24.12</v>
      </c>
      <c r="Q33" s="32" t="n">
        <v>242.45</v>
      </c>
      <c r="R33" s="31" t="inlineStr">
        <is>
          <t>Volume Spike / Accumulation</t>
        </is>
      </c>
      <c r="S33" s="31" t="inlineStr">
        <is>
          <t>Nifty 50</t>
        </is>
      </c>
      <c r="T33" s="32" t="n">
        <v>-1.01</v>
      </c>
      <c r="U33" s="32" t="n">
        <v>37.93</v>
      </c>
      <c r="V33" s="32" t="n">
        <v>39.34</v>
      </c>
      <c r="W33" s="32" t="n">
        <v>23.72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IF(B34=0,"",RANK(B34,$B$2:$B$250,0))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MOTHERSON</t>
        </is>
      </c>
      <c r="D34" s="31" t="inlineStr">
        <is>
          <t>Samvardhana Motherson International Ltd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largecap</t>
        </is>
      </c>
      <c r="H34" s="32" t="n">
        <v>154094.86</v>
      </c>
      <c r="I34" s="32" t="n">
        <v>146.72</v>
      </c>
      <c r="J34" s="32" t="n">
        <v>0.49</v>
      </c>
      <c r="K34" s="32" t="n">
        <v>9499863</v>
      </c>
      <c r="L34" s="31" t="n">
        <v>51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63.65</v>
      </c>
      <c r="P34" s="32" t="n">
        <v>32.27</v>
      </c>
      <c r="Q34" s="32" t="n">
        <v>124.18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18.91</v>
      </c>
      <c r="U34" s="32" t="n">
        <v>46.93</v>
      </c>
      <c r="V34" s="32" t="n">
        <v>23.56</v>
      </c>
      <c r="W34" s="32" t="n">
        <v>11.62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IF(B35=0,"",RANK(B35,$B$2:$B$250,0))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PREMIERPOL</t>
        </is>
      </c>
      <c r="D35" s="31" t="inlineStr">
        <is>
          <t>Premier Polyfilm Limited</t>
        </is>
      </c>
      <c r="E35" s="31" t="inlineStr">
        <is>
          <t>plastic products</t>
        </is>
      </c>
      <c r="F35" s="31" t="inlineStr">
        <is>
          <t>plastics products</t>
        </is>
      </c>
      <c r="G35" s="31" t="inlineStr">
        <is>
          <t>smallcap</t>
        </is>
      </c>
      <c r="H35" s="32" t="n">
        <v>770.9</v>
      </c>
      <c r="I35" s="32" t="n">
        <v>73.53</v>
      </c>
      <c r="J35" s="32" t="n">
        <v>-0.1</v>
      </c>
      <c r="K35" s="32" t="n">
        <v>136623</v>
      </c>
      <c r="L35" s="31" t="n">
        <v>66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63.39</v>
      </c>
      <c r="P35" s="32" t="n">
        <v>48.57</v>
      </c>
      <c r="Q35" s="32" t="n">
        <v>54.01</v>
      </c>
      <c r="R35" s="31" t="inlineStr">
        <is>
          <t>Earnings / Momentum Support</t>
        </is>
      </c>
      <c r="S35" s="31" t="inlineStr">
        <is>
          <t>Nifty 50</t>
        </is>
      </c>
      <c r="T35" s="32" t="n">
        <v>-1.01</v>
      </c>
      <c r="U35" s="32" t="n">
        <v>46.91</v>
      </c>
      <c r="V35" s="32" t="n">
        <v>48.41</v>
      </c>
      <c r="W35" s="32" t="n">
        <v>16.43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IF(B36=0,"",RANK(B36,$B$2:$B$250,0))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SPECTRUM</t>
        </is>
      </c>
      <c r="D36" s="31" t="inlineStr">
        <is>
          <t>Spectrum Electrical Industries Ltd</t>
        </is>
      </c>
      <c r="E36" s="31" t="inlineStr">
        <is>
          <t>industrials</t>
        </is>
      </c>
      <c r="F36" s="31" t="inlineStr">
        <is>
          <t>electric equipment</t>
        </is>
      </c>
      <c r="G36" s="31" t="inlineStr">
        <is>
          <t>smallcap</t>
        </is>
      </c>
      <c r="H36" s="32" t="n">
        <v>3841.72</v>
      </c>
      <c r="I36" s="32" t="n">
        <v>2440</v>
      </c>
      <c r="J36" s="32" t="n">
        <v>-0.2</v>
      </c>
      <c r="K36" s="32" t="n">
        <v>21906</v>
      </c>
      <c r="L36" s="31" t="n">
        <v>95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77.34</v>
      </c>
      <c r="P36" s="32" t="n">
        <v>47.82</v>
      </c>
      <c r="Q36" s="32" t="n">
        <v>1743.88</v>
      </c>
      <c r="R36" s="31" t="inlineStr">
        <is>
          <t>Near 52W High Breakout</t>
        </is>
      </c>
      <c r="S36" s="31" t="inlineStr">
        <is>
          <t>Nifty Infra</t>
        </is>
      </c>
      <c r="T36" s="32" t="n">
        <v>3.07</v>
      </c>
      <c r="U36" s="32" t="n">
        <v>55.89</v>
      </c>
      <c r="V36" s="32" t="n">
        <v>51.24</v>
      </c>
      <c r="W36" s="32" t="n">
        <v>40.04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IF(B37=0,"",RANK(B37,$B$2:$B$250,0))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CENTENKA</t>
        </is>
      </c>
      <c r="D37" s="31" t="inlineStr">
        <is>
          <t>Century Enka Limited</t>
        </is>
      </c>
      <c r="E37" s="31" t="inlineStr">
        <is>
          <t>textiles</t>
        </is>
      </c>
      <c r="F37" s="31" t="inlineStr">
        <is>
          <t>textiles - manmade</t>
        </is>
      </c>
      <c r="G37" s="31" t="inlineStr">
        <is>
          <t>smallcap</t>
        </is>
      </c>
      <c r="H37" s="32" t="n">
        <v>1335.62</v>
      </c>
      <c r="I37" s="32" t="n">
        <v>606</v>
      </c>
      <c r="J37" s="32" t="n">
        <v>-0.86</v>
      </c>
      <c r="K37" s="32" t="n">
        <v>279362</v>
      </c>
      <c r="L37" s="31" t="n">
        <v>61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70.70999999999999</v>
      </c>
      <c r="P37" s="32" t="n">
        <v>56.6</v>
      </c>
      <c r="Q37" s="32" t="n">
        <v>459.26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-1.01</v>
      </c>
      <c r="U37" s="32" t="n">
        <v>25.97</v>
      </c>
      <c r="V37" s="32" t="n">
        <v>27.26</v>
      </c>
      <c r="W37" s="32" t="n">
        <v>14.97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IF(B38=0,"",RANK(B38,$B$2:$B$250,0))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SIGMAADV</t>
        </is>
      </c>
      <c r="D38" s="31" t="inlineStr">
        <is>
          <t>Sigma Advanced System Ltd</t>
        </is>
      </c>
      <c r="E38" s="31" t="inlineStr">
        <is>
          <t>aerospace &amp; defence</t>
        </is>
      </c>
      <c r="F38" s="31" t="inlineStr">
        <is>
          <t>electronics - components</t>
        </is>
      </c>
      <c r="G38" s="31" t="inlineStr">
        <is>
          <t>midcap</t>
        </is>
      </c>
      <c r="H38" s="32" t="n">
        <v>10669.55</v>
      </c>
      <c r="I38" s="32" t="n">
        <v>599.4</v>
      </c>
      <c r="J38" s="32" t="n">
        <v>-0.99</v>
      </c>
      <c r="K38" s="32" t="n">
        <v>854299</v>
      </c>
      <c r="L38" s="31" t="n">
        <v>99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73.59999999999999</v>
      </c>
      <c r="P38" s="32" t="n">
        <v>66.70999999999999</v>
      </c>
      <c r="Q38" s="32" t="n">
        <v>441.03</v>
      </c>
      <c r="R38" s="31" t="inlineStr">
        <is>
          <t>Near 52W High Breakout</t>
        </is>
      </c>
      <c r="S38" s="31" t="inlineStr">
        <is>
          <t>Nifty 50</t>
        </is>
      </c>
      <c r="T38" s="32" t="n">
        <v>-1.01</v>
      </c>
      <c r="U38" s="32" t="n">
        <v>417.13</v>
      </c>
      <c r="V38" s="32" t="n">
        <v>422.4</v>
      </c>
      <c r="W38" s="32" t="n">
        <v>69.87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Negative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IF(B39=0,"",RANK(B39,$B$2:$B$250,0))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RAIN</t>
        </is>
      </c>
      <c r="D39" s="31" t="inlineStr">
        <is>
          <t>Rain Industries Limited</t>
        </is>
      </c>
      <c r="E39" s="31" t="inlineStr">
        <is>
          <t>miscellaneous</t>
        </is>
      </c>
      <c r="F39" s="31" t="inlineStr">
        <is>
          <t>miscellaneous</t>
        </is>
      </c>
      <c r="G39" s="31" t="inlineStr">
        <is>
          <t>midcap</t>
        </is>
      </c>
      <c r="H39" s="32" t="n">
        <v>7553.31</v>
      </c>
      <c r="I39" s="32" t="n">
        <v>221.67</v>
      </c>
      <c r="J39" s="32" t="n">
        <v>-1.29</v>
      </c>
      <c r="K39" s="32" t="n">
        <v>2121179</v>
      </c>
      <c r="L39" s="31" t="n">
        <v>85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73.38</v>
      </c>
      <c r="P39" s="32" t="n">
        <v>43.92</v>
      </c>
      <c r="Q39" s="32" t="n">
        <v>173.6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-1.01</v>
      </c>
      <c r="U39" s="32" t="n">
        <v>46.01</v>
      </c>
      <c r="V39" s="32" t="n">
        <v>47.5</v>
      </c>
      <c r="W39" s="32" t="n">
        <v>27.37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More than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IF(B40=0,"",RANK(B40,$B$2:$B$250,0))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GANESHBE</t>
        </is>
      </c>
      <c r="D40" s="31" t="inlineStr">
        <is>
          <t>Ganesh Benzoplast Ltd</t>
        </is>
      </c>
      <c r="E40" s="31" t="inlineStr">
        <is>
          <t>miscellaneous</t>
        </is>
      </c>
      <c r="F40" s="31" t="inlineStr">
        <is>
          <t>miscellaneous</t>
        </is>
      </c>
      <c r="G40" s="31" t="inlineStr">
        <is>
          <t>smallcap</t>
        </is>
      </c>
      <c r="H40" s="32" t="n">
        <v>879.42</v>
      </c>
      <c r="I40" s="32" t="n">
        <v>116.01</v>
      </c>
      <c r="J40" s="32" t="n">
        <v>-5.03</v>
      </c>
      <c r="K40" s="32" t="n">
        <v>857397</v>
      </c>
      <c r="L40" s="31" t="n">
        <v>40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65.48999999999999</v>
      </c>
      <c r="P40" s="32" t="n">
        <v>28.29</v>
      </c>
      <c r="Q40" s="32" t="n">
        <v>82.73999999999999</v>
      </c>
      <c r="R40" s="31" t="inlineStr">
        <is>
          <t>Volume Spike &amp; Near 52W High Breakout</t>
        </is>
      </c>
      <c r="S40" s="31" t="inlineStr">
        <is>
          <t>Nifty Energy</t>
        </is>
      </c>
      <c r="T40" s="32" t="n">
        <v>8.69</v>
      </c>
      <c r="U40" s="32" t="n">
        <v>20.63</v>
      </c>
      <c r="V40" s="32" t="n">
        <v>10.99</v>
      </c>
      <c r="W40" s="32" t="n">
        <v>8.9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IF(B41=0,"",RANK(B41,$B$2:$B$250,0))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NEULANDLAB</t>
        </is>
      </c>
      <c r="D41" s="31" t="inlineStr">
        <is>
          <t>Neuland Laboratories Limited</t>
        </is>
      </c>
      <c r="E41" s="31" t="inlineStr">
        <is>
          <t>healthcare</t>
        </is>
      </c>
      <c r="F41" s="31" t="inlineStr">
        <is>
          <t>pharmaceuticals - indian - bulk drugs</t>
        </is>
      </c>
      <c r="G41" s="31" t="inlineStr">
        <is>
          <t>largecap</t>
        </is>
      </c>
      <c r="H41" s="32" t="n">
        <v>25271.03</v>
      </c>
      <c r="I41" s="32" t="n">
        <v>19202</v>
      </c>
      <c r="J41" s="32" t="n">
        <v>-2.51</v>
      </c>
      <c r="K41" s="32" t="n">
        <v>55859</v>
      </c>
      <c r="L41" s="31" t="n">
        <v>62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66.29000000000001</v>
      </c>
      <c r="P41" s="32" t="n">
        <v>46.27</v>
      </c>
      <c r="Q41" s="32" t="n">
        <v>15558.62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19.69</v>
      </c>
      <c r="U41" s="32" t="n">
        <v>47.79</v>
      </c>
      <c r="V41" s="32" t="n">
        <v>23.47</v>
      </c>
      <c r="W41" s="32" t="n">
        <v>15.2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IF(B42=0,"",RANK(B42,$B$2:$B$250,0))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SONACOMS</t>
        </is>
      </c>
      <c r="D42" s="31" t="inlineStr">
        <is>
          <t>Sona BLW Precision Forgings Ltd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largecap</t>
        </is>
      </c>
      <c r="H42" s="32" t="n">
        <v>44817.6</v>
      </c>
      <c r="I42" s="32" t="n">
        <v>763.75</v>
      </c>
      <c r="J42" s="32" t="n">
        <v>6</v>
      </c>
      <c r="K42" s="32" t="n">
        <v>7777881</v>
      </c>
      <c r="L42" s="31" t="n">
        <v>74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79.63</v>
      </c>
      <c r="P42" s="32" t="n">
        <v>44.12</v>
      </c>
      <c r="Q42" s="32" t="n">
        <v>646.05</v>
      </c>
      <c r="R42" s="31" t="inlineStr">
        <is>
          <t>Near 52W High Breakout</t>
        </is>
      </c>
      <c r="S42" s="31" t="inlineStr">
        <is>
          <t>Nifty Auto</t>
        </is>
      </c>
      <c r="T42" s="32" t="n">
        <v>18.91</v>
      </c>
      <c r="U42" s="32" t="n">
        <v>63.69</v>
      </c>
      <c r="V42" s="32" t="n">
        <v>37.66</v>
      </c>
      <c r="W42" s="32" t="n">
        <v>18.54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IF(B43=0,"",RANK(B43,$B$2:$B$250,0))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OCCLLTD</t>
        </is>
      </c>
      <c r="D43" s="31" t="inlineStr">
        <is>
          <t>OCCL Ltd</t>
        </is>
      </c>
      <c r="E43" s="31" t="inlineStr">
        <is>
          <t>chemicals</t>
        </is>
      </c>
      <c r="F43" s="31" t="inlineStr">
        <is>
          <t>chemicals</t>
        </is>
      </c>
      <c r="G43" s="31" t="inlineStr">
        <is>
          <t>smallcap</t>
        </is>
      </c>
      <c r="H43" s="32" t="n">
        <v>753.2</v>
      </c>
      <c r="I43" s="32" t="n">
        <v>158.12</v>
      </c>
      <c r="J43" s="32" t="n">
        <v>4.86</v>
      </c>
      <c r="K43" s="32" t="n">
        <v>216494</v>
      </c>
      <c r="L43" s="31" t="n">
        <v>65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78.03</v>
      </c>
      <c r="P43" s="32" t="n">
        <v>31.18</v>
      </c>
      <c r="Q43" s="32" t="n">
        <v>119.04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-1.01</v>
      </c>
      <c r="U43" s="32" t="n">
        <v>4.6</v>
      </c>
      <c r="V43" s="32" t="n">
        <v>5.66</v>
      </c>
      <c r="W43" s="32" t="n">
        <v>16.31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IF(B44=0,"",RANK(B44,$B$2:$B$250,0))</f>
        <v/>
      </c>
      <c r="B44" s="32">
        <f>SUM(N44,Y44,AA44,AC44,AE44,AG44,AI44,AK44,AM44,AO44,AQ44,AS44,AU44,AW44,AY44,BA44,BC44,BE44,BG44,BI44,BK44,BM44,BO44,BQ44,BS44,BU44,BW44,BY44,CA44,CC44,CE44)</f>
        <v/>
      </c>
      <c r="C44" s="33" t="inlineStr">
        <is>
          <t>ATULAUTO</t>
        </is>
      </c>
      <c r="D44" s="33" t="inlineStr">
        <is>
          <t>Atul Auto Limited</t>
        </is>
      </c>
      <c r="E44" s="31" t="inlineStr">
        <is>
          <t>auto</t>
        </is>
      </c>
      <c r="F44" s="31" t="inlineStr">
        <is>
          <t>automobiles - scooters and 3 - wheelers</t>
        </is>
      </c>
      <c r="G44" s="31" t="inlineStr">
        <is>
          <t>smallcap</t>
        </is>
      </c>
      <c r="H44" s="32" t="n">
        <v>1374.24</v>
      </c>
      <c r="I44" s="32" t="n">
        <v>516</v>
      </c>
      <c r="J44" s="32" t="n">
        <v>4.2</v>
      </c>
      <c r="K44" s="32" t="n">
        <v>1166460</v>
      </c>
      <c r="L44" s="31" t="n">
        <v>19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58.77</v>
      </c>
      <c r="P44" s="32" t="n">
        <v>26.29</v>
      </c>
      <c r="Q44" s="32" t="n">
        <v>396.83</v>
      </c>
      <c r="R44" s="31" t="inlineStr">
        <is>
          <t>Volume Spike &amp; Near 52W High Breakout</t>
        </is>
      </c>
      <c r="S44" s="31" t="inlineStr">
        <is>
          <t>Nifty Auto</t>
        </is>
      </c>
      <c r="T44" s="32" t="n">
        <v>18.91</v>
      </c>
      <c r="U44" s="32" t="n">
        <v>12.77</v>
      </c>
      <c r="V44" s="32" t="n">
        <v>-5.16</v>
      </c>
      <c r="W44" s="32" t="n">
        <v>4.32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IF(B45=0,"",RANK(B45,$B$2:$B$250,0))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FIEMIND</t>
        </is>
      </c>
      <c r="D45" s="31" t="inlineStr">
        <is>
          <t>Fiem Industries Limited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midcap</t>
        </is>
      </c>
      <c r="H45" s="32" t="n">
        <v>6135.9</v>
      </c>
      <c r="I45" s="32" t="n">
        <v>2367</v>
      </c>
      <c r="J45" s="32" t="n">
        <v>1.53</v>
      </c>
      <c r="K45" s="32" t="n">
        <v>41563</v>
      </c>
      <c r="L45" s="31" t="n">
        <v>28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63.33</v>
      </c>
      <c r="P45" s="32" t="n">
        <v>23.53</v>
      </c>
      <c r="Q45" s="32" t="n">
        <v>1945.48</v>
      </c>
      <c r="R45" s="31" t="inlineStr">
        <is>
          <t>Near 52W High Breakout</t>
        </is>
      </c>
      <c r="S45" s="31" t="inlineStr">
        <is>
          <t>Nifty Auto</t>
        </is>
      </c>
      <c r="T45" s="32" t="n">
        <v>18.91</v>
      </c>
      <c r="U45" s="32" t="n">
        <v>21.2</v>
      </c>
      <c r="V45" s="32" t="n">
        <v>1.93</v>
      </c>
      <c r="W45" s="32" t="n">
        <v>6.14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IF(B46=0,"",RANK(B46,$B$2:$B$250,0))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NRL</t>
        </is>
      </c>
      <c r="D46" s="31" t="inlineStr">
        <is>
          <t>Nupur Recyclers Ltd</t>
        </is>
      </c>
      <c r="E46" s="31" t="inlineStr">
        <is>
          <t>services</t>
        </is>
      </c>
      <c r="F46" s="31" t="inlineStr">
        <is>
          <t>trading</t>
        </is>
      </c>
      <c r="G46" s="31" t="inlineStr">
        <is>
          <t>smallcap</t>
        </is>
      </c>
      <c r="H46" s="32" t="n">
        <v>713.48</v>
      </c>
      <c r="I46" s="32" t="n">
        <v>104.5</v>
      </c>
      <c r="J46" s="32" t="n">
        <v>1.16</v>
      </c>
      <c r="K46" s="32" t="n">
        <v>52626</v>
      </c>
      <c r="L46" s="31" t="n">
        <v>89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80.39</v>
      </c>
      <c r="P46" s="32" t="n">
        <v>45.01</v>
      </c>
      <c r="Q46" s="32" t="n">
        <v>86.25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-1.01</v>
      </c>
      <c r="U46" s="32" t="n">
        <v>43.45</v>
      </c>
      <c r="V46" s="32" t="n">
        <v>44.91</v>
      </c>
      <c r="W46" s="32" t="n">
        <v>30.74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IF(B47=0,"",RANK(B47,$B$2:$B$250,0))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HAPPYFORGE</t>
        </is>
      </c>
      <c r="D47" s="31" t="inlineStr">
        <is>
          <t>Happy Forgings Ltd</t>
        </is>
      </c>
      <c r="E47" s="31" t="inlineStr">
        <is>
          <t>industrials</t>
        </is>
      </c>
      <c r="F47" s="31" t="inlineStr">
        <is>
          <t>castings &amp; forgings</t>
        </is>
      </c>
      <c r="G47" s="31" t="inlineStr">
        <is>
          <t>midcap</t>
        </is>
      </c>
      <c r="H47" s="32" t="n">
        <v>15658.38</v>
      </c>
      <c r="I47" s="32" t="n">
        <v>1661.6</v>
      </c>
      <c r="J47" s="32" t="n">
        <v>0.15</v>
      </c>
      <c r="K47" s="32" t="n">
        <v>34100</v>
      </c>
      <c r="L47" s="31" t="n">
        <v>70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74.77</v>
      </c>
      <c r="P47" s="32" t="n">
        <v>47.92</v>
      </c>
      <c r="Q47" s="32" t="n">
        <v>1351.37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-1.01</v>
      </c>
      <c r="U47" s="32" t="n">
        <v>77.05</v>
      </c>
      <c r="V47" s="32" t="n">
        <v>78.86</v>
      </c>
      <c r="W47" s="32" t="n">
        <v>17.46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IF(B48=0,"",RANK(B48,$B$2:$B$250,0))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PIDILITIND</t>
        </is>
      </c>
      <c r="D48" s="31" t="inlineStr">
        <is>
          <t>Pidilite Industries Limited</t>
        </is>
      </c>
      <c r="E48" s="31" t="inlineStr">
        <is>
          <t>chemicals</t>
        </is>
      </c>
      <c r="F48" s="31" t="inlineStr">
        <is>
          <t>chemicals</t>
        </is>
      </c>
      <c r="G48" s="31" t="inlineStr">
        <is>
          <t>largecap</t>
        </is>
      </c>
      <c r="H48" s="32" t="n">
        <v>165887.2</v>
      </c>
      <c r="I48" s="32" t="n">
        <v>1629.9</v>
      </c>
      <c r="J48" s="32" t="n">
        <v>0</v>
      </c>
      <c r="K48" s="32" t="n">
        <v>1113810</v>
      </c>
      <c r="L48" s="31" t="n">
        <v>33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68.72</v>
      </c>
      <c r="P48" s="32" t="n">
        <v>23.45</v>
      </c>
      <c r="Q48" s="32" t="n">
        <v>1428.11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-1.01</v>
      </c>
      <c r="U48" s="32" t="n">
        <v>14.84</v>
      </c>
      <c r="V48" s="32" t="n">
        <v>16.02</v>
      </c>
      <c r="W48" s="32" t="n">
        <v>6.98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IF(B49=0,"",RANK(B49,$B$2:$B$250,0))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STOVEKRAFT</t>
        </is>
      </c>
      <c r="D49" s="31" t="inlineStr">
        <is>
          <t>Stove Kraft Ltd</t>
        </is>
      </c>
      <c r="E49" s="31" t="inlineStr">
        <is>
          <t>consumer discretionary</t>
        </is>
      </c>
      <c r="F49" s="31" t="inlineStr">
        <is>
          <t>domestic appliances</t>
        </is>
      </c>
      <c r="G49" s="31" t="inlineStr">
        <is>
          <t>smallcap</t>
        </is>
      </c>
      <c r="H49" s="32" t="n">
        <v>2672.42</v>
      </c>
      <c r="I49" s="32" t="n">
        <v>801.2</v>
      </c>
      <c r="J49" s="32" t="n">
        <v>-0.74</v>
      </c>
      <c r="K49" s="32" t="n">
        <v>96982</v>
      </c>
      <c r="L49" s="31" t="n">
        <v>77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74.15000000000001</v>
      </c>
      <c r="P49" s="32" t="n">
        <v>45.25</v>
      </c>
      <c r="Q49" s="32" t="n">
        <v>632.24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-1.01</v>
      </c>
      <c r="U49" s="32" t="n">
        <v>39.18</v>
      </c>
      <c r="V49" s="32" t="n">
        <v>40.6</v>
      </c>
      <c r="W49" s="32" t="n">
        <v>21.09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IF(B50=0,"",RANK(B50,$B$2:$B$250,0))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INDNIPPON</t>
        </is>
      </c>
      <c r="D50" s="31" t="inlineStr">
        <is>
          <t>India Nippon Electricals Limited</t>
        </is>
      </c>
      <c r="E50" s="31" t="inlineStr">
        <is>
          <t>auto</t>
        </is>
      </c>
      <c r="F50" s="31" t="inlineStr">
        <is>
          <t>auto ancillaries</t>
        </is>
      </c>
      <c r="G50" s="31" t="inlineStr">
        <is>
          <t>smallcap</t>
        </is>
      </c>
      <c r="H50" s="32" t="n">
        <v>2651</v>
      </c>
      <c r="I50" s="32" t="n">
        <v>1160.6</v>
      </c>
      <c r="J50" s="32" t="n">
        <v>-0.96</v>
      </c>
      <c r="K50" s="32" t="n">
        <v>16909</v>
      </c>
      <c r="L50" s="31" t="n">
        <v>78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71.04000000000001</v>
      </c>
      <c r="P50" s="32" t="n">
        <v>35.25</v>
      </c>
      <c r="Q50" s="32" t="n">
        <v>968.4</v>
      </c>
      <c r="R50" s="31" t="inlineStr">
        <is>
          <t>Near 52W High Breakout</t>
        </is>
      </c>
      <c r="S50" s="31" t="inlineStr">
        <is>
          <t>Nifty Auto</t>
        </is>
      </c>
      <c r="T50" s="32" t="n">
        <v>18.91</v>
      </c>
      <c r="U50" s="32" t="n">
        <v>52.72</v>
      </c>
      <c r="V50" s="32" t="n">
        <v>28.43</v>
      </c>
      <c r="W50" s="32" t="n">
        <v>21.97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IF(B51=0,"",RANK(B51,$B$2:$B$250,0))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WSTCSTPAPR</t>
        </is>
      </c>
      <c r="D51" s="31" t="inlineStr">
        <is>
          <t>West Coast Paper Mills Limited</t>
        </is>
      </c>
      <c r="E51" s="31" t="inlineStr">
        <is>
          <t>building materials</t>
        </is>
      </c>
      <c r="F51" s="31" t="inlineStr">
        <is>
          <t>paper</t>
        </is>
      </c>
      <c r="G51" s="31" t="inlineStr">
        <is>
          <t>smallcap</t>
        </is>
      </c>
      <c r="H51" s="32" t="n">
        <v>3766.77</v>
      </c>
      <c r="I51" s="32" t="n">
        <v>562.5</v>
      </c>
      <c r="J51" s="32" t="n">
        <v>-1.37</v>
      </c>
      <c r="K51" s="32" t="n">
        <v>59401</v>
      </c>
      <c r="L51" s="31" t="n">
        <v>24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64.09999999999999</v>
      </c>
      <c r="P51" s="32" t="n">
        <v>39.38</v>
      </c>
      <c r="Q51" s="32" t="n">
        <v>436.06</v>
      </c>
      <c r="R51" s="31" t="inlineStr">
        <is>
          <t>Near 52W High Breakout</t>
        </is>
      </c>
      <c r="S51" s="31" t="inlineStr">
        <is>
          <t>Nifty Infra</t>
        </is>
      </c>
      <c r="T51" s="32" t="n">
        <v>3.07</v>
      </c>
      <c r="U51" s="32" t="n">
        <v>4.74</v>
      </c>
      <c r="V51" s="32" t="n">
        <v>1.62</v>
      </c>
      <c r="W51" s="32" t="n">
        <v>5.43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Between 12 to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IF(B52=0,"",RANK(B52,$B$2:$B$250,0))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GABRIEL</t>
        </is>
      </c>
      <c r="D52" s="31" t="inlineStr">
        <is>
          <t>Gabriel India Limited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largecap</t>
        </is>
      </c>
      <c r="H52" s="32" t="n">
        <v>25074.5</v>
      </c>
      <c r="I52" s="32" t="n">
        <v>1392</v>
      </c>
      <c r="J52" s="32" t="n">
        <v>-1.61</v>
      </c>
      <c r="K52" s="32" t="n">
        <v>309686</v>
      </c>
      <c r="L52" s="31" t="n">
        <v>73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70.86</v>
      </c>
      <c r="P52" s="32" t="n">
        <v>30.82</v>
      </c>
      <c r="Q52" s="32" t="n">
        <v>1083.04</v>
      </c>
      <c r="R52" s="31" t="inlineStr">
        <is>
          <t>Near 52W High Breakout</t>
        </is>
      </c>
      <c r="S52" s="31" t="inlineStr">
        <is>
          <t>Nifty Auto</t>
        </is>
      </c>
      <c r="T52" s="32" t="n">
        <v>18.91</v>
      </c>
      <c r="U52" s="32" t="n">
        <v>40.8</v>
      </c>
      <c r="V52" s="32" t="n">
        <v>18.41</v>
      </c>
      <c r="W52" s="32" t="n">
        <v>18.4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IF(B53=0,"",RANK(B53,$B$2:$B$250,0))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WELCORP</t>
        </is>
      </c>
      <c r="D53" s="31" t="inlineStr">
        <is>
          <t>Welspun Corp Limited</t>
        </is>
      </c>
      <c r="E53" s="31" t="inlineStr">
        <is>
          <t>industrials</t>
        </is>
      </c>
      <c r="F53" s="31" t="inlineStr">
        <is>
          <t>steel - large</t>
        </is>
      </c>
      <c r="G53" s="31" t="inlineStr">
        <is>
          <t>largecap</t>
        </is>
      </c>
      <c r="H53" s="32" t="n">
        <v>44765.27</v>
      </c>
      <c r="I53" s="32" t="n">
        <v>1655</v>
      </c>
      <c r="J53" s="32" t="n">
        <v>-2.48</v>
      </c>
      <c r="K53" s="32" t="n">
        <v>236845</v>
      </c>
      <c r="L53" s="31" t="n">
        <v>82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84.59</v>
      </c>
      <c r="P53" s="32" t="n">
        <v>69.02</v>
      </c>
      <c r="Q53" s="32" t="n">
        <v>1360.5</v>
      </c>
      <c r="R53" s="31" t="inlineStr">
        <is>
          <t>Near 52W High Breakout</t>
        </is>
      </c>
      <c r="S53" s="31" t="inlineStr">
        <is>
          <t>Nifty Metal</t>
        </is>
      </c>
      <c r="T53" s="32" t="n">
        <v>34.77</v>
      </c>
      <c r="U53" s="32" t="n">
        <v>87.22</v>
      </c>
      <c r="V53" s="32" t="n">
        <v>38.93</v>
      </c>
      <c r="W53" s="32" t="n">
        <v>24.39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IF(B54=0,"",RANK(B54,$B$2:$B$250,0))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TTKPRESTIG</t>
        </is>
      </c>
      <c r="D54" s="31" t="inlineStr">
        <is>
          <t>Ttk Prestige Limited</t>
        </is>
      </c>
      <c r="E54" s="31" t="inlineStr">
        <is>
          <t>consumer discretionary</t>
        </is>
      </c>
      <c r="F54" s="31" t="inlineStr">
        <is>
          <t>domestic appliances</t>
        </is>
      </c>
      <c r="G54" s="31" t="inlineStr">
        <is>
          <t>midcap</t>
        </is>
      </c>
      <c r="H54" s="32" t="n">
        <v>9273.639999999999</v>
      </c>
      <c r="I54" s="32" t="n">
        <v>656.6</v>
      </c>
      <c r="J54" s="32" t="n">
        <v>-3.03</v>
      </c>
      <c r="K54" s="32" t="n">
        <v>258216</v>
      </c>
      <c r="L54" s="31" t="n">
        <v>39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66.17</v>
      </c>
      <c r="P54" s="32" t="n">
        <v>41.6</v>
      </c>
      <c r="Q54" s="32" t="n">
        <v>512.7</v>
      </c>
      <c r="R54" s="31" t="inlineStr">
        <is>
          <t>Volume Spike &amp; Near 52W High Breakout</t>
        </is>
      </c>
      <c r="S54" s="31" t="inlineStr">
        <is>
          <t>Nifty 50</t>
        </is>
      </c>
      <c r="T54" s="32" t="n">
        <v>-1.01</v>
      </c>
      <c r="U54" s="32" t="n">
        <v>5.05</v>
      </c>
      <c r="V54" s="32" t="n">
        <v>6.12</v>
      </c>
      <c r="W54" s="32" t="n">
        <v>8.51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IF(B55=0,"",RANK(B55,$B$2:$B$250,0))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GHCLTEXTIL</t>
        </is>
      </c>
      <c r="D55" s="31" t="inlineStr">
        <is>
          <t>GHCL Textiles Ltd</t>
        </is>
      </c>
      <c r="E55" s="31" t="inlineStr">
        <is>
          <t>textiles</t>
        </is>
      </c>
      <c r="F55" s="31" t="inlineStr">
        <is>
          <t>textiles - spinning - synthetic / blended</t>
        </is>
      </c>
      <c r="G55" s="31" t="inlineStr">
        <is>
          <t>smallcap</t>
        </is>
      </c>
      <c r="H55" s="32" t="n">
        <v>1142.54</v>
      </c>
      <c r="I55" s="32" t="n">
        <v>114.12</v>
      </c>
      <c r="J55" s="32" t="n">
        <v>-4.53</v>
      </c>
      <c r="K55" s="32" t="n">
        <v>11875585</v>
      </c>
      <c r="L55" s="31" t="n">
        <v>56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69.76000000000001</v>
      </c>
      <c r="P55" s="32" t="n">
        <v>27.78</v>
      </c>
      <c r="Q55" s="32" t="n">
        <v>88.28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-1.01</v>
      </c>
      <c r="U55" s="32" t="n">
        <v>32.19</v>
      </c>
      <c r="V55" s="32" t="n">
        <v>33.54</v>
      </c>
      <c r="W55" s="32" t="n">
        <v>12.57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IF(B56=0,"",RANK(B56,$B$2:$B$250,0))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KABRAEXTRU</t>
        </is>
      </c>
      <c r="D56" s="31" t="inlineStr">
        <is>
          <t>Kabra Extrusion Technik Limited</t>
        </is>
      </c>
      <c r="E56" s="31" t="inlineStr">
        <is>
          <t>industrials</t>
        </is>
      </c>
      <c r="F56" s="31" t="inlineStr">
        <is>
          <t>engineering</t>
        </is>
      </c>
      <c r="G56" s="31" t="inlineStr">
        <is>
          <t>smallcap</t>
        </is>
      </c>
      <c r="H56" s="32" t="n">
        <v>1364.47</v>
      </c>
      <c r="I56" s="32" t="n">
        <v>365.2</v>
      </c>
      <c r="J56" s="32" t="n">
        <v>-6.4</v>
      </c>
      <c r="K56" s="32" t="n">
        <v>330760</v>
      </c>
      <c r="L56" s="31" t="n">
        <v>71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73.45</v>
      </c>
      <c r="P56" s="32" t="n">
        <v>24.58</v>
      </c>
      <c r="Q56" s="32" t="n">
        <v>279.45</v>
      </c>
      <c r="R56" s="31" t="inlineStr">
        <is>
          <t>Volume Spike &amp; Near 52W High Breakout</t>
        </is>
      </c>
      <c r="S56" s="31" t="inlineStr">
        <is>
          <t>Nifty Infra</t>
        </is>
      </c>
      <c r="T56" s="32" t="n">
        <v>3.07</v>
      </c>
      <c r="U56" s="32" t="n">
        <v>25.58</v>
      </c>
      <c r="V56" s="32" t="n">
        <v>21.84</v>
      </c>
      <c r="W56" s="32" t="n">
        <v>17.6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IF(B57=0,"",RANK(B57,$B$2:$B$250,0))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TECHM</t>
        </is>
      </c>
      <c r="D57" s="31" t="inlineStr">
        <is>
          <t>Tech Mahindra Limited</t>
        </is>
      </c>
      <c r="E57" s="31" t="inlineStr">
        <is>
          <t>i.t</t>
        </is>
      </c>
      <c r="F57" s="31" t="inlineStr">
        <is>
          <t>computers - software - large</t>
        </is>
      </c>
      <c r="G57" s="31" t="inlineStr">
        <is>
          <t>largecap</t>
        </is>
      </c>
      <c r="H57" s="32" t="n">
        <v>161141.13</v>
      </c>
      <c r="I57" s="32" t="n">
        <v>1669</v>
      </c>
      <c r="J57" s="32" t="n">
        <v>1.51</v>
      </c>
      <c r="K57" s="32" t="n">
        <v>4167643</v>
      </c>
      <c r="L57" s="31" t="n">
        <v>36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65.89</v>
      </c>
      <c r="P57" s="32" t="n">
        <v>13.17</v>
      </c>
      <c r="Q57" s="32" t="n">
        <v>1365.31</v>
      </c>
      <c r="R57" s="31" t="inlineStr">
        <is>
          <t>Near 52W High Breakout</t>
        </is>
      </c>
      <c r="S57" s="31" t="inlineStr">
        <is>
          <t>Nifty IT</t>
        </is>
      </c>
      <c r="T57" s="32" t="n">
        <v>-9.970000000000001</v>
      </c>
      <c r="U57" s="32" t="n">
        <v>20.26</v>
      </c>
      <c r="V57" s="32" t="n">
        <v>33.58</v>
      </c>
      <c r="W57" s="32" t="n">
        <v>7.76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IF(B58=0,"",RANK(B58,$B$2:$B$250,0))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NGLFINE</t>
        </is>
      </c>
      <c r="D58" s="31" t="inlineStr">
        <is>
          <t>NGL Fine Chem Ltd</t>
        </is>
      </c>
      <c r="E58" s="31" t="inlineStr">
        <is>
          <t>healthcare</t>
        </is>
      </c>
      <c r="F58" s="31" t="inlineStr">
        <is>
          <t>pharmaceuticals - indian - bulk drugs</t>
        </is>
      </c>
      <c r="G58" s="31" t="inlineStr">
        <is>
          <t>smallcap</t>
        </is>
      </c>
      <c r="H58" s="32" t="n">
        <v>2008.78</v>
      </c>
      <c r="I58" s="32" t="n">
        <v>3280</v>
      </c>
      <c r="J58" s="32" t="n">
        <v>0.88</v>
      </c>
      <c r="K58" s="32" t="n">
        <v>3675</v>
      </c>
      <c r="L58" s="31" t="n">
        <v>90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77.77</v>
      </c>
      <c r="P58" s="32" t="n">
        <v>67.7</v>
      </c>
      <c r="Q58" s="32" t="n">
        <v>2317.7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19.69</v>
      </c>
      <c r="U58" s="32" t="n">
        <v>150.17</v>
      </c>
      <c r="V58" s="32" t="n">
        <v>109.01</v>
      </c>
      <c r="W58" s="32" t="n">
        <v>30.81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IF(B59=0,"",RANK(B59,$B$2:$B$250,0))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MARICO</t>
        </is>
      </c>
      <c r="D59" s="31" t="inlineStr">
        <is>
          <t>Marico Limited</t>
        </is>
      </c>
      <c r="E59" s="31" t="inlineStr">
        <is>
          <t>fmcg</t>
        </is>
      </c>
      <c r="F59" s="31" t="inlineStr">
        <is>
          <t>solvent extraction</t>
        </is>
      </c>
      <c r="G59" s="31" t="inlineStr">
        <is>
          <t>largecap</t>
        </is>
      </c>
      <c r="H59" s="32" t="n">
        <v>114089.21</v>
      </c>
      <c r="I59" s="32" t="n">
        <v>885.35</v>
      </c>
      <c r="J59" s="32" t="n">
        <v>0.76</v>
      </c>
      <c r="K59" s="32" t="n">
        <v>1881026</v>
      </c>
      <c r="L59" s="31" t="n">
        <v>38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72.8</v>
      </c>
      <c r="P59" s="32" t="n">
        <v>30.4</v>
      </c>
      <c r="Q59" s="32" t="n">
        <v>787.75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-9.050000000000001</v>
      </c>
      <c r="U59" s="32" t="n">
        <v>29.44</v>
      </c>
      <c r="V59" s="32" t="n">
        <v>42.32</v>
      </c>
      <c r="W59" s="32" t="n">
        <v>8.1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IF(B60=0,"",RANK(B60,$B$2:$B$250,0))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SUNPHARMA</t>
        </is>
      </c>
      <c r="D60" s="31" t="inlineStr">
        <is>
          <t>Sun Pharmaceuticals Industries Limited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largecap</t>
        </is>
      </c>
      <c r="H60" s="32" t="n">
        <v>477443.67</v>
      </c>
      <c r="I60" s="32" t="n">
        <v>2001.1</v>
      </c>
      <c r="J60" s="32" t="n">
        <v>0.5600000000000001</v>
      </c>
      <c r="K60" s="32" t="n">
        <v>2224264</v>
      </c>
      <c r="L60" s="31" t="n">
        <v>31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69.59999999999999</v>
      </c>
      <c r="P60" s="32" t="n">
        <v>22.58</v>
      </c>
      <c r="Q60" s="32" t="n">
        <v>1778.43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19.69</v>
      </c>
      <c r="U60" s="32" t="n">
        <v>23.91</v>
      </c>
      <c r="V60" s="32" t="n">
        <v>3.53</v>
      </c>
      <c r="W60" s="32" t="n">
        <v>6.78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Between 1.5 to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IF(B61=0,"",RANK(B61,$B$2:$B$250,0))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LAURUSLABS</t>
        </is>
      </c>
      <c r="D61" s="31" t="inlineStr">
        <is>
          <t>Laurus Labs Limited</t>
        </is>
      </c>
      <c r="E61" s="31" t="inlineStr">
        <is>
          <t>healthcare</t>
        </is>
      </c>
      <c r="F61" s="31" t="inlineStr">
        <is>
          <t>pharmaceuticals - indian - bulk drugs &amp; formln</t>
        </is>
      </c>
      <c r="G61" s="31" t="inlineStr">
        <is>
          <t>largecap</t>
        </is>
      </c>
      <c r="H61" s="32" t="n">
        <v>96234.66</v>
      </c>
      <c r="I61" s="32" t="n">
        <v>1781.3</v>
      </c>
      <c r="J61" s="32" t="n">
        <v>0</v>
      </c>
      <c r="K61" s="32" t="n">
        <v>2402202</v>
      </c>
      <c r="L61" s="31" t="n">
        <v>89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85.06999999999999</v>
      </c>
      <c r="P61" s="32" t="n">
        <v>58.24</v>
      </c>
      <c r="Q61" s="32" t="n">
        <v>1520.3</v>
      </c>
      <c r="R61" s="31" t="inlineStr">
        <is>
          <t>Volume Spike &amp; Near 52W High Breakout</t>
        </is>
      </c>
      <c r="S61" s="31" t="inlineStr">
        <is>
          <t>Nifty Pharma</t>
        </is>
      </c>
      <c r="T61" s="32" t="n">
        <v>19.69</v>
      </c>
      <c r="U61" s="32" t="n">
        <v>110.11</v>
      </c>
      <c r="V61" s="32" t="n">
        <v>75.54000000000001</v>
      </c>
      <c r="W61" s="32" t="n">
        <v>30.44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IF(B62=0,"",RANK(B62,$B$2:$B$250,0))</f>
        <v/>
      </c>
      <c r="B62" s="32">
        <f>SUM(N62,Y62,AA62,AC62,AE62,AG62,AI62,AK62,AM62,AO62,AQ62,AS62,AU62,AW62,AY62,BA62,BC62,BE62,BG62,BI62,BK62,BM62,BO62,BQ62,BS62,BU62,BW62,BY62,CA62,CC62,CE62)</f>
        <v/>
      </c>
      <c r="C62" s="33" t="inlineStr">
        <is>
          <t>HESTERBIO</t>
        </is>
      </c>
      <c r="D62" s="33" t="inlineStr">
        <is>
          <t>Hester Biosciences Limited</t>
        </is>
      </c>
      <c r="E62" s="31" t="inlineStr">
        <is>
          <t>healthcare</t>
        </is>
      </c>
      <c r="F62" s="31" t="inlineStr">
        <is>
          <t>pharmaceuticals - indian - formulations</t>
        </is>
      </c>
      <c r="G62" s="31" t="inlineStr">
        <is>
          <t>smallcap</t>
        </is>
      </c>
      <c r="H62" s="32" t="n">
        <v>2124.08</v>
      </c>
      <c r="I62" s="32" t="n">
        <v>2478.2</v>
      </c>
      <c r="J62" s="32" t="n">
        <v>-0.75</v>
      </c>
      <c r="K62" s="32" t="n">
        <v>450573</v>
      </c>
      <c r="L62" s="31" t="n">
        <v>64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73.63</v>
      </c>
      <c r="P62" s="32" t="n">
        <v>52.74</v>
      </c>
      <c r="Q62" s="32" t="n">
        <v>1853.18</v>
      </c>
      <c r="R62" s="31" t="inlineStr">
        <is>
          <t>Volume Spike &amp; Near 52W High Breakout</t>
        </is>
      </c>
      <c r="S62" s="31" t="inlineStr">
        <is>
          <t>Nifty Pharma</t>
        </is>
      </c>
      <c r="T62" s="32" t="n">
        <v>19.69</v>
      </c>
      <c r="U62" s="32" t="n">
        <v>13.85</v>
      </c>
      <c r="V62" s="32" t="n">
        <v>-4.88</v>
      </c>
      <c r="W62" s="32" t="n">
        <v>16.07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IF(B63=0,"",RANK(B63,$B$2:$B$250,0))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PICCADIL</t>
        </is>
      </c>
      <c r="D63" s="31" t="inlineStr">
        <is>
          <t>Piccadily Agro Industries Ltd</t>
        </is>
      </c>
      <c r="E63" s="31" t="inlineStr">
        <is>
          <t>fmcg</t>
        </is>
      </c>
      <c r="F63" s="31" t="inlineStr">
        <is>
          <t>breweries &amp; distilleries</t>
        </is>
      </c>
      <c r="G63" s="31" t="inlineStr">
        <is>
          <t>midcap</t>
        </is>
      </c>
      <c r="H63" s="32" t="n">
        <v>7208.09</v>
      </c>
      <c r="I63" s="32" t="n">
        <v>719.45</v>
      </c>
      <c r="J63" s="32" t="n">
        <v>-1.61</v>
      </c>
      <c r="K63" s="32" t="n">
        <v>89979</v>
      </c>
      <c r="L63" s="31" t="n">
        <v>30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66.51000000000001</v>
      </c>
      <c r="P63" s="32" t="n">
        <v>43.15</v>
      </c>
      <c r="Q63" s="32" t="n">
        <v>576.2</v>
      </c>
      <c r="R63" s="31" t="inlineStr">
        <is>
          <t>Near 52W High Breakout</t>
        </is>
      </c>
      <c r="S63" s="31" t="inlineStr">
        <is>
          <t>Nifty FMCG</t>
        </is>
      </c>
      <c r="T63" s="32" t="n">
        <v>-9.050000000000001</v>
      </c>
      <c r="U63" s="32" t="n">
        <v>18.33</v>
      </c>
      <c r="V63" s="32" t="n">
        <v>30.1</v>
      </c>
      <c r="W63" s="32" t="n">
        <v>6.66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IF(B64=0,"",RANK(B64,$B$2:$B$250,0))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SWANDEF</t>
        </is>
      </c>
      <c r="D64" s="31" t="inlineStr">
        <is>
          <t>Swan Defence and Heavy Industries Ltd</t>
        </is>
      </c>
      <c r="E64" s="31" t="inlineStr">
        <is>
          <t>transportation</t>
        </is>
      </c>
      <c r="F64" s="31" t="inlineStr">
        <is>
          <t>miscellaneous</t>
        </is>
      </c>
      <c r="G64" s="31" t="inlineStr">
        <is>
          <t>midcap</t>
        </is>
      </c>
      <c r="H64" s="32" t="n">
        <v>12296.54</v>
      </c>
      <c r="I64" s="32" t="n">
        <v>2435</v>
      </c>
      <c r="J64" s="32" t="n">
        <v>4.32</v>
      </c>
      <c r="K64" s="32" t="n">
        <v>70824</v>
      </c>
      <c r="L64" s="31" t="n">
        <v>98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69.59999999999999</v>
      </c>
      <c r="P64" s="32" t="n">
        <v>49.72</v>
      </c>
      <c r="Q64" s="32" t="n">
        <v>1869.3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-1.01</v>
      </c>
      <c r="U64" s="32" t="n">
        <v>657.25</v>
      </c>
      <c r="V64" s="32" t="n">
        <v>664.97</v>
      </c>
      <c r="W64" s="32" t="n">
        <v>68.41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More than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IF(B65=0,"",RANK(B65,$B$2:$B$250,0))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MINDACORP</t>
        </is>
      </c>
      <c r="D65" s="31" t="inlineStr">
        <is>
          <t>Minda Corporation Limited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midcap</t>
        </is>
      </c>
      <c r="H65" s="32" t="n">
        <v>16550.27</v>
      </c>
      <c r="I65" s="32" t="n">
        <v>706.9</v>
      </c>
      <c r="J65" s="32" t="n">
        <v>2.12</v>
      </c>
      <c r="K65" s="32" t="n">
        <v>354197</v>
      </c>
      <c r="L65" s="31" t="n">
        <v>60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68.86</v>
      </c>
      <c r="P65" s="32" t="n">
        <v>30.04</v>
      </c>
      <c r="Q65" s="32" t="n">
        <v>581.48</v>
      </c>
      <c r="R65" s="31" t="inlineStr">
        <is>
          <t>Near 52W High Breakout</t>
        </is>
      </c>
      <c r="S65" s="31" t="inlineStr">
        <is>
          <t>Nifty Auto</t>
        </is>
      </c>
      <c r="T65" s="32" t="n">
        <v>18.91</v>
      </c>
      <c r="U65" s="32" t="n">
        <v>38.74</v>
      </c>
      <c r="V65" s="32" t="n">
        <v>16.68</v>
      </c>
      <c r="W65" s="32" t="n">
        <v>14.42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IF(B66=0,"",RANK(B66,$B$2:$B$250,0))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SIGNPOST</t>
        </is>
      </c>
      <c r="D66" s="31" t="inlineStr">
        <is>
          <t>Signpost India Ltd</t>
        </is>
      </c>
      <c r="E66" s="31" t="inlineStr">
        <is>
          <t>miscellaneous</t>
        </is>
      </c>
      <c r="F66" s="31" t="inlineStr">
        <is>
          <t>miscellaneous</t>
        </is>
      </c>
      <c r="G66" s="31" t="inlineStr">
        <is>
          <t>smallcap</t>
        </is>
      </c>
      <c r="H66" s="32" t="n">
        <v>1641.98</v>
      </c>
      <c r="I66" s="32" t="n">
        <v>311.2</v>
      </c>
      <c r="J66" s="32" t="n">
        <v>1.3</v>
      </c>
      <c r="K66" s="32" t="n">
        <v>66751</v>
      </c>
      <c r="L66" s="31" t="n">
        <v>50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61.83</v>
      </c>
      <c r="P66" s="32" t="n">
        <v>30.48</v>
      </c>
      <c r="Q66" s="32" t="n">
        <v>232.17</v>
      </c>
      <c r="R66" s="31" t="inlineStr">
        <is>
          <t>Near 52W High Breakout</t>
        </is>
      </c>
      <c r="S66" s="31" t="inlineStr">
        <is>
          <t>Nifty 50</t>
        </is>
      </c>
      <c r="T66" s="32" t="n">
        <v>-1.01</v>
      </c>
      <c r="U66" s="32" t="n">
        <v>33.3</v>
      </c>
      <c r="V66" s="32" t="n">
        <v>34.66</v>
      </c>
      <c r="W66" s="32" t="n">
        <v>11.15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IF(B67=0,"",RANK(B67,$B$2:$B$250,0))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GNA</t>
        </is>
      </c>
      <c r="D67" s="31" t="inlineStr">
        <is>
          <t>Gna Axles Limited</t>
        </is>
      </c>
      <c r="E67" s="31" t="inlineStr">
        <is>
          <t>auto</t>
        </is>
      </c>
      <c r="F67" s="31" t="inlineStr">
        <is>
          <t>auto ancillaries</t>
        </is>
      </c>
      <c r="G67" s="31" t="inlineStr">
        <is>
          <t>smallcap</t>
        </is>
      </c>
      <c r="H67" s="32" t="n">
        <v>2284.56</v>
      </c>
      <c r="I67" s="32" t="n">
        <v>530.8</v>
      </c>
      <c r="J67" s="32" t="n">
        <v>-0.25</v>
      </c>
      <c r="K67" s="32" t="n">
        <v>341850</v>
      </c>
      <c r="L67" s="31" t="n">
        <v>67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66.37</v>
      </c>
      <c r="P67" s="32" t="n">
        <v>26.19</v>
      </c>
      <c r="Q67" s="32" t="n">
        <v>418.09</v>
      </c>
      <c r="R67" s="31" t="inlineStr">
        <is>
          <t>Earnings / Momentum Support</t>
        </is>
      </c>
      <c r="S67" s="31" t="inlineStr">
        <is>
          <t>Nifty Auto</t>
        </is>
      </c>
      <c r="T67" s="32" t="n">
        <v>18.91</v>
      </c>
      <c r="U67" s="32" t="n">
        <v>70.69</v>
      </c>
      <c r="V67" s="32" t="n">
        <v>43.54</v>
      </c>
      <c r="W67" s="32" t="n">
        <v>16.73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IF(B68=0,"",RANK(B68,$B$2:$B$250,0))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SHAILY</t>
        </is>
      </c>
      <c r="D68" s="31" t="inlineStr">
        <is>
          <t>Shaily Engineering Plastics Ltd</t>
        </is>
      </c>
      <c r="E68" s="31" t="inlineStr">
        <is>
          <t>plastic products</t>
        </is>
      </c>
      <c r="F68" s="31" t="inlineStr">
        <is>
          <t>plastics products</t>
        </is>
      </c>
      <c r="G68" s="31" t="inlineStr">
        <is>
          <t>midcap</t>
        </is>
      </c>
      <c r="H68" s="32" t="n">
        <v>14001.87</v>
      </c>
      <c r="I68" s="32" t="n">
        <v>3029.1</v>
      </c>
      <c r="J68" s="32" t="n">
        <v>-0.5</v>
      </c>
      <c r="K68" s="32" t="n">
        <v>94943</v>
      </c>
      <c r="L68" s="31" t="n">
        <v>75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63.89</v>
      </c>
      <c r="P68" s="32" t="n">
        <v>27.76</v>
      </c>
      <c r="Q68" s="32" t="n">
        <v>2261.66</v>
      </c>
      <c r="R68" s="31" t="inlineStr">
        <is>
          <t>Near 52W High Breakout</t>
        </is>
      </c>
      <c r="S68" s="31" t="inlineStr">
        <is>
          <t>Nifty 50</t>
        </is>
      </c>
      <c r="T68" s="32" t="n">
        <v>-1.01</v>
      </c>
      <c r="U68" s="32" t="n">
        <v>89.3</v>
      </c>
      <c r="V68" s="32" t="n">
        <v>91.23</v>
      </c>
      <c r="W68" s="32" t="n">
        <v>19.44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IF(B69=0,"",RANK(B69,$B$2:$B$250,0))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CYIENTDLM</t>
        </is>
      </c>
      <c r="D69" s="31" t="inlineStr">
        <is>
          <t>Cyient DLM Ltd</t>
        </is>
      </c>
      <c r="E69" s="31" t="inlineStr">
        <is>
          <t>consumer discretionary</t>
        </is>
      </c>
      <c r="F69" s="31" t="inlineStr">
        <is>
          <t>electronics - components</t>
        </is>
      </c>
      <c r="G69" s="31" t="inlineStr">
        <is>
          <t>midcap</t>
        </is>
      </c>
      <c r="H69" s="32" t="n">
        <v>5411.96</v>
      </c>
      <c r="I69" s="32" t="n">
        <v>678.1</v>
      </c>
      <c r="J69" s="32" t="n">
        <v>-0.54</v>
      </c>
      <c r="K69" s="32" t="n">
        <v>385599</v>
      </c>
      <c r="L69" s="31" t="n">
        <v>87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83.34</v>
      </c>
      <c r="P69" s="32" t="n">
        <v>53.06</v>
      </c>
      <c r="Q69" s="32" t="n">
        <v>517.02</v>
      </c>
      <c r="R69" s="31" t="inlineStr">
        <is>
          <t>Near 52W High Breakout</t>
        </is>
      </c>
      <c r="S69" s="31" t="inlineStr">
        <is>
          <t>Nifty Infra</t>
        </is>
      </c>
      <c r="T69" s="32" t="n">
        <v>3.07</v>
      </c>
      <c r="U69" s="32" t="n">
        <v>47.61</v>
      </c>
      <c r="V69" s="32" t="n">
        <v>43.21</v>
      </c>
      <c r="W69" s="32" t="n">
        <v>29.04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IF(B70=0,"",RANK(B70,$B$2:$B$250,0))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VAIBHAVGBL</t>
        </is>
      </c>
      <c r="D70" s="31" t="inlineStr">
        <is>
          <t>Vaibhav Global Limited</t>
        </is>
      </c>
      <c r="E70" s="31" t="inlineStr">
        <is>
          <t>consumer discretionary</t>
        </is>
      </c>
      <c r="F70" s="31" t="inlineStr">
        <is>
          <t>diamond cutting / jewellery</t>
        </is>
      </c>
      <c r="G70" s="31" t="inlineStr">
        <is>
          <t>smallcap</t>
        </is>
      </c>
      <c r="H70" s="32" t="n">
        <v>4461.61</v>
      </c>
      <c r="I70" s="32" t="n">
        <v>263.6</v>
      </c>
      <c r="J70" s="32" t="n">
        <v>-1.13</v>
      </c>
      <c r="K70" s="32" t="n">
        <v>285167</v>
      </c>
      <c r="L70" s="31" t="n">
        <v>42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61.81</v>
      </c>
      <c r="P70" s="32" t="n">
        <v>23.66</v>
      </c>
      <c r="Q70" s="32" t="n">
        <v>195.81</v>
      </c>
      <c r="R70" s="31" t="inlineStr">
        <is>
          <t>Near 52W High Breakout</t>
        </is>
      </c>
      <c r="S70" s="31" t="inlineStr">
        <is>
          <t>Nifty 50</t>
        </is>
      </c>
      <c r="T70" s="32" t="n">
        <v>-1.01</v>
      </c>
      <c r="U70" s="32" t="n">
        <v>20.53</v>
      </c>
      <c r="V70" s="32" t="n">
        <v>21.76</v>
      </c>
      <c r="W70" s="32" t="n">
        <v>9.33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IF(B71=0,"",RANK(B71,$B$2:$B$250,0))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JGCHEM</t>
        </is>
      </c>
      <c r="D71" s="31" t="inlineStr">
        <is>
          <t>J.G.Chemicals Ltd</t>
        </is>
      </c>
      <c r="E71" s="31" t="inlineStr">
        <is>
          <t>chemicals</t>
        </is>
      </c>
      <c r="F71" s="31" t="inlineStr">
        <is>
          <t>chemicals</t>
        </is>
      </c>
      <c r="G71" s="31" t="inlineStr">
        <is>
          <t>smallcap</t>
        </is>
      </c>
      <c r="H71" s="32" t="n">
        <v>1969.49</v>
      </c>
      <c r="I71" s="32" t="n">
        <v>491.65</v>
      </c>
      <c r="J71" s="32" t="n">
        <v>-2.18</v>
      </c>
      <c r="K71" s="32" t="n">
        <v>79578</v>
      </c>
      <c r="L71" s="31" t="n">
        <v>31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64.92</v>
      </c>
      <c r="P71" s="32" t="n">
        <v>25.95</v>
      </c>
      <c r="Q71" s="32" t="n">
        <v>388.48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-1.01</v>
      </c>
      <c r="U71" s="32" t="n">
        <v>2.43</v>
      </c>
      <c r="V71" s="32" t="n">
        <v>3.48</v>
      </c>
      <c r="W71" s="32" t="n">
        <v>6.74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Between 12 to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IF(B72=0,"",RANK(B72,$B$2:$B$250,0))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INDOTECH</t>
        </is>
      </c>
      <c r="D72" s="31" t="inlineStr">
        <is>
          <t>Indo Tech Transformers Limited</t>
        </is>
      </c>
      <c r="E72" s="31" t="inlineStr">
        <is>
          <t>industrials</t>
        </is>
      </c>
      <c r="F72" s="31" t="inlineStr">
        <is>
          <t>electric equipment</t>
        </is>
      </c>
      <c r="G72" s="31" t="inlineStr">
        <is>
          <t>smallcap</t>
        </is>
      </c>
      <c r="H72" s="32" t="n">
        <v>3678.56</v>
      </c>
      <c r="I72" s="32" t="n">
        <v>3387.8</v>
      </c>
      <c r="J72" s="32" t="n">
        <v>-2.19</v>
      </c>
      <c r="K72" s="32" t="n">
        <v>23108</v>
      </c>
      <c r="L72" s="31" t="n">
        <v>87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74.26000000000001</v>
      </c>
      <c r="P72" s="32" t="n">
        <v>48.96</v>
      </c>
      <c r="Q72" s="32" t="n">
        <v>2512.04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-1.01</v>
      </c>
      <c r="U72" s="32" t="n">
        <v>102.78</v>
      </c>
      <c r="V72" s="32" t="n">
        <v>104.85</v>
      </c>
      <c r="W72" s="32" t="n">
        <v>28.35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IF(B73=0,"",RANK(B73,$B$2:$B$250,0))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TATVA</t>
        </is>
      </c>
      <c r="D73" s="31" t="inlineStr">
        <is>
          <t>Tatva Chintan Pharma Chem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4080.51</v>
      </c>
      <c r="I73" s="32" t="n">
        <v>1680.2</v>
      </c>
      <c r="J73" s="32" t="n">
        <v>-3.68</v>
      </c>
      <c r="K73" s="32" t="n">
        <v>66477</v>
      </c>
      <c r="L73" s="31" t="n">
        <v>65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70.8</v>
      </c>
      <c r="P73" s="32" t="n">
        <v>22.46</v>
      </c>
      <c r="Q73" s="32" t="n">
        <v>1295.09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-1.01</v>
      </c>
      <c r="U73" s="32" t="n">
        <v>50.83</v>
      </c>
      <c r="V73" s="32" t="n">
        <v>52.37</v>
      </c>
      <c r="W73" s="32" t="n">
        <v>16.18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IF(B74=0,"",RANK(B74,$B$2:$B$250,0))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KMEW</t>
        </is>
      </c>
      <c r="D74" s="31" t="inlineStr">
        <is>
          <t>Knowledge Marine &amp; Engineering Works Ltd</t>
        </is>
      </c>
      <c r="E74" s="31" t="inlineStr">
        <is>
          <t>transportation</t>
        </is>
      </c>
      <c r="F74" s="31" t="inlineStr">
        <is>
          <t>miscellaneous</t>
        </is>
      </c>
      <c r="G74" s="31" t="inlineStr">
        <is>
          <t>midcap</t>
        </is>
      </c>
      <c r="H74" s="32" t="n">
        <v>6550.53</v>
      </c>
      <c r="I74" s="32" t="n">
        <v>2529</v>
      </c>
      <c r="J74" s="32" t="n">
        <v>-5.63</v>
      </c>
      <c r="K74" s="32" t="n">
        <v>122309</v>
      </c>
      <c r="L74" s="31" t="n">
        <v>93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73.09999999999999</v>
      </c>
      <c r="P74" s="32" t="n">
        <v>47.87</v>
      </c>
      <c r="Q74" s="32" t="n">
        <v>1809.01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-1.01</v>
      </c>
      <c r="U74" s="32" t="n">
        <v>208.49</v>
      </c>
      <c r="V74" s="32" t="n">
        <v>211.64</v>
      </c>
      <c r="W74" s="32" t="n">
        <v>35.49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IF(B75=0,"",RANK(B75,$B$2:$B$250,0))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NILKAMAL</t>
        </is>
      </c>
      <c r="D75" s="31" t="inlineStr">
        <is>
          <t>Nilkamal Limited</t>
        </is>
      </c>
      <c r="E75" s="31" t="inlineStr">
        <is>
          <t>plastic products</t>
        </is>
      </c>
      <c r="F75" s="31" t="inlineStr">
        <is>
          <t>plastics products</t>
        </is>
      </c>
      <c r="G75" s="31" t="inlineStr">
        <is>
          <t>smallcap</t>
        </is>
      </c>
      <c r="H75" s="32" t="n">
        <v>2791.11</v>
      </c>
      <c r="I75" s="32" t="n">
        <v>1753.4</v>
      </c>
      <c r="J75" s="32" t="n">
        <v>-6.26</v>
      </c>
      <c r="K75" s="32" t="n">
        <v>100837</v>
      </c>
      <c r="L75" s="31" t="n">
        <v>48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77.48</v>
      </c>
      <c r="P75" s="32" t="n">
        <v>21.34</v>
      </c>
      <c r="Q75" s="32" t="n">
        <v>1405.28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-1.01</v>
      </c>
      <c r="U75" s="32" t="n">
        <v>9.69</v>
      </c>
      <c r="V75" s="32" t="n">
        <v>10.81</v>
      </c>
      <c r="W75" s="32" t="n">
        <v>10.55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IF(B76=0,"",RANK(B76,$B$2:$B$250,0))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COFORGE</t>
        </is>
      </c>
      <c r="D76" s="31" t="inlineStr">
        <is>
          <t>Coforge (Niit Tech) Ltd</t>
        </is>
      </c>
      <c r="E76" s="31" t="inlineStr">
        <is>
          <t>i.t</t>
        </is>
      </c>
      <c r="F76" s="31" t="inlineStr">
        <is>
          <t>computers - software - large</t>
        </is>
      </c>
      <c r="G76" s="31" t="inlineStr">
        <is>
          <t>largecap</t>
        </is>
      </c>
      <c r="H76" s="32" t="n">
        <v>75917.05</v>
      </c>
      <c r="I76" s="32" t="n">
        <v>1746.9</v>
      </c>
      <c r="J76" s="32" t="n">
        <v>1.87</v>
      </c>
      <c r="K76" s="32" t="n">
        <v>5650262</v>
      </c>
      <c r="L76" s="31" t="n">
        <v>55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65.34999999999999</v>
      </c>
      <c r="P76" s="32" t="n">
        <v>9.83</v>
      </c>
      <c r="Q76" s="32" t="n">
        <v>1347.01</v>
      </c>
      <c r="R76" s="31" t="inlineStr">
        <is>
          <t>Volume Spike / Accumulation</t>
        </is>
      </c>
      <c r="S76" s="31" t="inlineStr">
        <is>
          <t>Nifty IT</t>
        </is>
      </c>
      <c r="T76" s="32" t="n">
        <v>-9.970000000000001</v>
      </c>
      <c r="U76" s="32" t="n">
        <v>2.85</v>
      </c>
      <c r="V76" s="32" t="n">
        <v>14.24</v>
      </c>
      <c r="W76" s="32" t="n">
        <v>12.43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IF(B77=0,"",RANK(B77,$B$2:$B$250,0))</f>
        <v/>
      </c>
      <c r="B77" s="32">
        <f>SUM(N77,Y77,AA77,AC77,AE77,AG77,AI77,AK77,AM77,AO77,AQ77,AS77,AU77,AW77,AY77,BA77,BC77,BE77,BG77,BI77,BK77,BM77,BO77,BQ77,BS77,BU77,BW77,BY77,CA77,CC77,CE77)</f>
        <v/>
      </c>
      <c r="C77" s="33" t="inlineStr">
        <is>
          <t>RAINBOW</t>
        </is>
      </c>
      <c r="D77" s="33" t="inlineStr">
        <is>
          <t>Rainbow Childrens Medicare Ltd</t>
        </is>
      </c>
      <c r="E77" s="31" t="inlineStr">
        <is>
          <t>healthcare</t>
        </is>
      </c>
      <c r="F77" s="31" t="inlineStr">
        <is>
          <t>healthcare</t>
        </is>
      </c>
      <c r="G77" s="31" t="inlineStr">
        <is>
          <t>midcap</t>
        </is>
      </c>
      <c r="H77" s="32" t="n">
        <v>15200.36</v>
      </c>
      <c r="I77" s="32" t="n">
        <v>1520.6</v>
      </c>
      <c r="J77" s="32" t="n">
        <v>1.6</v>
      </c>
      <c r="K77" s="32" t="n">
        <v>134389</v>
      </c>
      <c r="L77" s="31" t="n">
        <v>23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67.93000000000001</v>
      </c>
      <c r="P77" s="32" t="n">
        <v>35.89</v>
      </c>
      <c r="Q77" s="32" t="n">
        <v>1287.09</v>
      </c>
      <c r="R77" s="31" t="inlineStr">
        <is>
          <t>Near 52W High Breakout</t>
        </is>
      </c>
      <c r="S77" s="31" t="inlineStr">
        <is>
          <t>Nifty Pharma</t>
        </is>
      </c>
      <c r="T77" s="32" t="n">
        <v>19.69</v>
      </c>
      <c r="U77" s="32" t="n">
        <v>-0.16</v>
      </c>
      <c r="V77" s="32" t="n">
        <v>-16.58</v>
      </c>
      <c r="W77" s="32" t="n">
        <v>5.22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IF(B78=0,"",RANK(B78,$B$2:$B$250,0))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VADILALIND</t>
        </is>
      </c>
      <c r="D78" s="31" t="inlineStr">
        <is>
          <t>Vadilal Industries Limited</t>
        </is>
      </c>
      <c r="E78" s="31" t="inlineStr">
        <is>
          <t>fmcg</t>
        </is>
      </c>
      <c r="F78" s="31" t="inlineStr">
        <is>
          <t>food - processing - indian</t>
        </is>
      </c>
      <c r="G78" s="31" t="inlineStr">
        <is>
          <t>midcap</t>
        </is>
      </c>
      <c r="H78" s="32" t="n">
        <v>5224.47</v>
      </c>
      <c r="I78" s="32" t="n">
        <v>7263.5</v>
      </c>
      <c r="J78" s="32" t="n">
        <v>-0.07000000000000001</v>
      </c>
      <c r="K78" s="32" t="n">
        <v>45499</v>
      </c>
      <c r="L78" s="31" t="n">
        <v>78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77</v>
      </c>
      <c r="P78" s="32" t="n">
        <v>33.18</v>
      </c>
      <c r="Q78" s="32" t="n">
        <v>5839.32</v>
      </c>
      <c r="R78" s="31" t="inlineStr">
        <is>
          <t>Near 52W High Breakout</t>
        </is>
      </c>
      <c r="S78" s="31" t="inlineStr">
        <is>
          <t>Nifty FMCG</t>
        </is>
      </c>
      <c r="T78" s="32" t="n">
        <v>-9.050000000000001</v>
      </c>
      <c r="U78" s="32" t="n">
        <v>32.78</v>
      </c>
      <c r="V78" s="32" t="n">
        <v>45.99</v>
      </c>
      <c r="W78" s="32" t="n">
        <v>22.2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IF(B79=0,"",RANK(B79,$B$2:$B$250,0))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MANORAMA</t>
        </is>
      </c>
      <c r="D79" s="31" t="inlineStr">
        <is>
          <t>Manorama Industries Ltd</t>
        </is>
      </c>
      <c r="E79" s="31" t="inlineStr">
        <is>
          <t>fmcg</t>
        </is>
      </c>
      <c r="F79" s="31" t="inlineStr">
        <is>
          <t>food - processing - indian</t>
        </is>
      </c>
      <c r="G79" s="31" t="inlineStr">
        <is>
          <t>midcap</t>
        </is>
      </c>
      <c r="H79" s="32" t="n">
        <v>9826.83</v>
      </c>
      <c r="I79" s="32" t="n">
        <v>1635.2</v>
      </c>
      <c r="J79" s="32" t="n">
        <v>-0.64</v>
      </c>
      <c r="K79" s="32" t="n">
        <v>52428</v>
      </c>
      <c r="L79" s="31" t="n">
        <v>25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62.45</v>
      </c>
      <c r="P79" s="32" t="n">
        <v>13.35</v>
      </c>
      <c r="Q79" s="32" t="n">
        <v>1281.85</v>
      </c>
      <c r="R79" s="31" t="inlineStr">
        <is>
          <t>Near 52W High Breakout</t>
        </is>
      </c>
      <c r="S79" s="31" t="inlineStr">
        <is>
          <t>Nifty FMCG</t>
        </is>
      </c>
      <c r="T79" s="32" t="n">
        <v>-9.050000000000001</v>
      </c>
      <c r="U79" s="32" t="n">
        <v>3.75</v>
      </c>
      <c r="V79" s="32" t="n">
        <v>14.07</v>
      </c>
      <c r="W79" s="32" t="n">
        <v>5.63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Between 50% to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IF(B80=0,"",RANK(B80,$B$2:$B$250,0))</f>
        <v/>
      </c>
      <c r="B80" s="32">
        <f>SUM(N80,Y80,AA80,AC80,AE80,AG80,AI80,AK80,AM80,AO80,AQ80,AS80,AU80,AW80,AY80,BA80,BC80,BE80,BG80,BI80,BK80,BM80,BO80,BQ80,BS80,BU80,BW80,BY80,CA80,CC80,CE80)</f>
        <v/>
      </c>
      <c r="C80" s="33" t="inlineStr">
        <is>
          <t>GPTHEALTH</t>
        </is>
      </c>
      <c r="D80" s="33" t="inlineStr">
        <is>
          <t>GPT Healthcare Ltd</t>
        </is>
      </c>
      <c r="E80" s="31" t="inlineStr">
        <is>
          <t>healthcare</t>
        </is>
      </c>
      <c r="F80" s="31" t="inlineStr">
        <is>
          <t>healthcare</t>
        </is>
      </c>
      <c r="G80" s="31" t="inlineStr">
        <is>
          <t>smallcap</t>
        </is>
      </c>
      <c r="H80" s="32" t="n">
        <v>1371.87</v>
      </c>
      <c r="I80" s="32" t="n">
        <v>166.04</v>
      </c>
      <c r="J80" s="32" t="n">
        <v>-0.6899999999999999</v>
      </c>
      <c r="K80" s="32" t="n">
        <v>224181</v>
      </c>
      <c r="L80" s="31" t="n">
        <v>17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69.98</v>
      </c>
      <c r="P80" s="32" t="n">
        <v>40.09</v>
      </c>
      <c r="Q80" s="32" t="n">
        <v>135.66</v>
      </c>
      <c r="R80" s="31" t="inlineStr">
        <is>
          <t>Volume Spike &amp; Near 52W High Breakout</t>
        </is>
      </c>
      <c r="S80" s="31" t="inlineStr">
        <is>
          <t>Nifty Pharma</t>
        </is>
      </c>
      <c r="T80" s="32" t="n">
        <v>19.69</v>
      </c>
      <c r="U80" s="32" t="n">
        <v>-5.94</v>
      </c>
      <c r="V80" s="32" t="n">
        <v>-21.41</v>
      </c>
      <c r="W80" s="32" t="n">
        <v>3.94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IF(B81=0,"",RANK(B81,$B$2:$B$250,0))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SAREGAMA</t>
        </is>
      </c>
      <c r="D81" s="31" t="inlineStr">
        <is>
          <t>Saregama India Limited</t>
        </is>
      </c>
      <c r="E81" s="31" t="inlineStr">
        <is>
          <t>media</t>
        </is>
      </c>
      <c r="F81" s="31" t="inlineStr">
        <is>
          <t>entertainment / electronic media software</t>
        </is>
      </c>
      <c r="G81" s="31" t="inlineStr">
        <is>
          <t>midcap</t>
        </is>
      </c>
      <c r="H81" s="32" t="n">
        <v>10227.58</v>
      </c>
      <c r="I81" s="32" t="n">
        <v>521.4</v>
      </c>
      <c r="J81" s="32" t="n">
        <v>-1.71</v>
      </c>
      <c r="K81" s="32" t="n">
        <v>270017</v>
      </c>
      <c r="L81" s="31" t="n">
        <v>62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73.56</v>
      </c>
      <c r="P81" s="32" t="n">
        <v>44.32</v>
      </c>
      <c r="Q81" s="32" t="n">
        <v>409.26</v>
      </c>
      <c r="R81" s="31" t="inlineStr">
        <is>
          <t>Near 52W High Breakout</t>
        </is>
      </c>
      <c r="S81" s="31" t="inlineStr">
        <is>
          <t>Nifty IT</t>
        </is>
      </c>
      <c r="T81" s="32" t="n">
        <v>-9.970000000000001</v>
      </c>
      <c r="U81" s="32" t="n">
        <v>11.3</v>
      </c>
      <c r="V81" s="32" t="n">
        <v>23.63</v>
      </c>
      <c r="W81" s="32" t="n">
        <v>15.25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IF(B82=0,"",RANK(B82,$B$2:$B$250,0))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KRISHANA</t>
        </is>
      </c>
      <c r="D82" s="31" t="inlineStr">
        <is>
          <t>Krishana Phoschem Ltd</t>
        </is>
      </c>
      <c r="E82" s="31" t="inlineStr">
        <is>
          <t>chemicals</t>
        </is>
      </c>
      <c r="F82" s="31" t="inlineStr">
        <is>
          <t>fertilizers</t>
        </is>
      </c>
      <c r="G82" s="31" t="inlineStr">
        <is>
          <t>smallcap</t>
        </is>
      </c>
      <c r="H82" s="32" t="n">
        <v>1017.37</v>
      </c>
      <c r="I82" s="32" t="n">
        <v>180.05</v>
      </c>
      <c r="J82" s="32" t="n">
        <v>9.42</v>
      </c>
      <c r="K82" s="32" t="n">
        <v>4816424</v>
      </c>
      <c r="L82" s="31" t="n">
        <v>79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77.68000000000001</v>
      </c>
      <c r="P82" s="32" t="n">
        <v>44.93</v>
      </c>
      <c r="Q82" s="32" t="n">
        <v>138.39</v>
      </c>
      <c r="R82" s="31" t="inlineStr">
        <is>
          <t>Near 52W High Breakout</t>
        </is>
      </c>
      <c r="S82" s="31" t="inlineStr">
        <is>
          <t>Nifty 50</t>
        </is>
      </c>
      <c r="T82" s="32" t="n">
        <v>-1.01</v>
      </c>
      <c r="U82" s="32" t="n">
        <v>67.8</v>
      </c>
      <c r="V82" s="32" t="n">
        <v>69.51000000000001</v>
      </c>
      <c r="W82" s="32" t="n">
        <v>23.04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IF(B83=0,"",RANK(B83,$B$2:$B$250,0))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YASHO</t>
        </is>
      </c>
      <c r="D83" s="31" t="inlineStr">
        <is>
          <t>Yasho Industries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3761.61</v>
      </c>
      <c r="I83" s="32" t="n">
        <v>3215.6</v>
      </c>
      <c r="J83" s="32" t="n">
        <v>3.03</v>
      </c>
      <c r="K83" s="32" t="n">
        <v>18010</v>
      </c>
      <c r="L83" s="31" t="n">
        <v>97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85.65000000000001</v>
      </c>
      <c r="P83" s="32" t="n">
        <v>54.37</v>
      </c>
      <c r="Q83" s="32" t="n">
        <v>2421.97</v>
      </c>
      <c r="R83" s="31" t="inlineStr">
        <is>
          <t>Near 52W High Breakout</t>
        </is>
      </c>
      <c r="S83" s="31" t="inlineStr">
        <is>
          <t>Nifty 50</t>
        </is>
      </c>
      <c r="T83" s="32" t="n">
        <v>-1.01</v>
      </c>
      <c r="U83" s="32" t="n">
        <v>75.52</v>
      </c>
      <c r="V83" s="32" t="n">
        <v>77.31999999999999</v>
      </c>
      <c r="W83" s="32" t="n">
        <v>43.31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IF(B84=0,"",RANK(B84,$B$2:$B$250,0))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CHENNPETRO</t>
        </is>
      </c>
      <c r="D84" s="31" t="inlineStr">
        <is>
          <t>Chennai Petroleum Corporation Limited</t>
        </is>
      </c>
      <c r="E84" s="31" t="inlineStr">
        <is>
          <t>energy</t>
        </is>
      </c>
      <c r="F84" s="31" t="inlineStr">
        <is>
          <t>refineries</t>
        </is>
      </c>
      <c r="G84" s="31" t="inlineStr">
        <is>
          <t>midcap</t>
        </is>
      </c>
      <c r="H84" s="32" t="n">
        <v>18052.53</v>
      </c>
      <c r="I84" s="32" t="n">
        <v>1238.2</v>
      </c>
      <c r="J84" s="32" t="n">
        <v>2.14</v>
      </c>
      <c r="K84" s="32" t="n">
        <v>2988121</v>
      </c>
      <c r="L84" s="31" t="n">
        <v>68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65.47</v>
      </c>
      <c r="P84" s="32" t="n">
        <v>48.57</v>
      </c>
      <c r="Q84" s="32" t="n">
        <v>900.64</v>
      </c>
      <c r="R84" s="31" t="inlineStr">
        <is>
          <t>Near 52W High Breakout</t>
        </is>
      </c>
      <c r="S84" s="31" t="inlineStr">
        <is>
          <t>Nifty Energy</t>
        </is>
      </c>
      <c r="T84" s="32" t="n">
        <v>8.69</v>
      </c>
      <c r="U84" s="32" t="n">
        <v>82.84</v>
      </c>
      <c r="V84" s="32" t="n">
        <v>68.22</v>
      </c>
      <c r="W84" s="32" t="n">
        <v>17.07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IF(B85=0,"",RANK(B85,$B$2:$B$250,0))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EICHERMOT</t>
        </is>
      </c>
      <c r="D85" s="31" t="inlineStr">
        <is>
          <t>Eicher Motors Limited</t>
        </is>
      </c>
      <c r="E85" s="31" t="inlineStr">
        <is>
          <t>auto</t>
        </is>
      </c>
      <c r="F85" s="31" t="inlineStr">
        <is>
          <t>automobiles - motorcycles / mopeds</t>
        </is>
      </c>
      <c r="G85" s="31" t="inlineStr">
        <is>
          <t>largecap</t>
        </is>
      </c>
      <c r="H85" s="32" t="n">
        <v>213531.63</v>
      </c>
      <c r="I85" s="32" t="n">
        <v>7912.5</v>
      </c>
      <c r="J85" s="32" t="n">
        <v>1.72</v>
      </c>
      <c r="K85" s="32" t="n">
        <v>1496307</v>
      </c>
      <c r="L85" s="31" t="n">
        <v>48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62.31</v>
      </c>
      <c r="P85" s="32" t="n">
        <v>7.22</v>
      </c>
      <c r="Q85" s="32" t="n">
        <v>6724</v>
      </c>
      <c r="R85" s="31" t="inlineStr">
        <is>
          <t>Near 52W High Breakout</t>
        </is>
      </c>
      <c r="S85" s="31" t="inlineStr">
        <is>
          <t>Nifty Auto</t>
        </is>
      </c>
      <c r="T85" s="32" t="n">
        <v>18.91</v>
      </c>
      <c r="U85" s="32" t="n">
        <v>47.53</v>
      </c>
      <c r="V85" s="32" t="n">
        <v>24.06</v>
      </c>
      <c r="W85" s="32" t="n">
        <v>10.8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IF(B86=0,"",RANK(B86,$B$2:$B$250,0))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CRAFTSMAN</t>
        </is>
      </c>
      <c r="D86" s="31" t="inlineStr">
        <is>
          <t>Craftsman Automation Ltd</t>
        </is>
      </c>
      <c r="E86" s="31" t="inlineStr">
        <is>
          <t>auto</t>
        </is>
      </c>
      <c r="F86" s="31" t="inlineStr">
        <is>
          <t>auto ancillaries</t>
        </is>
      </c>
      <c r="G86" s="31" t="inlineStr">
        <is>
          <t>largecap</t>
        </is>
      </c>
      <c r="H86" s="32" t="n">
        <v>25926.89</v>
      </c>
      <c r="I86" s="32" t="n">
        <v>10047</v>
      </c>
      <c r="J86" s="32" t="n">
        <v>1.35</v>
      </c>
      <c r="K86" s="32" t="n">
        <v>156814</v>
      </c>
      <c r="L86" s="31" t="n">
        <v>68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67.88</v>
      </c>
      <c r="P86" s="32" t="n">
        <v>58.19</v>
      </c>
      <c r="Q86" s="32" t="n">
        <v>8096.18</v>
      </c>
      <c r="R86" s="31" t="inlineStr">
        <is>
          <t>Volume Spike &amp; Near 52W High Breakout</t>
        </is>
      </c>
      <c r="S86" s="31" t="inlineStr">
        <is>
          <t>Nifty Auto</t>
        </is>
      </c>
      <c r="T86" s="32" t="n">
        <v>18.91</v>
      </c>
      <c r="U86" s="32" t="n">
        <v>60.27</v>
      </c>
      <c r="V86" s="32" t="n">
        <v>34.78</v>
      </c>
      <c r="W86" s="32" t="n">
        <v>17.04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 and Borrowings are increasing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IF(B87=0,"",RANK(B87,$B$2:$B$250,0))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IRISDOREME</t>
        </is>
      </c>
      <c r="D87" s="31" t="inlineStr">
        <is>
          <t>Iris Clothings Ltd</t>
        </is>
      </c>
      <c r="E87" s="31" t="inlineStr">
        <is>
          <t>consumer discretionary</t>
        </is>
      </c>
      <c r="F87" s="31" t="inlineStr">
        <is>
          <t>textiles - products</t>
        </is>
      </c>
      <c r="G87" s="31" t="inlineStr">
        <is>
          <t>smallcap</t>
        </is>
      </c>
      <c r="H87" s="32" t="n">
        <v>939.29</v>
      </c>
      <c r="I87" s="32" t="n">
        <v>49.63</v>
      </c>
      <c r="J87" s="32" t="n">
        <v>0.57</v>
      </c>
      <c r="K87" s="32" t="n">
        <v>509292</v>
      </c>
      <c r="L87" s="31" t="n">
        <v>72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78</v>
      </c>
      <c r="P87" s="32" t="n">
        <v>32.05</v>
      </c>
      <c r="Q87" s="32" t="n">
        <v>36.6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-1.01</v>
      </c>
      <c r="U87" s="32" t="n">
        <v>58.31</v>
      </c>
      <c r="V87" s="32" t="n">
        <v>59.93</v>
      </c>
      <c r="W87" s="32" t="n">
        <v>17.95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IF(B88=0,"",RANK(B88,$B$2:$B$250,0))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SHRIPISTON</t>
        </is>
      </c>
      <c r="D88" s="31" t="inlineStr">
        <is>
          <t>Shriram Pistons &amp; Rings Limited</t>
        </is>
      </c>
      <c r="E88" s="31" t="inlineStr">
        <is>
          <t>auto</t>
        </is>
      </c>
      <c r="F88" s="31" t="inlineStr">
        <is>
          <t>auto ancillaries</t>
        </is>
      </c>
      <c r="G88" s="31" t="inlineStr">
        <is>
          <t>midcap</t>
        </is>
      </c>
      <c r="H88" s="32" t="n">
        <v>19008.38</v>
      </c>
      <c r="I88" s="32" t="n">
        <v>4339.5</v>
      </c>
      <c r="J88" s="32" t="n">
        <v>0.5600000000000001</v>
      </c>
      <c r="K88" s="32" t="n">
        <v>29052</v>
      </c>
      <c r="L88" s="31" t="n">
        <v>72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72.11</v>
      </c>
      <c r="P88" s="32" t="n">
        <v>39.03</v>
      </c>
      <c r="Q88" s="32" t="n">
        <v>3476.21</v>
      </c>
      <c r="R88" s="31" t="inlineStr">
        <is>
          <t>Near 52W High Breakout</t>
        </is>
      </c>
      <c r="S88" s="31" t="inlineStr">
        <is>
          <t>Nifty Auto</t>
        </is>
      </c>
      <c r="T88" s="32" t="n">
        <v>18.91</v>
      </c>
      <c r="U88" s="32" t="n">
        <v>80.02</v>
      </c>
      <c r="V88" s="32" t="n">
        <v>51.39</v>
      </c>
      <c r="W88" s="32" t="n">
        <v>18.09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IF(B89=0,"",RANK(B89,$B$2:$B$250,0))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ASIANPAINT</t>
        </is>
      </c>
      <c r="D89" s="31" t="inlineStr">
        <is>
          <t>Asian Paints Limited</t>
        </is>
      </c>
      <c r="E89" s="31" t="inlineStr">
        <is>
          <t>building materials</t>
        </is>
      </c>
      <c r="F89" s="31" t="inlineStr">
        <is>
          <t>paints / varnishes</t>
        </is>
      </c>
      <c r="G89" s="31" t="inlineStr">
        <is>
          <t>largecap</t>
        </is>
      </c>
      <c r="H89" s="32" t="n">
        <v>264585.12</v>
      </c>
      <c r="I89" s="32" t="n">
        <v>2746.2</v>
      </c>
      <c r="J89" s="32" t="n">
        <v>-0.44</v>
      </c>
      <c r="K89" s="32" t="n">
        <v>2387024</v>
      </c>
      <c r="L89" s="31" t="n">
        <v>27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60.37</v>
      </c>
      <c r="P89" s="32" t="n">
        <v>20.53</v>
      </c>
      <c r="Q89" s="32" t="n">
        <v>2331.2</v>
      </c>
      <c r="R89" s="31" t="inlineStr">
        <is>
          <t>Earnings / Momentum Support</t>
        </is>
      </c>
      <c r="S89" s="31" t="inlineStr">
        <is>
          <t>Nifty Infra</t>
        </is>
      </c>
      <c r="T89" s="32" t="n">
        <v>3.07</v>
      </c>
      <c r="U89" s="32" t="n">
        <v>18.75</v>
      </c>
      <c r="V89" s="32" t="n">
        <v>15.22</v>
      </c>
      <c r="W89" s="32" t="n">
        <v>6.03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IF(B90=0,"",RANK(B90,$B$2:$B$250,0))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UNIVCABLES</t>
        </is>
      </c>
      <c r="D90" s="31" t="inlineStr">
        <is>
          <t>Universal Cables Limited</t>
        </is>
      </c>
      <c r="E90" s="31" t="inlineStr">
        <is>
          <t>industrials</t>
        </is>
      </c>
      <c r="F90" s="31" t="inlineStr">
        <is>
          <t>cables - power</t>
        </is>
      </c>
      <c r="G90" s="31" t="inlineStr">
        <is>
          <t>smallcap</t>
        </is>
      </c>
      <c r="H90" s="32" t="n">
        <v>4674.51</v>
      </c>
      <c r="I90" s="32" t="n">
        <v>1331.3</v>
      </c>
      <c r="J90" s="32" t="n">
        <v>-1.19</v>
      </c>
      <c r="K90" s="32" t="n">
        <v>92410</v>
      </c>
      <c r="L90" s="31" t="n">
        <v>86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68.01000000000001</v>
      </c>
      <c r="P90" s="32" t="n">
        <v>55.57</v>
      </c>
      <c r="Q90" s="32" t="n">
        <v>929.15</v>
      </c>
      <c r="R90" s="31" t="inlineStr">
        <is>
          <t>Near 52W High Breakout</t>
        </is>
      </c>
      <c r="S90" s="31" t="inlineStr">
        <is>
          <t>Nifty Energy</t>
        </is>
      </c>
      <c r="T90" s="32" t="n">
        <v>8.69</v>
      </c>
      <c r="U90" s="32" t="n">
        <v>80.18000000000001</v>
      </c>
      <c r="V90" s="32" t="n">
        <v>65.78</v>
      </c>
      <c r="W90" s="32" t="n">
        <v>27.74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IF(B91=0,"",RANK(B91,$B$2:$B$250,0))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HONAUT</t>
        </is>
      </c>
      <c r="D91" s="31" t="inlineStr">
        <is>
          <t>Honeywell Automation India Limited</t>
        </is>
      </c>
      <c r="E91" s="31" t="inlineStr">
        <is>
          <t>consumer discretionary</t>
        </is>
      </c>
      <c r="F91" s="31" t="inlineStr">
        <is>
          <t>electronics - components</t>
        </is>
      </c>
      <c r="G91" s="31" t="inlineStr">
        <is>
          <t>largecap</t>
        </is>
      </c>
      <c r="H91" s="32" t="n">
        <v>35458.93</v>
      </c>
      <c r="I91" s="32" t="n">
        <v>39505</v>
      </c>
      <c r="J91" s="32" t="n">
        <v>-1.5</v>
      </c>
      <c r="K91" s="32" t="n">
        <v>14732</v>
      </c>
      <c r="L91" s="31" t="n">
        <v>31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62.85</v>
      </c>
      <c r="P91" s="32" t="n">
        <v>23.21</v>
      </c>
      <c r="Q91" s="32" t="n">
        <v>32332.54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-1.01</v>
      </c>
      <c r="U91" s="32" t="n">
        <v>2.3</v>
      </c>
      <c r="V91" s="32" t="n">
        <v>3.35</v>
      </c>
      <c r="W91" s="32" t="n">
        <v>6.81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IF(B92=0,"",RANK(B92,$B$2:$B$250,0))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POLYPLEX</t>
        </is>
      </c>
      <c r="D92" s="33" t="inlineStr">
        <is>
          <t>Polyplex Corporation Limited</t>
        </is>
      </c>
      <c r="E92" s="31" t="inlineStr">
        <is>
          <t>industrials</t>
        </is>
      </c>
      <c r="F92" s="31" t="inlineStr">
        <is>
          <t>packaging</t>
        </is>
      </c>
      <c r="G92" s="31" t="inlineStr">
        <is>
          <t>smallcap</t>
        </is>
      </c>
      <c r="H92" s="32" t="n">
        <v>3519.41</v>
      </c>
      <c r="I92" s="32" t="n">
        <v>1103.45</v>
      </c>
      <c r="J92" s="32" t="n">
        <v>-1.57</v>
      </c>
      <c r="K92" s="32" t="n">
        <v>46801</v>
      </c>
      <c r="L92" s="31" t="n">
        <v>25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66.97</v>
      </c>
      <c r="P92" s="32" t="n">
        <v>44.93</v>
      </c>
      <c r="Q92" s="32" t="n">
        <v>908.6900000000001</v>
      </c>
      <c r="R92" s="31" t="inlineStr">
        <is>
          <t>Near 52W High Breakout</t>
        </is>
      </c>
      <c r="S92" s="31" t="inlineStr">
        <is>
          <t>Nifty Infra</t>
        </is>
      </c>
      <c r="T92" s="32" t="n">
        <v>3.07</v>
      </c>
      <c r="U92" s="32" t="n">
        <v>-1.84</v>
      </c>
      <c r="V92" s="32" t="n">
        <v>-4.76</v>
      </c>
      <c r="W92" s="32" t="n">
        <v>5.44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IF(B93=0,"",RANK(B93,$B$2:$B$250,0))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SFL</t>
        </is>
      </c>
      <c r="D93" s="31" t="inlineStr">
        <is>
          <t>Sheela Foam Limited</t>
        </is>
      </c>
      <c r="E93" s="31" t="inlineStr">
        <is>
          <t>consumer discretionary</t>
        </is>
      </c>
      <c r="F93" s="31" t="inlineStr">
        <is>
          <t>miscellaneous</t>
        </is>
      </c>
      <c r="G93" s="31" t="inlineStr">
        <is>
          <t>midcap</t>
        </is>
      </c>
      <c r="H93" s="32" t="n">
        <v>8619.959999999999</v>
      </c>
      <c r="I93" s="32" t="n">
        <v>776.3</v>
      </c>
      <c r="J93" s="32" t="n">
        <v>-1.65</v>
      </c>
      <c r="K93" s="32" t="n">
        <v>104580</v>
      </c>
      <c r="L93" s="31" t="n">
        <v>65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71.93000000000001</v>
      </c>
      <c r="P93" s="32" t="n">
        <v>36.26</v>
      </c>
      <c r="Q93" s="32" t="n">
        <v>613.97</v>
      </c>
      <c r="R93" s="31" t="inlineStr">
        <is>
          <t>Near 52W High Breakout</t>
        </is>
      </c>
      <c r="S93" s="31" t="inlineStr">
        <is>
          <t>Nifty 50</t>
        </is>
      </c>
      <c r="T93" s="32" t="n">
        <v>-1.01</v>
      </c>
      <c r="U93" s="32" t="n">
        <v>15.53</v>
      </c>
      <c r="V93" s="32" t="n">
        <v>16.71</v>
      </c>
      <c r="W93" s="32" t="n">
        <v>16.27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IF(B94=0,"",RANK(B94,$B$2:$B$250,0))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RUBYMILLS</t>
        </is>
      </c>
      <c r="D94" s="31" t="inlineStr">
        <is>
          <t>The Ruby Mills Limited</t>
        </is>
      </c>
      <c r="E94" s="31" t="inlineStr">
        <is>
          <t>textiles</t>
        </is>
      </c>
      <c r="F94" s="31" t="inlineStr">
        <is>
          <t>textiles - composite</t>
        </is>
      </c>
      <c r="G94" s="31" t="inlineStr">
        <is>
          <t>smallcap</t>
        </is>
      </c>
      <c r="H94" s="32" t="n">
        <v>1318.2</v>
      </c>
      <c r="I94" s="32" t="n">
        <v>386.7</v>
      </c>
      <c r="J94" s="32" t="n">
        <v>-1.9</v>
      </c>
      <c r="K94" s="32" t="n">
        <v>6428</v>
      </c>
      <c r="L94" s="31" t="n">
        <v>84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72.16</v>
      </c>
      <c r="P94" s="32" t="n">
        <v>53.88</v>
      </c>
      <c r="Q94" s="32" t="n">
        <v>313.01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-1.01</v>
      </c>
      <c r="U94" s="32" t="n">
        <v>60.95</v>
      </c>
      <c r="V94" s="32" t="n">
        <v>62.6</v>
      </c>
      <c r="W94" s="32" t="n">
        <v>25.74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IF(B95=0,"",RANK(B95,$B$2:$B$250,0))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HEG</t>
        </is>
      </c>
      <c r="D95" s="31" t="inlineStr">
        <is>
          <t>Heg Limited</t>
        </is>
      </c>
      <c r="E95" s="31" t="inlineStr">
        <is>
          <t>industrials</t>
        </is>
      </c>
      <c r="F95" s="31" t="inlineStr">
        <is>
          <t>electrodes - graphites</t>
        </is>
      </c>
      <c r="G95" s="31" t="inlineStr">
        <is>
          <t>midcap</t>
        </is>
      </c>
      <c r="H95" s="32" t="n">
        <v>12980.63</v>
      </c>
      <c r="I95" s="32" t="n">
        <v>659.25</v>
      </c>
      <c r="J95" s="32" t="n">
        <v>-1.99</v>
      </c>
      <c r="K95" s="32" t="n">
        <v>2076663</v>
      </c>
      <c r="L95" s="31" t="n">
        <v>34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63.94</v>
      </c>
      <c r="P95" s="32" t="n">
        <v>25.62</v>
      </c>
      <c r="Q95" s="32" t="n">
        <v>498.91</v>
      </c>
      <c r="R95" s="31" t="inlineStr">
        <is>
          <t>Near 52W High Breakout</t>
        </is>
      </c>
      <c r="S95" s="31" t="inlineStr">
        <is>
          <t>Nifty 50</t>
        </is>
      </c>
      <c r="T95" s="32" t="n">
        <v>-1.01</v>
      </c>
      <c r="U95" s="32" t="n">
        <v>24.92</v>
      </c>
      <c r="V95" s="32" t="n">
        <v>26.2</v>
      </c>
      <c r="W95" s="32" t="n">
        <v>7.25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Between 12 to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IF(B96=0,"",RANK(B96,$B$2:$B$250,0))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FILATEX</t>
        </is>
      </c>
      <c r="D96" s="31" t="inlineStr">
        <is>
          <t>Filatex India Limited</t>
        </is>
      </c>
      <c r="E96" s="31" t="inlineStr">
        <is>
          <t>textiles</t>
        </is>
      </c>
      <c r="F96" s="31" t="inlineStr">
        <is>
          <t>textiles - manmade</t>
        </is>
      </c>
      <c r="G96" s="31" t="inlineStr">
        <is>
          <t>smallcap</t>
        </is>
      </c>
      <c r="H96" s="32" t="n">
        <v>3172.8</v>
      </c>
      <c r="I96" s="32" t="n">
        <v>68.34</v>
      </c>
      <c r="J96" s="32" t="n">
        <v>-4.35</v>
      </c>
      <c r="K96" s="32" t="n">
        <v>2745963</v>
      </c>
      <c r="L96" s="31" t="n">
        <v>68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67.63</v>
      </c>
      <c r="P96" s="32" t="n">
        <v>26.85</v>
      </c>
      <c r="Q96" s="32" t="n">
        <v>55.81</v>
      </c>
      <c r="R96" s="31" t="inlineStr">
        <is>
          <t>Earnings / Momentum Support</t>
        </is>
      </c>
      <c r="S96" s="31" t="inlineStr">
        <is>
          <t>Nifty 50</t>
        </is>
      </c>
      <c r="T96" s="32" t="n">
        <v>-1.01</v>
      </c>
      <c r="U96" s="32" t="n">
        <v>23.99</v>
      </c>
      <c r="V96" s="32" t="n">
        <v>25.25</v>
      </c>
      <c r="W96" s="32" t="n">
        <v>17.03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IF(B97=0,"",RANK(B97,$B$2:$B$250,0))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ARTEMISMED</t>
        </is>
      </c>
      <c r="D97" s="31" t="inlineStr">
        <is>
          <t>Artemis Medicare Services Ltd</t>
        </is>
      </c>
      <c r="E97" s="31" t="inlineStr">
        <is>
          <t>healthcare</t>
        </is>
      </c>
      <c r="F97" s="31" t="inlineStr">
        <is>
          <t>healthcare</t>
        </is>
      </c>
      <c r="G97" s="31" t="inlineStr">
        <is>
          <t>smallcap</t>
        </is>
      </c>
      <c r="H97" s="32" t="n">
        <v>4727.02</v>
      </c>
      <c r="I97" s="32" t="n">
        <v>302.15</v>
      </c>
      <c r="J97" s="32" t="n">
        <v>1.19</v>
      </c>
      <c r="K97" s="32" t="n">
        <v>587420</v>
      </c>
      <c r="L97" s="31" t="n">
        <v>43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67.7</v>
      </c>
      <c r="P97" s="32" t="n">
        <v>21.95</v>
      </c>
      <c r="Q97" s="32" t="n">
        <v>244.63</v>
      </c>
      <c r="R97" s="31" t="inlineStr">
        <is>
          <t>Volume Spike &amp; Near 52W High Breakout</t>
        </is>
      </c>
      <c r="S97" s="31" t="inlineStr">
        <is>
          <t>Nifty Pharma</t>
        </is>
      </c>
      <c r="T97" s="32" t="n">
        <v>19.69</v>
      </c>
      <c r="U97" s="32" t="n">
        <v>23.57</v>
      </c>
      <c r="V97" s="32" t="n">
        <v>3.24</v>
      </c>
      <c r="W97" s="32" t="n">
        <v>9.529999999999999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IF(B98=0,"",RANK(B98,$B$2:$B$250,0))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AJANTPHARM</t>
        </is>
      </c>
      <c r="D98" s="31" t="inlineStr">
        <is>
          <t>Ajanta Pharma Limited</t>
        </is>
      </c>
      <c r="E98" s="31" t="inlineStr">
        <is>
          <t>healthcare</t>
        </is>
      </c>
      <c r="F98" s="31" t="inlineStr">
        <is>
          <t>pharmaceuticals - indian - formulations</t>
        </is>
      </c>
      <c r="G98" s="31" t="inlineStr">
        <is>
          <t>largecap</t>
        </is>
      </c>
      <c r="H98" s="32" t="n">
        <v>42434.38</v>
      </c>
      <c r="I98" s="32" t="n">
        <v>3436.4</v>
      </c>
      <c r="J98" s="32" t="n">
        <v>1.17</v>
      </c>
      <c r="K98" s="32" t="n">
        <v>401183</v>
      </c>
      <c r="L98" s="31" t="n">
        <v>46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68.33</v>
      </c>
      <c r="P98" s="32" t="n">
        <v>43.31</v>
      </c>
      <c r="Q98" s="32" t="n">
        <v>2839.8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19.69</v>
      </c>
      <c r="U98" s="32" t="n">
        <v>28.93</v>
      </c>
      <c r="V98" s="32" t="n">
        <v>7.72</v>
      </c>
      <c r="W98" s="32" t="n">
        <v>10.13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Between 12 to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Less than 50%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IF(B99=0,"",RANK(B99,$B$2:$B$250,0))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SAILIFE</t>
        </is>
      </c>
      <c r="D99" s="31" t="inlineStr">
        <is>
          <t>Sai Life Sciences Ltd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largecap</t>
        </is>
      </c>
      <c r="H99" s="32" t="n">
        <v>27934.72</v>
      </c>
      <c r="I99" s="32" t="n">
        <v>1315.2</v>
      </c>
      <c r="J99" s="32" t="n">
        <v>-0.05</v>
      </c>
      <c r="K99" s="32" t="n">
        <v>319657</v>
      </c>
      <c r="L99" s="31" t="n">
        <v>65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73.75</v>
      </c>
      <c r="P99" s="32" t="n">
        <v>30.14</v>
      </c>
      <c r="Q99" s="32" t="n">
        <v>1082.16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19.69</v>
      </c>
      <c r="U99" s="32" t="n">
        <v>66.90000000000001</v>
      </c>
      <c r="V99" s="32" t="n">
        <v>39.45</v>
      </c>
      <c r="W99" s="32" t="n">
        <v>16.26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IF(B100=0,"",RANK(B100,$B$2:$B$250,0))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LALPATHLAB</t>
        </is>
      </c>
      <c r="D100" s="33" t="inlineStr">
        <is>
          <t>Dr. Lal Path Labs Ltd.</t>
        </is>
      </c>
      <c r="E100" s="31" t="inlineStr">
        <is>
          <t>healthcare</t>
        </is>
      </c>
      <c r="F100" s="31" t="inlineStr">
        <is>
          <t>healthcare</t>
        </is>
      </c>
      <c r="G100" s="31" t="inlineStr">
        <is>
          <t>largecap</t>
        </is>
      </c>
      <c r="H100" s="32" t="n">
        <v>31557.81</v>
      </c>
      <c r="I100" s="32" t="n">
        <v>1878.8</v>
      </c>
      <c r="J100" s="32" t="n">
        <v>-0.2</v>
      </c>
      <c r="K100" s="32" t="n">
        <v>609085</v>
      </c>
      <c r="L100" s="31" t="n">
        <v>56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72.79000000000001</v>
      </c>
      <c r="P100" s="32" t="n">
        <v>36.72</v>
      </c>
      <c r="Q100" s="32" t="n">
        <v>1542.19</v>
      </c>
      <c r="R100" s="31" t="inlineStr">
        <is>
          <t>Volume Spike &amp; Near 52W High Breakout</t>
        </is>
      </c>
      <c r="S100" s="31" t="inlineStr">
        <is>
          <t>Nifty Pharma</t>
        </is>
      </c>
      <c r="T100" s="32" t="n">
        <v>19.69</v>
      </c>
      <c r="U100" s="32" t="n">
        <v>19.66</v>
      </c>
      <c r="V100" s="32" t="n">
        <v>-0.03</v>
      </c>
      <c r="W100" s="32" t="n">
        <v>12.48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IF(B101=0,"",RANK(B101,$B$2:$B$250,0))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3" t="inlineStr">
        <is>
          <t>MANKIND</t>
        </is>
      </c>
      <c r="D101" s="33" t="inlineStr">
        <is>
          <t>Mankind Pharma Ltd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largecap</t>
        </is>
      </c>
      <c r="H101" s="32" t="n">
        <v>107077.47</v>
      </c>
      <c r="I101" s="32" t="n">
        <v>2575.9</v>
      </c>
      <c r="J101" s="32" t="n">
        <v>-0.65</v>
      </c>
      <c r="K101" s="32" t="n">
        <v>294648</v>
      </c>
      <c r="L101" s="31" t="n">
        <v>16</v>
      </c>
      <c r="M101" s="31" t="inlineStr">
        <is>
          <t>Underperforming</t>
        </is>
      </c>
      <c r="N101" s="32">
        <f>IF(M101="Underperforming",-5,IF(L101&gt;=95,15,IF(L101&gt;=90,10,IF(L101&gt;=80,5,0))))</f>
        <v/>
      </c>
      <c r="O101" s="32" t="n">
        <v>64.68000000000001</v>
      </c>
      <c r="P101" s="32" t="n">
        <v>30.28</v>
      </c>
      <c r="Q101" s="32" t="n">
        <v>2164.82</v>
      </c>
      <c r="R101" s="31" t="inlineStr">
        <is>
          <t>Near 52W High Breakout</t>
        </is>
      </c>
      <c r="S101" s="31" t="inlineStr">
        <is>
          <t>Nifty Pharma</t>
        </is>
      </c>
      <c r="T101" s="32" t="n">
        <v>19.69</v>
      </c>
      <c r="U101" s="32" t="n">
        <v>0.41</v>
      </c>
      <c r="V101" s="32" t="n">
        <v>-16.11</v>
      </c>
      <c r="W101" s="32" t="n">
        <v>3.47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Between 1.5 to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IF(B102=0,"",RANK(B102,$B$2:$B$250,0))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STEELCAS</t>
        </is>
      </c>
      <c r="D102" s="31" t="inlineStr">
        <is>
          <t>Steelcast Ltd</t>
        </is>
      </c>
      <c r="E102" s="31" t="inlineStr">
        <is>
          <t>industrials</t>
        </is>
      </c>
      <c r="F102" s="31" t="inlineStr">
        <is>
          <t>castings &amp; forgings</t>
        </is>
      </c>
      <c r="G102" s="31" t="inlineStr">
        <is>
          <t>smallcap</t>
        </is>
      </c>
      <c r="H102" s="32" t="n">
        <v>3090.65</v>
      </c>
      <c r="I102" s="32" t="n">
        <v>318.05</v>
      </c>
      <c r="J102" s="32" t="n">
        <v>4.14</v>
      </c>
      <c r="K102" s="32" t="n">
        <v>221233</v>
      </c>
      <c r="L102" s="31" t="n">
        <v>49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71.77</v>
      </c>
      <c r="P102" s="32" t="n">
        <v>39.56</v>
      </c>
      <c r="Q102" s="32" t="n">
        <v>240.2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-1.01</v>
      </c>
      <c r="U102" s="32" t="n">
        <v>45.93</v>
      </c>
      <c r="V102" s="32" t="n">
        <v>47.42</v>
      </c>
      <c r="W102" s="32" t="n">
        <v>10.92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IF(B103=0,"",RANK(B103,$B$2:$B$250,0))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EXIDEIND</t>
        </is>
      </c>
      <c r="D103" s="31" t="inlineStr">
        <is>
          <t>Exide Industries Limited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largecap</t>
        </is>
      </c>
      <c r="H103" s="32" t="n">
        <v>37030.25</v>
      </c>
      <c r="I103" s="32" t="n">
        <v>452.7</v>
      </c>
      <c r="J103" s="32" t="n">
        <v>3.91</v>
      </c>
      <c r="K103" s="32" t="n">
        <v>31728785</v>
      </c>
      <c r="L103" s="31" t="n">
        <v>51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73.41</v>
      </c>
      <c r="P103" s="32" t="n">
        <v>37.16</v>
      </c>
      <c r="Q103" s="32" t="n">
        <v>375.31</v>
      </c>
      <c r="R103" s="31" t="inlineStr">
        <is>
          <t>Volume Spike &amp; Near 52W High Breakout</t>
        </is>
      </c>
      <c r="S103" s="31" t="inlineStr">
        <is>
          <t>Nifty Auto</t>
        </is>
      </c>
      <c r="T103" s="32" t="n">
        <v>18.91</v>
      </c>
      <c r="U103" s="32" t="n">
        <v>19.51</v>
      </c>
      <c r="V103" s="32" t="n">
        <v>0.51</v>
      </c>
      <c r="W103" s="32" t="n">
        <v>11.32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Between 12 to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IF(B104=0,"",RANK(B104,$B$2:$B$250,0))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COMSYN</t>
        </is>
      </c>
      <c r="D104" s="31" t="inlineStr">
        <is>
          <t>Commercial Syn Bags Ltd</t>
        </is>
      </c>
      <c r="E104" s="31" t="inlineStr">
        <is>
          <t>industrials</t>
        </is>
      </c>
      <c r="F104" s="31" t="inlineStr">
        <is>
          <t>packaging</t>
        </is>
      </c>
      <c r="G104" s="31" t="inlineStr">
        <is>
          <t>smallcap</t>
        </is>
      </c>
      <c r="H104" s="32" t="n">
        <v>838.73</v>
      </c>
      <c r="I104" s="32" t="n">
        <v>213.71</v>
      </c>
      <c r="J104" s="32" t="n">
        <v>2.78</v>
      </c>
      <c r="K104" s="32" t="n">
        <v>5985454</v>
      </c>
      <c r="L104" s="31" t="n">
        <v>74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69.33</v>
      </c>
      <c r="P104" s="32" t="n">
        <v>52.18</v>
      </c>
      <c r="Q104" s="32" t="n">
        <v>152.97</v>
      </c>
      <c r="R104" s="31" t="inlineStr">
        <is>
          <t>Volume Spike &amp; Near 52W High Breakout</t>
        </is>
      </c>
      <c r="S104" s="31" t="inlineStr">
        <is>
          <t>Nifty 50</t>
        </is>
      </c>
      <c r="T104" s="32" t="n">
        <v>-1.01</v>
      </c>
      <c r="U104" s="32" t="n">
        <v>63.12</v>
      </c>
      <c r="V104" s="32" t="n">
        <v>64.79000000000001</v>
      </c>
      <c r="W104" s="32" t="n">
        <v>19.04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Less than 12%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IF(B105=0,"",RANK(B105,$B$2:$B$250,0))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NYKAA</t>
        </is>
      </c>
      <c r="D105" s="31" t="inlineStr">
        <is>
          <t>FSN E-Commerce Ventures Ltd</t>
        </is>
      </c>
      <c r="E105" s="31" t="inlineStr">
        <is>
          <t>i.t</t>
        </is>
      </c>
      <c r="F105" s="31" t="inlineStr">
        <is>
          <t>trading</t>
        </is>
      </c>
      <c r="G105" s="31" t="inlineStr">
        <is>
          <t>largecap</t>
        </is>
      </c>
      <c r="H105" s="32" t="n">
        <v>93790.24000000001</v>
      </c>
      <c r="I105" s="32" t="n">
        <v>333.75</v>
      </c>
      <c r="J105" s="32" t="n">
        <v>1.91</v>
      </c>
      <c r="K105" s="32" t="n">
        <v>8652158</v>
      </c>
      <c r="L105" s="31" t="n">
        <v>63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72.48</v>
      </c>
      <c r="P105" s="32" t="n">
        <v>38.18</v>
      </c>
      <c r="Q105" s="32" t="n">
        <v>283.98</v>
      </c>
      <c r="R105" s="31" t="inlineStr">
        <is>
          <t>Near 52W High Breakout</t>
        </is>
      </c>
      <c r="S105" s="31" t="inlineStr">
        <is>
          <t>Nifty IT</t>
        </is>
      </c>
      <c r="T105" s="32" t="n">
        <v>-9.970000000000001</v>
      </c>
      <c r="U105" s="32" t="n">
        <v>58.88</v>
      </c>
      <c r="V105" s="32" t="n">
        <v>76.48</v>
      </c>
      <c r="W105" s="32" t="n">
        <v>15.45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IF(B106=0,"",RANK(B106,$B$2:$B$250,0))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IGPL</t>
        </is>
      </c>
      <c r="D106" s="33" t="inlineStr">
        <is>
          <t>Ig Petrochemicals Limited</t>
        </is>
      </c>
      <c r="E106" s="31" t="inlineStr">
        <is>
          <t>chemicals</t>
        </is>
      </c>
      <c r="F106" s="31" t="inlineStr">
        <is>
          <t>chemicals</t>
        </is>
      </c>
      <c r="G106" s="31" t="inlineStr">
        <is>
          <t>smallcap</t>
        </is>
      </c>
      <c r="H106" s="32" t="n">
        <v>1427.34</v>
      </c>
      <c r="I106" s="32" t="n">
        <v>468.15</v>
      </c>
      <c r="J106" s="32" t="n">
        <v>1</v>
      </c>
      <c r="K106" s="32" t="n">
        <v>26578</v>
      </c>
      <c r="L106" s="31" t="n">
        <v>13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61.74</v>
      </c>
      <c r="P106" s="32" t="n">
        <v>20.16</v>
      </c>
      <c r="Q106" s="32" t="n">
        <v>366.03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-1.01</v>
      </c>
      <c r="U106" s="32" t="n">
        <v>-1.75</v>
      </c>
      <c r="V106" s="32" t="n">
        <v>-0.75</v>
      </c>
      <c r="W106" s="32" t="n">
        <v>2.76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IF(B107=0,"",RANK(B107,$B$2:$B$250,0))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PAYTM</t>
        </is>
      </c>
      <c r="D107" s="31" t="inlineStr">
        <is>
          <t>One 97 Communications Ltd</t>
        </is>
      </c>
      <c r="E107" s="31" t="inlineStr">
        <is>
          <t>i.t</t>
        </is>
      </c>
      <c r="F107" s="31" t="inlineStr">
        <is>
          <t>miscellaneous</t>
        </is>
      </c>
      <c r="G107" s="31" t="inlineStr">
        <is>
          <t>largecap</t>
        </is>
      </c>
      <c r="H107" s="32" t="n">
        <v>85164.82000000001</v>
      </c>
      <c r="I107" s="32" t="n">
        <v>1332.5</v>
      </c>
      <c r="J107" s="32" t="n">
        <v>0.19</v>
      </c>
      <c r="K107" s="32" t="n">
        <v>2761482</v>
      </c>
      <c r="L107" s="31" t="n">
        <v>44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61.82</v>
      </c>
      <c r="P107" s="32" t="n">
        <v>16.25</v>
      </c>
      <c r="Q107" s="32" t="n">
        <v>1052.46</v>
      </c>
      <c r="R107" s="31" t="inlineStr">
        <is>
          <t>Near 52W High Breakout</t>
        </is>
      </c>
      <c r="S107" s="31" t="inlineStr">
        <is>
          <t>Nifty IT</t>
        </is>
      </c>
      <c r="T107" s="32" t="n">
        <v>-9.970000000000001</v>
      </c>
      <c r="U107" s="32" t="n">
        <v>23.79</v>
      </c>
      <c r="V107" s="32" t="n">
        <v>37.5</v>
      </c>
      <c r="W107" s="32" t="n">
        <v>9.550000000000001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0 to 20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Between 1.5 to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IF(B108=0,"",RANK(B108,$B$2:$B$250,0))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AETHER</t>
        </is>
      </c>
      <c r="D108" s="31" t="inlineStr">
        <is>
          <t>Aether Industries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midcap</t>
        </is>
      </c>
      <c r="H108" s="32" t="n">
        <v>19783.46</v>
      </c>
      <c r="I108" s="32" t="n">
        <v>1490.8</v>
      </c>
      <c r="J108" s="32" t="n">
        <v>0.01</v>
      </c>
      <c r="K108" s="32" t="n">
        <v>455177</v>
      </c>
      <c r="L108" s="31" t="n">
        <v>76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71.3</v>
      </c>
      <c r="P108" s="32" t="n">
        <v>44.97</v>
      </c>
      <c r="Q108" s="32" t="n">
        <v>1184.65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-1.01</v>
      </c>
      <c r="U108" s="32" t="n">
        <v>97.84999999999999</v>
      </c>
      <c r="V108" s="32" t="n">
        <v>99.87</v>
      </c>
      <c r="W108" s="32" t="n">
        <v>20.88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IF(B109=0,"",RANK(B109,$B$2:$B$250,0))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NELCO</t>
        </is>
      </c>
      <c r="D109" s="31" t="inlineStr">
        <is>
          <t>Nelco Limited</t>
        </is>
      </c>
      <c r="E109" s="31" t="inlineStr">
        <is>
          <t>telecom</t>
        </is>
      </c>
      <c r="F109" s="31" t="inlineStr">
        <is>
          <t>telecommunications - service provider</t>
        </is>
      </c>
      <c r="G109" s="31" t="inlineStr">
        <is>
          <t>smallcap</t>
        </is>
      </c>
      <c r="H109" s="32" t="n">
        <v>2131.47</v>
      </c>
      <c r="I109" s="32" t="n">
        <v>929.75</v>
      </c>
      <c r="J109" s="32" t="n">
        <v>-0.47</v>
      </c>
      <c r="K109" s="32" t="n">
        <v>235504</v>
      </c>
      <c r="L109" s="31" t="n">
        <v>44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63.82</v>
      </c>
      <c r="P109" s="32" t="n">
        <v>25.37</v>
      </c>
      <c r="Q109" s="32" t="n">
        <v>694.87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-1.01</v>
      </c>
      <c r="U109" s="32" t="n">
        <v>7.13</v>
      </c>
      <c r="V109" s="32" t="n">
        <v>8.220000000000001</v>
      </c>
      <c r="W109" s="32" t="n">
        <v>9.75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Oligopoly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IF(B110=0,"",RANK(B110,$B$2:$B$250,0))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NAHARSPING</t>
        </is>
      </c>
      <c r="D110" s="31" t="inlineStr">
        <is>
          <t>Nahar Spinning Mills Limited</t>
        </is>
      </c>
      <c r="E110" s="31" t="inlineStr">
        <is>
          <t>textiles</t>
        </is>
      </c>
      <c r="F110" s="31" t="inlineStr">
        <is>
          <t>textiles - cotton/blended</t>
        </is>
      </c>
      <c r="G110" s="31" t="inlineStr">
        <is>
          <t>smallcap</t>
        </is>
      </c>
      <c r="H110" s="32" t="n">
        <v>1014.16</v>
      </c>
      <c r="I110" s="32" t="n">
        <v>277.75</v>
      </c>
      <c r="J110" s="32" t="n">
        <v>-1.23</v>
      </c>
      <c r="K110" s="32" t="n">
        <v>18915</v>
      </c>
      <c r="L110" s="31" t="n">
        <v>39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62.56</v>
      </c>
      <c r="P110" s="32" t="n">
        <v>22.89</v>
      </c>
      <c r="Q110" s="32" t="n">
        <v>219.88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-1.01</v>
      </c>
      <c r="U110" s="32" t="n">
        <v>16.45</v>
      </c>
      <c r="V110" s="32" t="n">
        <v>17.64</v>
      </c>
      <c r="W110" s="32" t="n">
        <v>8.27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Between 12 to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IF(B111=0,"",RANK(B111,$B$2:$B$250,0))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SKYGOLD</t>
        </is>
      </c>
      <c r="D111" s="31" t="inlineStr">
        <is>
          <t>Sky Gold Ltd</t>
        </is>
      </c>
      <c r="E111" s="31" t="inlineStr">
        <is>
          <t>consumer discretionary</t>
        </is>
      </c>
      <c r="F111" s="31" t="inlineStr">
        <is>
          <t>diamond cutting / jewellery</t>
        </is>
      </c>
      <c r="G111" s="31" t="inlineStr">
        <is>
          <t>midcap</t>
        </is>
      </c>
      <c r="H111" s="32" t="n">
        <v>10121.01</v>
      </c>
      <c r="I111" s="32" t="n">
        <v>638.25</v>
      </c>
      <c r="J111" s="32" t="n">
        <v>-2.33</v>
      </c>
      <c r="K111" s="32" t="n">
        <v>1042358</v>
      </c>
      <c r="L111" s="31" t="n">
        <v>87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71.56999999999999</v>
      </c>
      <c r="P111" s="32" t="n">
        <v>57.95</v>
      </c>
      <c r="Q111" s="32" t="n">
        <v>485.2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-1.01</v>
      </c>
      <c r="U111" s="32" t="n">
        <v>132.6</v>
      </c>
      <c r="V111" s="32" t="n">
        <v>134.97</v>
      </c>
      <c r="W111" s="32" t="n">
        <v>28.92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Negative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IF(B112=0,"",RANK(B112,$B$2:$B$250,0))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BODALCHEM</t>
        </is>
      </c>
      <c r="D112" s="31" t="inlineStr">
        <is>
          <t>Bodal Chemicals Limited</t>
        </is>
      </c>
      <c r="E112" s="31" t="inlineStr">
        <is>
          <t>chemicals</t>
        </is>
      </c>
      <c r="F112" s="31" t="inlineStr">
        <is>
          <t>dyes and pigments</t>
        </is>
      </c>
      <c r="G112" s="31" t="inlineStr">
        <is>
          <t>smallcap</t>
        </is>
      </c>
      <c r="H112" s="32" t="n">
        <v>900.88</v>
      </c>
      <c r="I112" s="32" t="n">
        <v>69.81</v>
      </c>
      <c r="J112" s="32" t="n">
        <v>-2.4</v>
      </c>
      <c r="K112" s="32" t="n">
        <v>643099</v>
      </c>
      <c r="L112" s="31" t="n">
        <v>11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57.22</v>
      </c>
      <c r="P112" s="32" t="n">
        <v>38.14</v>
      </c>
      <c r="Q112" s="32" t="n">
        <v>54.5</v>
      </c>
      <c r="R112" s="31" t="inlineStr">
        <is>
          <t>Volume Spike / Accumulation</t>
        </is>
      </c>
      <c r="S112" s="31" t="inlineStr">
        <is>
          <t>Nifty IT</t>
        </is>
      </c>
      <c r="T112" s="32" t="n">
        <v>-9.970000000000001</v>
      </c>
      <c r="U112" s="32" t="n">
        <v>-2.65</v>
      </c>
      <c r="V112" s="32" t="n">
        <v>8.130000000000001</v>
      </c>
      <c r="W112" s="32" t="n">
        <v>2.36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Between 0.7 to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IF(B113=0,"",RANK(B113,$B$2:$B$250,0))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RSWM</t>
        </is>
      </c>
      <c r="D113" s="31" t="inlineStr">
        <is>
          <t>Rswm Limited</t>
        </is>
      </c>
      <c r="E113" s="31" t="inlineStr">
        <is>
          <t>textiles</t>
        </is>
      </c>
      <c r="F113" s="31" t="inlineStr">
        <is>
          <t>textiles - cotton/blended</t>
        </is>
      </c>
      <c r="G113" s="31" t="inlineStr">
        <is>
          <t>smallcap</t>
        </is>
      </c>
      <c r="H113" s="32" t="n">
        <v>1016.03</v>
      </c>
      <c r="I113" s="32" t="n">
        <v>210.54</v>
      </c>
      <c r="J113" s="32" t="n">
        <v>-2.4</v>
      </c>
      <c r="K113" s="32" t="n">
        <v>34001</v>
      </c>
      <c r="L113" s="31" t="n">
        <v>57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66.62</v>
      </c>
      <c r="P113" s="32" t="n">
        <v>37.87</v>
      </c>
      <c r="Q113" s="32" t="n">
        <v>159.39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-1.01</v>
      </c>
      <c r="U113" s="32" t="n">
        <v>37.72</v>
      </c>
      <c r="V113" s="32" t="n">
        <v>39.13</v>
      </c>
      <c r="W113" s="32" t="n">
        <v>12.98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More than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IF(B114=0,"",RANK(B114,$B$2:$B$250,0))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DIACABS</t>
        </is>
      </c>
      <c r="D114" s="31" t="inlineStr">
        <is>
          <t>Diamond Power Infrastructure Ltd</t>
        </is>
      </c>
      <c r="E114" s="31" t="inlineStr">
        <is>
          <t>industrials</t>
        </is>
      </c>
      <c r="F114" s="31" t="inlineStr">
        <is>
          <t>cables - power</t>
        </is>
      </c>
      <c r="G114" s="31" t="inlineStr">
        <is>
          <t>midcap</t>
        </is>
      </c>
      <c r="H114" s="32" t="n">
        <v>17782.64</v>
      </c>
      <c r="I114" s="32" t="n">
        <v>328.5</v>
      </c>
      <c r="J114" s="32" t="n">
        <v>-2.65</v>
      </c>
      <c r="K114" s="32" t="n">
        <v>14136009</v>
      </c>
      <c r="L114" s="31" t="n">
        <v>97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86.36</v>
      </c>
      <c r="P114" s="32" t="n">
        <v>56.84</v>
      </c>
      <c r="Q114" s="32" t="n">
        <v>251.91</v>
      </c>
      <c r="R114" s="31" t="inlineStr">
        <is>
          <t>Near 52W High Breakout</t>
        </is>
      </c>
      <c r="S114" s="31" t="inlineStr">
        <is>
          <t>Nifty Energy</t>
        </is>
      </c>
      <c r="T114" s="32" t="n">
        <v>8.69</v>
      </c>
      <c r="U114" s="32" t="n">
        <v>101.69</v>
      </c>
      <c r="V114" s="32" t="n">
        <v>85.56999999999999</v>
      </c>
      <c r="W114" s="32" t="n">
        <v>42.28</v>
      </c>
      <c r="X114" s="31" t="inlineStr">
        <is>
          <t>Cyclical in an Upturn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Negative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IF(B115=0,"",RANK(B115,$B$2:$B$250,0))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TIRUPATIFL</t>
        </is>
      </c>
      <c r="D115" s="31" t="inlineStr">
        <is>
          <t>Tirupati Forge Ltd</t>
        </is>
      </c>
      <c r="E115" s="31" t="inlineStr">
        <is>
          <t>industrials</t>
        </is>
      </c>
      <c r="F115" s="31" t="inlineStr">
        <is>
          <t>castings &amp; forgings</t>
        </is>
      </c>
      <c r="G115" s="31" t="inlineStr">
        <is>
          <t>smallcap</t>
        </is>
      </c>
      <c r="H115" s="32" t="n">
        <v>945</v>
      </c>
      <c r="I115" s="32" t="n">
        <v>70.41</v>
      </c>
      <c r="J115" s="32" t="n">
        <v>-3.11</v>
      </c>
      <c r="K115" s="32" t="n">
        <v>319824</v>
      </c>
      <c r="L115" s="31" t="n">
        <v>86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74.88</v>
      </c>
      <c r="P115" s="32" t="n">
        <v>39.94</v>
      </c>
      <c r="Q115" s="32" t="n">
        <v>51.25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-1.01</v>
      </c>
      <c r="U115" s="32" t="n">
        <v>81.98999999999999</v>
      </c>
      <c r="V115" s="32" t="n">
        <v>83.84</v>
      </c>
      <c r="W115" s="32" t="n">
        <v>27.65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IF(B116=0,"",RANK(B116,$B$2:$B$250,0))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ORBTEXP</t>
        </is>
      </c>
      <c r="D116" s="31" t="inlineStr">
        <is>
          <t>Orbit Exports Limited</t>
        </is>
      </c>
      <c r="E116" s="31" t="inlineStr">
        <is>
          <t>textiles</t>
        </is>
      </c>
      <c r="F116" s="31" t="inlineStr">
        <is>
          <t>textiles - processing</t>
        </is>
      </c>
      <c r="G116" s="31" t="inlineStr">
        <is>
          <t>smallcap</t>
        </is>
      </c>
      <c r="H116" s="32" t="n">
        <v>645.39</v>
      </c>
      <c r="I116" s="32" t="n">
        <v>234.7</v>
      </c>
      <c r="J116" s="32" t="n">
        <v>-3.59</v>
      </c>
      <c r="K116" s="32" t="n">
        <v>4030</v>
      </c>
      <c r="L116" s="31" t="n">
        <v>56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65.36</v>
      </c>
      <c r="P116" s="32" t="n">
        <v>34.36</v>
      </c>
      <c r="Q116" s="32" t="n">
        <v>173.95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-1.01</v>
      </c>
      <c r="U116" s="32" t="n">
        <v>12.04</v>
      </c>
      <c r="V116" s="32" t="n">
        <v>13.18</v>
      </c>
      <c r="W116" s="32" t="n">
        <v>12.49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IF(B117=0,"",RANK(B117,$B$2:$B$250,0))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KILITCH</t>
        </is>
      </c>
      <c r="D117" s="33" t="inlineStr">
        <is>
          <t>Kilitch Drugs (india) Limited</t>
        </is>
      </c>
      <c r="E117" s="31" t="inlineStr">
        <is>
          <t>healthcare</t>
        </is>
      </c>
      <c r="F117" s="31" t="inlineStr">
        <is>
          <t>pharmaceuticals - indian - formulations</t>
        </is>
      </c>
      <c r="G117" s="31" t="inlineStr">
        <is>
          <t>smallcap</t>
        </is>
      </c>
      <c r="H117" s="32" t="n">
        <v>650.98</v>
      </c>
      <c r="I117" s="32" t="n">
        <v>190.58</v>
      </c>
      <c r="J117" s="32" t="n">
        <v>2.35</v>
      </c>
      <c r="K117" s="32" t="n">
        <v>28634</v>
      </c>
      <c r="L117" s="31" t="n">
        <v>12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59.4</v>
      </c>
      <c r="P117" s="32" t="n">
        <v>27.11</v>
      </c>
      <c r="Q117" s="32" t="n">
        <v>132.03</v>
      </c>
      <c r="R117" s="31" t="inlineStr">
        <is>
          <t>Earnings / Momentum Support</t>
        </is>
      </c>
      <c r="S117" s="31" t="inlineStr">
        <is>
          <t>Nifty Pharma</t>
        </is>
      </c>
      <c r="T117" s="32" t="n">
        <v>19.69</v>
      </c>
      <c r="U117" s="32" t="n">
        <v>-14.35</v>
      </c>
      <c r="V117" s="32" t="n">
        <v>-28.44</v>
      </c>
      <c r="W117" s="32" t="n">
        <v>2.65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Between 50% to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IF(B118=0,"",RANK(B118,$B$2:$B$250,0))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TATATECH</t>
        </is>
      </c>
      <c r="D118" s="31" t="inlineStr">
        <is>
          <t>Tata Technologies Ltd</t>
        </is>
      </c>
      <c r="E118" s="31" t="inlineStr">
        <is>
          <t>i.t</t>
        </is>
      </c>
      <c r="F118" s="31" t="inlineStr">
        <is>
          <t>computers - software - medium / small</t>
        </is>
      </c>
      <c r="G118" s="31" t="inlineStr">
        <is>
          <t>largecap</t>
        </is>
      </c>
      <c r="H118" s="32" t="n">
        <v>30145.29</v>
      </c>
      <c r="I118" s="32" t="n">
        <v>751.35</v>
      </c>
      <c r="J118" s="32" t="n">
        <v>1.21</v>
      </c>
      <c r="K118" s="32" t="n">
        <v>2602699</v>
      </c>
      <c r="L118" s="31" t="n">
        <v>42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62.3</v>
      </c>
      <c r="P118" s="32" t="n">
        <v>29</v>
      </c>
      <c r="Q118" s="32" t="n">
        <v>600.54</v>
      </c>
      <c r="R118" s="31" t="inlineStr">
        <is>
          <t>Near 52W High Breakout</t>
        </is>
      </c>
      <c r="S118" s="31" t="inlineStr">
        <is>
          <t>Nifty IT</t>
        </is>
      </c>
      <c r="T118" s="32" t="n">
        <v>-9.970000000000001</v>
      </c>
      <c r="U118" s="32" t="n">
        <v>9.94</v>
      </c>
      <c r="V118" s="32" t="n">
        <v>22.12</v>
      </c>
      <c r="W118" s="32" t="n">
        <v>9.1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IF(B119=0,"",RANK(B119,$B$2:$B$250,0))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HNDFDS</t>
        </is>
      </c>
      <c r="D119" s="31" t="inlineStr">
        <is>
          <t>Hindustan Foods Ltd</t>
        </is>
      </c>
      <c r="E119" s="31" t="inlineStr">
        <is>
          <t>fmcg</t>
        </is>
      </c>
      <c r="F119" s="31" t="inlineStr">
        <is>
          <t>diversified - large</t>
        </is>
      </c>
      <c r="G119" s="31" t="inlineStr">
        <is>
          <t>midcap</t>
        </is>
      </c>
      <c r="H119" s="32" t="n">
        <v>6882.04</v>
      </c>
      <c r="I119" s="32" t="n">
        <v>574.05</v>
      </c>
      <c r="J119" s="32" t="n">
        <v>1.07</v>
      </c>
      <c r="K119" s="32" t="n">
        <v>60019</v>
      </c>
      <c r="L119" s="31" t="n">
        <v>22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61.95</v>
      </c>
      <c r="P119" s="32" t="n">
        <v>34.03</v>
      </c>
      <c r="Q119" s="32" t="n">
        <v>479.6</v>
      </c>
      <c r="R119" s="31" t="inlineStr">
        <is>
          <t>Near 52W High Breakout</t>
        </is>
      </c>
      <c r="S119" s="31" t="inlineStr">
        <is>
          <t>Nifty FMCG</t>
        </is>
      </c>
      <c r="T119" s="32" t="n">
        <v>-9.050000000000001</v>
      </c>
      <c r="U119" s="32" t="n">
        <v>4.61</v>
      </c>
      <c r="V119" s="32" t="n">
        <v>15.02</v>
      </c>
      <c r="W119" s="32" t="n">
        <v>5.08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B2C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Less than 50%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IF(B120=0,"",RANK(B120,$B$2:$B$250,0))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HMVL</t>
        </is>
      </c>
      <c r="D120" s="31" t="inlineStr">
        <is>
          <t>Hindustan Media Ventures Limited</t>
        </is>
      </c>
      <c r="E120" s="31" t="inlineStr">
        <is>
          <t>media</t>
        </is>
      </c>
      <c r="F120" s="31" t="inlineStr">
        <is>
          <t>entertainment / electronic media software</t>
        </is>
      </c>
      <c r="G120" s="31" t="inlineStr">
        <is>
          <t>smallcap</t>
        </is>
      </c>
      <c r="H120" s="32" t="n">
        <v>699.8099999999999</v>
      </c>
      <c r="I120" s="32" t="n">
        <v>95.08</v>
      </c>
      <c r="J120" s="32" t="n">
        <v>0.09</v>
      </c>
      <c r="K120" s="32" t="n">
        <v>27314</v>
      </c>
      <c r="L120" s="31" t="n">
        <v>53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72.12</v>
      </c>
      <c r="P120" s="32" t="n">
        <v>31.89</v>
      </c>
      <c r="Q120" s="32" t="n">
        <v>74.72</v>
      </c>
      <c r="R120" s="31" t="inlineStr">
        <is>
          <t>Near 52W High Breakout</t>
        </is>
      </c>
      <c r="S120" s="31" t="inlineStr">
        <is>
          <t>Nifty IT</t>
        </is>
      </c>
      <c r="T120" s="32" t="n">
        <v>-9.970000000000001</v>
      </c>
      <c r="U120" s="32" t="n">
        <v>6.93</v>
      </c>
      <c r="V120" s="32" t="n">
        <v>18.77</v>
      </c>
      <c r="W120" s="32" t="n">
        <v>11.95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Between 50% to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IF(B121=0,"",RANK(B121,$B$2:$B$250,0))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BALRAMCHIN</t>
        </is>
      </c>
      <c r="D121" s="31" t="inlineStr">
        <is>
          <t>Balrampur Chini Mills Limited</t>
        </is>
      </c>
      <c r="E121" s="31" t="inlineStr">
        <is>
          <t>fmcg</t>
        </is>
      </c>
      <c r="F121" s="31" t="inlineStr">
        <is>
          <t>sugar</t>
        </is>
      </c>
      <c r="G121" s="31" t="inlineStr">
        <is>
          <t>midcap</t>
        </is>
      </c>
      <c r="H121" s="32" t="n">
        <v>12809.13</v>
      </c>
      <c r="I121" s="32" t="n">
        <v>596.3</v>
      </c>
      <c r="J121" s="32" t="n">
        <v>-1.65</v>
      </c>
      <c r="K121" s="32" t="n">
        <v>236918</v>
      </c>
      <c r="L121" s="31" t="n">
        <v>21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69.48999999999999</v>
      </c>
      <c r="P121" s="32" t="n">
        <v>38.36</v>
      </c>
      <c r="Q121" s="32" t="n">
        <v>502.81</v>
      </c>
      <c r="R121" s="31" t="inlineStr">
        <is>
          <t>Near 52W High Breakout</t>
        </is>
      </c>
      <c r="S121" s="31" t="inlineStr">
        <is>
          <t>Nifty FMCG</t>
        </is>
      </c>
      <c r="T121" s="32" t="n">
        <v>-9.050000000000001</v>
      </c>
      <c r="U121" s="32" t="n">
        <v>1.97</v>
      </c>
      <c r="V121" s="32" t="n">
        <v>12.11</v>
      </c>
      <c r="W121" s="32" t="n">
        <v>4.89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B2C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IF(B122=0,"",RANK(B122,$B$2:$B$250,0))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SICALLOG</t>
        </is>
      </c>
      <c r="D122" s="31" t="inlineStr">
        <is>
          <t>Sical Logistics Ltd</t>
        </is>
      </c>
      <c r="E122" s="31" t="inlineStr">
        <is>
          <t>transportation</t>
        </is>
      </c>
      <c r="F122" s="31" t="inlineStr">
        <is>
          <t>miscellaneous</t>
        </is>
      </c>
      <c r="G122" s="31" t="inlineStr">
        <is>
          <t>smallcap</t>
        </is>
      </c>
      <c r="H122" s="32" t="n">
        <v>889.6</v>
      </c>
      <c r="I122" s="32" t="n">
        <v>117.07</v>
      </c>
      <c r="J122" s="32" t="n">
        <v>5</v>
      </c>
      <c r="K122" s="32" t="n">
        <v>101791</v>
      </c>
      <c r="L122" s="31" t="n">
        <v>79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74.48</v>
      </c>
      <c r="P122" s="32" t="n">
        <v>27.01</v>
      </c>
      <c r="Q122" s="32" t="n">
        <v>89.13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-1.01</v>
      </c>
      <c r="U122" s="32" t="n">
        <v>6.2</v>
      </c>
      <c r="V122" s="32" t="n">
        <v>7.28</v>
      </c>
      <c r="W122" s="32" t="n">
        <v>22.74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More than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IF(B123=0,"",RANK(B123,$B$2:$B$250,0))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AVALON</t>
        </is>
      </c>
      <c r="D123" s="31" t="inlineStr">
        <is>
          <t>Avalon Technologies Ltd</t>
        </is>
      </c>
      <c r="E123" s="31" t="inlineStr">
        <is>
          <t>consumer discretionary</t>
        </is>
      </c>
      <c r="F123" s="31" t="inlineStr">
        <is>
          <t>electronics - components</t>
        </is>
      </c>
      <c r="G123" s="31" t="inlineStr">
        <is>
          <t>midcap</t>
        </is>
      </c>
      <c r="H123" s="32" t="n">
        <v>11206.34</v>
      </c>
      <c r="I123" s="32" t="n">
        <v>1759.5</v>
      </c>
      <c r="J123" s="32" t="n">
        <v>4.9</v>
      </c>
      <c r="K123" s="32" t="n">
        <v>813684</v>
      </c>
      <c r="L123" s="31" t="n">
        <v>92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74.16</v>
      </c>
      <c r="P123" s="32" t="n">
        <v>56.38</v>
      </c>
      <c r="Q123" s="32" t="n">
        <v>1345.05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-1.01</v>
      </c>
      <c r="U123" s="32" t="n">
        <v>105.56</v>
      </c>
      <c r="V123" s="32" t="n">
        <v>107.66</v>
      </c>
      <c r="W123" s="32" t="n">
        <v>33.29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Between 1.5 to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IF(B124=0,"",RANK(B124,$B$2:$B$250,0))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DREDGECORP</t>
        </is>
      </c>
      <c r="D124" s="31" t="inlineStr">
        <is>
          <t>Dredging Corporation Of India Limited</t>
        </is>
      </c>
      <c r="E124" s="31" t="inlineStr">
        <is>
          <t>miscellaneous</t>
        </is>
      </c>
      <c r="F124" s="31" t="inlineStr">
        <is>
          <t>miscellaneous</t>
        </is>
      </c>
      <c r="G124" s="31" t="inlineStr">
        <is>
          <t>smallcap</t>
        </is>
      </c>
      <c r="H124" s="32" t="n">
        <v>3086.72</v>
      </c>
      <c r="I124" s="32" t="n">
        <v>1120</v>
      </c>
      <c r="J124" s="32" t="n">
        <v>1.6</v>
      </c>
      <c r="K124" s="32" t="n">
        <v>218460</v>
      </c>
      <c r="L124" s="31" t="n">
        <v>67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58.3</v>
      </c>
      <c r="P124" s="32" t="n">
        <v>39.28</v>
      </c>
      <c r="Q124" s="32" t="n">
        <v>814.33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-1.01</v>
      </c>
      <c r="U124" s="32" t="n">
        <v>69.43000000000001</v>
      </c>
      <c r="V124" s="32" t="n">
        <v>71.16</v>
      </c>
      <c r="W124" s="32" t="n">
        <v>16.56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Between 50% to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IF(B125=0,"",RANK(B125,$B$2:$B$250,0))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CENTURYPLY</t>
        </is>
      </c>
      <c r="D125" s="31" t="inlineStr">
        <is>
          <t>Century Plyboards (india) Limited</t>
        </is>
      </c>
      <c r="E125" s="31" t="inlineStr">
        <is>
          <t>building materials</t>
        </is>
      </c>
      <c r="F125" s="31" t="inlineStr">
        <is>
          <t>miscellaneous</t>
        </is>
      </c>
      <c r="G125" s="31" t="inlineStr">
        <is>
          <t>midcap</t>
        </is>
      </c>
      <c r="H125" s="32" t="n">
        <v>17391.7</v>
      </c>
      <c r="I125" s="32" t="n">
        <v>793.75</v>
      </c>
      <c r="J125" s="32" t="n">
        <v>1.4</v>
      </c>
      <c r="K125" s="32" t="n">
        <v>22233</v>
      </c>
      <c r="L125" s="31" t="n">
        <v>8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56.24</v>
      </c>
      <c r="P125" s="32" t="n">
        <v>21.34</v>
      </c>
      <c r="Q125" s="32" t="n">
        <v>651.02</v>
      </c>
      <c r="R125" s="31" t="inlineStr">
        <is>
          <t>Earnings / Momentum Support</t>
        </is>
      </c>
      <c r="S125" s="31" t="inlineStr">
        <is>
          <t>Nifty Infra</t>
        </is>
      </c>
      <c r="T125" s="32" t="n">
        <v>3.07</v>
      </c>
      <c r="U125" s="32" t="n">
        <v>6.96</v>
      </c>
      <c r="V125" s="32" t="n">
        <v>3.77</v>
      </c>
      <c r="W125" s="32" t="n">
        <v>1.68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IF(B126=0,"",RANK(B126,$B$2:$B$250,0))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SUPRAJIT</t>
        </is>
      </c>
      <c r="D126" s="33" t="inlineStr">
        <is>
          <t>Suprajit Engineering Limited</t>
        </is>
      </c>
      <c r="E126" s="31" t="inlineStr">
        <is>
          <t>auto</t>
        </is>
      </c>
      <c r="F126" s="31" t="inlineStr">
        <is>
          <t>auto ancillaries</t>
        </is>
      </c>
      <c r="G126" s="31" t="inlineStr">
        <is>
          <t>midcap</t>
        </is>
      </c>
      <c r="H126" s="32" t="n">
        <v>6769.4</v>
      </c>
      <c r="I126" s="32" t="n">
        <v>499.45</v>
      </c>
      <c r="J126" s="32" t="n">
        <v>1.21</v>
      </c>
      <c r="K126" s="32" t="n">
        <v>120923</v>
      </c>
      <c r="L126" s="31" t="n">
        <v>26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60.26</v>
      </c>
      <c r="P126" s="32" t="n">
        <v>37.53</v>
      </c>
      <c r="Q126" s="32" t="n">
        <v>410.52</v>
      </c>
      <c r="R126" s="31" t="inlineStr">
        <is>
          <t>Near 52W High Breakout</t>
        </is>
      </c>
      <c r="S126" s="31" t="inlineStr">
        <is>
          <t>Nifty Auto</t>
        </is>
      </c>
      <c r="T126" s="32" t="n">
        <v>18.91</v>
      </c>
      <c r="U126" s="32" t="n">
        <v>7.83</v>
      </c>
      <c r="V126" s="32" t="n">
        <v>-9.32</v>
      </c>
      <c r="W126" s="32" t="n">
        <v>5.86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Less than 50%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IF(B127=0,"",RANK(B127,$B$2:$B$250,0))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JINDWORLD</t>
        </is>
      </c>
      <c r="D127" s="33" t="inlineStr">
        <is>
          <t>Jindal Worldwide Limited</t>
        </is>
      </c>
      <c r="E127" s="31" t="inlineStr">
        <is>
          <t>textiles</t>
        </is>
      </c>
      <c r="F127" s="31" t="inlineStr">
        <is>
          <t>textiles - products</t>
        </is>
      </c>
      <c r="G127" s="31" t="inlineStr">
        <is>
          <t>smallcap</t>
        </is>
      </c>
      <c r="H127" s="32" t="n">
        <v>3825.93</v>
      </c>
      <c r="I127" s="32" t="n">
        <v>38.51</v>
      </c>
      <c r="J127" s="32" t="n">
        <v>0.92</v>
      </c>
      <c r="K127" s="32" t="n">
        <v>6977339</v>
      </c>
      <c r="L127" s="31" t="n">
        <v>54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67.81999999999999</v>
      </c>
      <c r="P127" s="32" t="n">
        <v>27.67</v>
      </c>
      <c r="Q127" s="32" t="n">
        <v>26.53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-1.01</v>
      </c>
      <c r="U127" s="32" t="n">
        <v>-2.6</v>
      </c>
      <c r="V127" s="32" t="n">
        <v>-1.61</v>
      </c>
      <c r="W127" s="32" t="n">
        <v>12.34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IF(B128=0,"",RANK(B128,$B$2:$B$250,0))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MAHLIFE</t>
        </is>
      </c>
      <c r="D128" s="31" t="inlineStr">
        <is>
          <t>Mahindra Lifespace Developers Limited</t>
        </is>
      </c>
      <c r="E128" s="31" t="inlineStr">
        <is>
          <t>realty</t>
        </is>
      </c>
      <c r="F128" s="31" t="inlineStr">
        <is>
          <t>construction</t>
        </is>
      </c>
      <c r="G128" s="31" t="inlineStr">
        <is>
          <t>midcap</t>
        </is>
      </c>
      <c r="H128" s="32" t="n">
        <v>8263.83</v>
      </c>
      <c r="I128" s="32" t="n">
        <v>385.4</v>
      </c>
      <c r="J128" s="32" t="n">
        <v>-0.5</v>
      </c>
      <c r="K128" s="32" t="n">
        <v>72952</v>
      </c>
      <c r="L128" s="31" t="n">
        <v>28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61.13</v>
      </c>
      <c r="P128" s="32" t="n">
        <v>12.34</v>
      </c>
      <c r="Q128" s="32" t="n">
        <v>312.97</v>
      </c>
      <c r="R128" s="31" t="inlineStr">
        <is>
          <t>Earnings / Momentum Support</t>
        </is>
      </c>
      <c r="S128" s="31" t="inlineStr">
        <is>
          <t>Nifty Realty</t>
        </is>
      </c>
      <c r="T128" s="32" t="n">
        <v>-5.38</v>
      </c>
      <c r="U128" s="32" t="n">
        <v>5.15</v>
      </c>
      <c r="V128" s="32" t="n">
        <v>11.12</v>
      </c>
      <c r="W128" s="32" t="n">
        <v>6.11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0 to 20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IF(B129=0,"",RANK(B129,$B$2:$B$250,0))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PNGJL</t>
        </is>
      </c>
      <c r="D129" s="31" t="inlineStr">
        <is>
          <t>P N Gadgil Jewellers Ltd</t>
        </is>
      </c>
      <c r="E129" s="31" t="inlineStr">
        <is>
          <t>consumer discretionary</t>
        </is>
      </c>
      <c r="F129" s="31" t="inlineStr">
        <is>
          <t>diamond cutting / jewellery</t>
        </is>
      </c>
      <c r="G129" s="31" t="inlineStr">
        <is>
          <t>midcap</t>
        </is>
      </c>
      <c r="H129" s="32" t="n">
        <v>9094.49</v>
      </c>
      <c r="I129" s="32" t="n">
        <v>666.15</v>
      </c>
      <c r="J129" s="32" t="n">
        <v>-0.6</v>
      </c>
      <c r="K129" s="32" t="n">
        <v>970169</v>
      </c>
      <c r="L129" s="31" t="n">
        <v>17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59.99</v>
      </c>
      <c r="P129" s="32" t="n">
        <v>12.37</v>
      </c>
      <c r="Q129" s="32" t="n">
        <v>572.4400000000001</v>
      </c>
      <c r="R129" s="31" t="inlineStr">
        <is>
          <t>Volume Spike / Accumulation</t>
        </is>
      </c>
      <c r="S129" s="31" t="inlineStr">
        <is>
          <t>Nifty 50</t>
        </is>
      </c>
      <c r="T129" s="32" t="n">
        <v>-1.01</v>
      </c>
      <c r="U129" s="32" t="n">
        <v>15.14</v>
      </c>
      <c r="V129" s="32" t="n">
        <v>16.32</v>
      </c>
      <c r="W129" s="32" t="n">
        <v>3.92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IF(B130=0,"",RANK(B130,$B$2:$B$250,0))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AEGISVOPAK</t>
        </is>
      </c>
      <c r="D130" s="31" t="inlineStr">
        <is>
          <t>Aegis Vopak Terminals Ltd</t>
        </is>
      </c>
      <c r="E130" s="31" t="inlineStr">
        <is>
          <t>transportation</t>
        </is>
      </c>
      <c r="F130" s="31" t="inlineStr">
        <is>
          <t>miscellaneous</t>
        </is>
      </c>
      <c r="G130" s="31" t="inlineStr">
        <is>
          <t>largecap</t>
        </is>
      </c>
      <c r="H130" s="32" t="n">
        <v>32731.18</v>
      </c>
      <c r="I130" s="32" t="n">
        <v>292.3</v>
      </c>
      <c r="J130" s="32" t="n">
        <v>-1.05</v>
      </c>
      <c r="K130" s="32" t="n">
        <v>658184</v>
      </c>
      <c r="L130" s="31" t="n">
        <v>75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65.17</v>
      </c>
      <c r="P130" s="32" t="n">
        <v>29.27</v>
      </c>
      <c r="Q130" s="32" t="n">
        <v>211.92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-1.01</v>
      </c>
      <c r="U130" s="32" t="n">
        <v>27.78</v>
      </c>
      <c r="V130" s="32" t="n">
        <v>29.08</v>
      </c>
      <c r="W130" s="32" t="n">
        <v>19.06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Between 12 to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Between 0.7 to 1.2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IF(B131=0,"",RANK(B131,$B$2:$B$250,0))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3" t="inlineStr">
        <is>
          <t>VSSL</t>
        </is>
      </c>
      <c r="D131" s="33" t="inlineStr">
        <is>
          <t>Vardhman Special Steels Limited</t>
        </is>
      </c>
      <c r="E131" s="31" t="inlineStr">
        <is>
          <t>metals &amp; mining</t>
        </is>
      </c>
      <c r="F131" s="31" t="inlineStr">
        <is>
          <t>steel - medium / small</t>
        </is>
      </c>
      <c r="G131" s="31" t="inlineStr">
        <is>
          <t>smallcap</t>
        </is>
      </c>
      <c r="H131" s="32" t="n">
        <v>2960.03</v>
      </c>
      <c r="I131" s="32" t="n">
        <v>300.1</v>
      </c>
      <c r="J131" s="32" t="n">
        <v>-1.98</v>
      </c>
      <c r="K131" s="32" t="n">
        <v>74609</v>
      </c>
      <c r="L131" s="31" t="n">
        <v>32</v>
      </c>
      <c r="M131" s="31" t="inlineStr">
        <is>
          <t>Underperforming</t>
        </is>
      </c>
      <c r="N131" s="32">
        <f>IF(M131="Underperforming",-5,IF(L131&gt;=95,15,IF(L131&gt;=90,10,IF(L131&gt;=80,5,0))))</f>
        <v/>
      </c>
      <c r="O131" s="32" t="n">
        <v>63.75</v>
      </c>
      <c r="P131" s="32" t="n">
        <v>21.44</v>
      </c>
      <c r="Q131" s="32" t="n">
        <v>236.83</v>
      </c>
      <c r="R131" s="31" t="inlineStr">
        <is>
          <t>Near 52W High Breakout</t>
        </is>
      </c>
      <c r="S131" s="31" t="inlineStr">
        <is>
          <t>Nifty Metal</t>
        </is>
      </c>
      <c r="T131" s="32" t="n">
        <v>34.77</v>
      </c>
      <c r="U131" s="32" t="n">
        <v>17.6</v>
      </c>
      <c r="V131" s="32" t="n">
        <v>-12.73</v>
      </c>
      <c r="W131" s="32" t="n">
        <v>6.92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Cyclical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Volatile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IF(B132=0,"",RANK(B132,$B$2:$B$250,0))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LODHA</t>
        </is>
      </c>
      <c r="D132" s="31" t="inlineStr">
        <is>
          <t>Lodha Developers Ltd</t>
        </is>
      </c>
      <c r="E132" s="31" t="inlineStr">
        <is>
          <t>realty</t>
        </is>
      </c>
      <c r="F132" s="31" t="inlineStr">
        <is>
          <t>construction</t>
        </is>
      </c>
      <c r="G132" s="31" t="inlineStr">
        <is>
          <t>largecap</t>
        </is>
      </c>
      <c r="H132" s="32" t="n">
        <v>131515.79</v>
      </c>
      <c r="I132" s="32" t="n">
        <v>1287.15</v>
      </c>
      <c r="J132" s="32" t="n">
        <v>-2.22</v>
      </c>
      <c r="K132" s="32" t="n">
        <v>3725269</v>
      </c>
      <c r="L132" s="31" t="n">
        <v>58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66.36</v>
      </c>
      <c r="P132" s="32" t="n">
        <v>16.04</v>
      </c>
      <c r="Q132" s="32" t="n">
        <v>998.35</v>
      </c>
      <c r="R132" s="31" t="inlineStr">
        <is>
          <t>Volume Spike &amp; Near 52W High Breakout</t>
        </is>
      </c>
      <c r="S132" s="31" t="inlineStr">
        <is>
          <t>Nifty Realty</t>
        </is>
      </c>
      <c r="T132" s="32" t="n">
        <v>-5.38</v>
      </c>
      <c r="U132" s="32" t="n">
        <v>0.9399999999999999</v>
      </c>
      <c r="V132" s="32" t="n">
        <v>6.67</v>
      </c>
      <c r="W132" s="32" t="n">
        <v>13.67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0 to 20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IF(B133=0,"",RANK(B133,$B$2:$B$250,0))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OAL</t>
        </is>
      </c>
      <c r="D133" s="31" t="inlineStr">
        <is>
          <t>Oriental Aromatics Ltd</t>
        </is>
      </c>
      <c r="E133" s="31" t="inlineStr">
        <is>
          <t>chemicals</t>
        </is>
      </c>
      <c r="F133" s="31" t="inlineStr">
        <is>
          <t>chemicals</t>
        </is>
      </c>
      <c r="G133" s="31" t="inlineStr">
        <is>
          <t>smallcap</t>
        </is>
      </c>
      <c r="H133" s="32" t="n">
        <v>1340.93</v>
      </c>
      <c r="I133" s="32" t="n">
        <v>380.85</v>
      </c>
      <c r="J133" s="32" t="n">
        <v>-4.42</v>
      </c>
      <c r="K133" s="32" t="n">
        <v>37957</v>
      </c>
      <c r="L133" s="31" t="n">
        <v>29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66.76000000000001</v>
      </c>
      <c r="P133" s="32" t="n">
        <v>25.21</v>
      </c>
      <c r="Q133" s="32" t="n">
        <v>282.9</v>
      </c>
      <c r="R133" s="31" t="inlineStr">
        <is>
          <t>Volume Spike &amp; Near 52W High Breakout</t>
        </is>
      </c>
      <c r="S133" s="31" t="inlineStr">
        <is>
          <t>Nifty 50</t>
        </is>
      </c>
      <c r="T133" s="32" t="n">
        <v>-1.01</v>
      </c>
      <c r="U133" s="32" t="n">
        <v>3.18</v>
      </c>
      <c r="V133" s="32" t="n">
        <v>4.23</v>
      </c>
      <c r="W133" s="32" t="n">
        <v>6.35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IF(B134=0,"",RANK(B134,$B$2:$B$250,0))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ALKEM</t>
        </is>
      </c>
      <c r="D134" s="31" t="inlineStr">
        <is>
          <t>Alkem Laboratories Limited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largecap</t>
        </is>
      </c>
      <c r="H134" s="32" t="n">
        <v>67823.25</v>
      </c>
      <c r="I134" s="32" t="n">
        <v>5816.5</v>
      </c>
      <c r="J134" s="32" t="n">
        <v>2.54</v>
      </c>
      <c r="K134" s="32" t="n">
        <v>301501</v>
      </c>
      <c r="L134" s="31" t="n">
        <v>24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60.29</v>
      </c>
      <c r="P134" s="32" t="n">
        <v>21.05</v>
      </c>
      <c r="Q134" s="32" t="n">
        <v>5013.06</v>
      </c>
      <c r="R134" s="31" t="inlineStr">
        <is>
          <t>Near 52W High Breakout</t>
        </is>
      </c>
      <c r="S134" s="31" t="inlineStr">
        <is>
          <t>Nifty Pharma</t>
        </is>
      </c>
      <c r="T134" s="32" t="n">
        <v>19.69</v>
      </c>
      <c r="U134" s="32" t="n">
        <v>19.88</v>
      </c>
      <c r="V134" s="32" t="n">
        <v>0.16</v>
      </c>
      <c r="W134" s="32" t="n">
        <v>5.38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Between 50% to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IF(B135=0,"",RANK(B135,$B$2:$B$250,0))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DIVISLAB</t>
        </is>
      </c>
      <c r="D135" s="31" t="inlineStr">
        <is>
          <t>Divi's Laboratories Limited</t>
        </is>
      </c>
      <c r="E135" s="31" t="inlineStr">
        <is>
          <t>healthcare</t>
        </is>
      </c>
      <c r="F135" s="31" t="inlineStr">
        <is>
          <t>pharmaceuticals - indian - bulk drugs</t>
        </is>
      </c>
      <c r="G135" s="31" t="inlineStr">
        <is>
          <t>largecap</t>
        </is>
      </c>
      <c r="H135" s="32" t="n">
        <v>206654.02</v>
      </c>
      <c r="I135" s="32" t="n">
        <v>7835</v>
      </c>
      <c r="J135" s="32" t="n">
        <v>0.65</v>
      </c>
      <c r="K135" s="32" t="n">
        <v>651446</v>
      </c>
      <c r="L135" s="31" t="n">
        <v>41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78.45999999999999</v>
      </c>
      <c r="P135" s="32" t="n">
        <v>24.11</v>
      </c>
      <c r="Q135" s="32" t="n">
        <v>6799.7</v>
      </c>
      <c r="R135" s="31" t="inlineStr">
        <is>
          <t>Near 52W High Breakout</t>
        </is>
      </c>
      <c r="S135" s="31" t="inlineStr">
        <is>
          <t>Nifty Pharma</t>
        </is>
      </c>
      <c r="T135" s="32" t="n">
        <v>19.69</v>
      </c>
      <c r="U135" s="32" t="n">
        <v>23.67</v>
      </c>
      <c r="V135" s="32" t="n">
        <v>3.32</v>
      </c>
      <c r="W135" s="32" t="n">
        <v>9.029999999999999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Between 12 to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IF(B136=0,"",RANK(B136,$B$2:$B$250,0))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PPLPHARMA</t>
        </is>
      </c>
      <c r="D136" s="33" t="inlineStr">
        <is>
          <t>Piramal Pharma Ltd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largecap</t>
        </is>
      </c>
      <c r="H136" s="32" t="n">
        <v>26051.82</v>
      </c>
      <c r="I136" s="32" t="n">
        <v>196.72</v>
      </c>
      <c r="J136" s="32" t="n">
        <v>0.53</v>
      </c>
      <c r="K136" s="32" t="n">
        <v>22171172</v>
      </c>
      <c r="L136" s="31" t="n">
        <v>28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66.38</v>
      </c>
      <c r="P136" s="32" t="n">
        <v>20.41</v>
      </c>
      <c r="Q136" s="32" t="n">
        <v>154.35</v>
      </c>
      <c r="R136" s="31" t="inlineStr">
        <is>
          <t>Earnings / Momentum Support</t>
        </is>
      </c>
      <c r="S136" s="31" t="inlineStr">
        <is>
          <t>Nifty Pharma</t>
        </is>
      </c>
      <c r="T136" s="32" t="n">
        <v>19.69</v>
      </c>
      <c r="U136" s="32" t="n">
        <v>3.18</v>
      </c>
      <c r="V136" s="32" t="n">
        <v>-13.79</v>
      </c>
      <c r="W136" s="32" t="n">
        <v>6.09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IF(B137=0,"",RANK(B137,$B$2:$B$250,0))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MEDANTA</t>
        </is>
      </c>
      <c r="D137" s="33" t="inlineStr">
        <is>
          <t>Global Health Ltd</t>
        </is>
      </c>
      <c r="E137" s="31" t="inlineStr">
        <is>
          <t>healthcare</t>
        </is>
      </c>
      <c r="F137" s="31" t="inlineStr">
        <is>
          <t>healthcare</t>
        </is>
      </c>
      <c r="G137" s="31" t="inlineStr">
        <is>
          <t>largecap</t>
        </is>
      </c>
      <c r="H137" s="32" t="n">
        <v>38526.64</v>
      </c>
      <c r="I137" s="32" t="n">
        <v>1416.4</v>
      </c>
      <c r="J137" s="32" t="n">
        <v>-1.15</v>
      </c>
      <c r="K137" s="32" t="n">
        <v>234633</v>
      </c>
      <c r="L137" s="31" t="n">
        <v>35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69.39</v>
      </c>
      <c r="P137" s="32" t="n">
        <v>16.51</v>
      </c>
      <c r="Q137" s="32" t="n">
        <v>1192.48</v>
      </c>
      <c r="R137" s="31" t="inlineStr">
        <is>
          <t>Near 52W High Breakout</t>
        </is>
      </c>
      <c r="S137" s="31" t="inlineStr">
        <is>
          <t>Nifty Pharma</t>
        </is>
      </c>
      <c r="T137" s="32" t="n">
        <v>19.69</v>
      </c>
      <c r="U137" s="32" t="n">
        <v>5.94</v>
      </c>
      <c r="V137" s="32" t="n">
        <v>-11.49</v>
      </c>
      <c r="W137" s="32" t="n">
        <v>7.36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IF(B138=0,"",RANK(B138,$B$2:$B$250,0))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3" t="inlineStr">
        <is>
          <t>ARE&amp;M</t>
        </is>
      </c>
      <c r="D138" s="33" t="inlineStr">
        <is>
          <t>Amara Raja Energy &amp; Mobility Ltd</t>
        </is>
      </c>
      <c r="E138" s="31" t="inlineStr">
        <is>
          <t>auto</t>
        </is>
      </c>
      <c r="F138" s="31" t="inlineStr">
        <is>
          <t>auto ancillaries</t>
        </is>
      </c>
      <c r="G138" s="31" t="inlineStr">
        <is>
          <t>midcap</t>
        </is>
      </c>
      <c r="H138" s="32" t="n">
        <v>16159.31</v>
      </c>
      <c r="I138" s="32" t="n">
        <v>906.85</v>
      </c>
      <c r="J138" s="32" t="n">
        <v>2.71</v>
      </c>
      <c r="K138" s="32" t="n">
        <v>1646673</v>
      </c>
      <c r="L138" s="31" t="n">
        <v>3</v>
      </c>
      <c r="M138" s="31" t="inlineStr">
        <is>
          <t>Underperforming</t>
        </is>
      </c>
      <c r="N138" s="32">
        <f>IF(M138="Underperforming",-5,IF(L138&gt;=95,15,IF(L138&gt;=90,10,IF(L138&gt;=80,5,0))))</f>
        <v/>
      </c>
      <c r="O138" s="32" t="n">
        <v>56.55</v>
      </c>
      <c r="P138" s="32" t="n">
        <v>12.52</v>
      </c>
      <c r="Q138" s="32" t="n">
        <v>736.5700000000001</v>
      </c>
      <c r="R138" s="31" t="inlineStr">
        <is>
          <t>Earnings / Momentum Support</t>
        </is>
      </c>
      <c r="S138" s="31" t="inlineStr">
        <is>
          <t>Nifty Auto</t>
        </is>
      </c>
      <c r="T138" s="32" t="n">
        <v>18.91</v>
      </c>
      <c r="U138" s="32" t="n">
        <v>-7.27</v>
      </c>
      <c r="V138" s="32" t="n">
        <v>-22.02</v>
      </c>
      <c r="W138" s="32" t="n">
        <v>-0.44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IF(B139=0,"",RANK(B139,$B$2:$B$250,0))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TBZ</t>
        </is>
      </c>
      <c r="D139" s="31" t="inlineStr">
        <is>
          <t>Tribhovandas Bhimji Zaveri Limited</t>
        </is>
      </c>
      <c r="E139" s="31" t="inlineStr">
        <is>
          <t>consumer discretionary</t>
        </is>
      </c>
      <c r="F139" s="31" t="inlineStr">
        <is>
          <t>diamond cutting / jewellery</t>
        </is>
      </c>
      <c r="G139" s="31" t="inlineStr">
        <is>
          <t>smallcap</t>
        </is>
      </c>
      <c r="H139" s="32" t="n">
        <v>1831.62</v>
      </c>
      <c r="I139" s="32" t="n">
        <v>279.57</v>
      </c>
      <c r="J139" s="32" t="n">
        <v>1.85</v>
      </c>
      <c r="K139" s="32" t="n">
        <v>2094110</v>
      </c>
      <c r="L139" s="31" t="n">
        <v>90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81.05</v>
      </c>
      <c r="P139" s="32" t="n">
        <v>33.52</v>
      </c>
      <c r="Q139" s="32" t="n">
        <v>209.77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-1.01</v>
      </c>
      <c r="U139" s="32" t="n">
        <v>47.74</v>
      </c>
      <c r="V139" s="32" t="n">
        <v>49.25</v>
      </c>
      <c r="W139" s="32" t="n">
        <v>31.52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Between 1.5 to 2</t>
        </is>
      </c>
      <c r="BU139" s="31">
        <f>IF(BT139="Above 2",0,IF(BT139="Between 1.5 to 2",5,IF(BT139="Less than 1.5",10,0)))</f>
        <v/>
      </c>
      <c r="BV139" s="31" t="inlineStr">
        <is>
          <t>Less than 50% and Borrowings are increasing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IF(B140=0,"",RANK(B140,$B$2:$B$250,0))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INDHOTEL</t>
        </is>
      </c>
      <c r="D140" s="31" t="inlineStr">
        <is>
          <t>The Indian Hotels Company Limited</t>
        </is>
      </c>
      <c r="E140" s="31" t="inlineStr">
        <is>
          <t>services</t>
        </is>
      </c>
      <c r="F140" s="31" t="inlineStr">
        <is>
          <t>hotels</t>
        </is>
      </c>
      <c r="G140" s="31" t="inlineStr">
        <is>
          <t>largecap</t>
        </is>
      </c>
      <c r="H140" s="32" t="n">
        <v>105077.77</v>
      </c>
      <c r="I140" s="32" t="n">
        <v>749.25</v>
      </c>
      <c r="J140" s="32" t="n">
        <v>1.5</v>
      </c>
      <c r="K140" s="32" t="n">
        <v>2223747</v>
      </c>
      <c r="L140" s="31" t="n">
        <v>19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62.48</v>
      </c>
      <c r="P140" s="32" t="n">
        <v>12.11</v>
      </c>
      <c r="Q140" s="32" t="n">
        <v>645.76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-1.01</v>
      </c>
      <c r="U140" s="32" t="n">
        <v>1.54</v>
      </c>
      <c r="V140" s="32" t="n">
        <v>2.58</v>
      </c>
      <c r="W140" s="32" t="n">
        <v>4.42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IF(B141=0,"",RANK(B141,$B$2:$B$250,0))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ARROWGREEN</t>
        </is>
      </c>
      <c r="D141" s="33" t="inlineStr">
        <is>
          <t>Arrow Greentech Limited</t>
        </is>
      </c>
      <c r="E141" s="31" t="inlineStr">
        <is>
          <t>plastic products</t>
        </is>
      </c>
      <c r="F141" s="31" t="inlineStr">
        <is>
          <t>plastics products</t>
        </is>
      </c>
      <c r="G141" s="31" t="inlineStr">
        <is>
          <t>smallcap</t>
        </is>
      </c>
      <c r="H141" s="32" t="n">
        <v>1078.41</v>
      </c>
      <c r="I141" s="32" t="n">
        <v>725.3</v>
      </c>
      <c r="J141" s="32" t="n">
        <v>1.48</v>
      </c>
      <c r="K141" s="32" t="n">
        <v>34422</v>
      </c>
      <c r="L141" s="31" t="n">
        <v>43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68.54000000000001</v>
      </c>
      <c r="P141" s="32" t="n">
        <v>29.43</v>
      </c>
      <c r="Q141" s="32" t="n">
        <v>523.8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-1.01</v>
      </c>
      <c r="U141" s="32" t="n">
        <v>-2.86</v>
      </c>
      <c r="V141" s="32" t="n">
        <v>-1.87</v>
      </c>
      <c r="W141" s="32" t="n">
        <v>9.529999999999999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Between 50% to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IF(B142=0,"",RANK(B142,$B$2:$B$250,0))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SPECIALITY</t>
        </is>
      </c>
      <c r="D142" s="31" t="inlineStr">
        <is>
          <t>Speciality Restaurants Limited</t>
        </is>
      </c>
      <c r="E142" s="31" t="inlineStr">
        <is>
          <t>services</t>
        </is>
      </c>
      <c r="F142" s="31" t="inlineStr">
        <is>
          <t>hotels</t>
        </is>
      </c>
      <c r="G142" s="31" t="inlineStr">
        <is>
          <t>smallcap</t>
        </is>
      </c>
      <c r="H142" s="32" t="n">
        <v>636.95</v>
      </c>
      <c r="I142" s="32" t="n">
        <v>133.93</v>
      </c>
      <c r="J142" s="32" t="n">
        <v>1.42</v>
      </c>
      <c r="K142" s="32" t="n">
        <v>24584</v>
      </c>
      <c r="L142" s="31" t="n">
        <v>36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62.83</v>
      </c>
      <c r="P142" s="32" t="n">
        <v>20.88</v>
      </c>
      <c r="Q142" s="32" t="n">
        <v>101.49</v>
      </c>
      <c r="R142" s="31" t="inlineStr">
        <is>
          <t>Earnings / Momentum Support</t>
        </is>
      </c>
      <c r="S142" s="31" t="inlineStr">
        <is>
          <t>Nifty 50</t>
        </is>
      </c>
      <c r="T142" s="32" t="n">
        <v>-1.01</v>
      </c>
      <c r="U142" s="32" t="n">
        <v>2.94</v>
      </c>
      <c r="V142" s="32" t="n">
        <v>3.99</v>
      </c>
      <c r="W142" s="32" t="n">
        <v>7.88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IF(B143=0,"",RANK(B143,$B$2:$B$250,0))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UNIVPHOTO</t>
        </is>
      </c>
      <c r="D143" s="31" t="inlineStr">
        <is>
          <t>Universus Photo Imagings Ltd</t>
        </is>
      </c>
      <c r="E143" s="31" t="inlineStr">
        <is>
          <t>consumer discretionary</t>
        </is>
      </c>
      <c r="F143" s="31" t="inlineStr">
        <is>
          <t>photographic and allied products</t>
        </is>
      </c>
      <c r="G143" s="31" t="inlineStr">
        <is>
          <t>smallcap</t>
        </is>
      </c>
      <c r="H143" s="32" t="n">
        <v>512.6799999999999</v>
      </c>
      <c r="I143" s="32" t="n">
        <v>474.4</v>
      </c>
      <c r="J143" s="32" t="n">
        <v>1.29</v>
      </c>
      <c r="K143" s="32" t="n">
        <v>1709</v>
      </c>
      <c r="L143" s="31" t="n">
        <v>82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62.99</v>
      </c>
      <c r="P143" s="32" t="n">
        <v>15.65</v>
      </c>
      <c r="Q143" s="32" t="n">
        <v>357.78</v>
      </c>
      <c r="R143" s="31" t="inlineStr">
        <is>
          <t>Volume Spike / Accumulation</t>
        </is>
      </c>
      <c r="S143" s="31" t="inlineStr">
        <is>
          <t>Nifty 50</t>
        </is>
      </c>
      <c r="T143" s="32" t="n">
        <v>-1.01</v>
      </c>
      <c r="U143" s="32" t="n">
        <v>81.45</v>
      </c>
      <c r="V143" s="32" t="n">
        <v>83.3</v>
      </c>
      <c r="W143" s="32" t="n">
        <v>24.46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Negative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IF(B144=0,"",RANK(B144,$B$2:$B$250,0))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MBAPL</t>
        </is>
      </c>
      <c r="D144" s="31" t="inlineStr">
        <is>
          <t>Madhya Bharat Agro Products Ltd</t>
        </is>
      </c>
      <c r="E144" s="31" t="inlineStr">
        <is>
          <t>chemicals</t>
        </is>
      </c>
      <c r="F144" s="31" t="inlineStr">
        <is>
          <t>fertilizers</t>
        </is>
      </c>
      <c r="G144" s="31" t="inlineStr">
        <is>
          <t>smallcap</t>
        </is>
      </c>
      <c r="H144" s="32" t="n">
        <v>1437.08</v>
      </c>
      <c r="I144" s="32" t="n">
        <v>165.85</v>
      </c>
      <c r="J144" s="32" t="n">
        <v>1.13</v>
      </c>
      <c r="K144" s="32" t="n">
        <v>1459146</v>
      </c>
      <c r="L144" s="31" t="n">
        <v>85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87.92</v>
      </c>
      <c r="P144" s="32" t="n">
        <v>60.94</v>
      </c>
      <c r="Q144" s="32" t="n">
        <v>132.96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-1.01</v>
      </c>
      <c r="U144" s="32" t="n">
        <v>90.73999999999999</v>
      </c>
      <c r="V144" s="32" t="n">
        <v>92.68000000000001</v>
      </c>
      <c r="W144" s="32" t="n">
        <v>27.54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Between 12 to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More than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IF(B145=0,"",RANK(B145,$B$2:$B$250,0))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KALYANKJIL</t>
        </is>
      </c>
      <c r="D145" s="31" t="inlineStr">
        <is>
          <t>Kalyan Jewellers India Ltd</t>
        </is>
      </c>
      <c r="E145" s="31" t="inlineStr">
        <is>
          <t>consumer discretionary</t>
        </is>
      </c>
      <c r="F145" s="31" t="inlineStr">
        <is>
          <t>diamond cutting / jewellery</t>
        </is>
      </c>
      <c r="G145" s="31" t="inlineStr">
        <is>
          <t>largecap</t>
        </is>
      </c>
      <c r="H145" s="32" t="n">
        <v>64918.05</v>
      </c>
      <c r="I145" s="32" t="n">
        <v>634.6</v>
      </c>
      <c r="J145" s="32" t="n">
        <v>0.95</v>
      </c>
      <c r="K145" s="32" t="n">
        <v>32636519</v>
      </c>
      <c r="L145" s="31" t="n">
        <v>64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74.31999999999999</v>
      </c>
      <c r="P145" s="32" t="n">
        <v>26.25</v>
      </c>
      <c r="Q145" s="32" t="n">
        <v>487.28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-1.01</v>
      </c>
      <c r="U145" s="32" t="n">
        <v>9.199999999999999</v>
      </c>
      <c r="V145" s="32" t="n">
        <v>10.31</v>
      </c>
      <c r="W145" s="32" t="n">
        <v>15.89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Between 50% to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IF(B146=0,"",RANK(B146,$B$2:$B$250,0))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3" t="inlineStr">
        <is>
          <t>SUNDRMFAST</t>
        </is>
      </c>
      <c r="D146" s="33" t="inlineStr">
        <is>
          <t>Sundram Fasteners Limited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largecap</t>
        </is>
      </c>
      <c r="H146" s="32" t="n">
        <v>20192.29</v>
      </c>
      <c r="I146" s="32" t="n">
        <v>966.15</v>
      </c>
      <c r="J146" s="32" t="n">
        <v>0.54</v>
      </c>
      <c r="K146" s="32" t="n">
        <v>63391</v>
      </c>
      <c r="L146" s="31" t="n">
        <v>18</v>
      </c>
      <c r="M146" s="31" t="inlineStr">
        <is>
          <t>Underperforming</t>
        </is>
      </c>
      <c r="N146" s="32">
        <f>IF(M146="Underperforming",-5,IF(L146&gt;=95,15,IF(L146&gt;=90,10,IF(L146&gt;=80,5,0))))</f>
        <v/>
      </c>
      <c r="O146" s="32" t="n">
        <v>63.44</v>
      </c>
      <c r="P146" s="32" t="n">
        <v>14.84</v>
      </c>
      <c r="Q146" s="32" t="n">
        <v>816.65</v>
      </c>
      <c r="R146" s="31" t="inlineStr">
        <is>
          <t>Earnings / Momentum Support</t>
        </is>
      </c>
      <c r="S146" s="31" t="inlineStr">
        <is>
          <t>Nifty Auto</t>
        </is>
      </c>
      <c r="T146" s="32" t="n">
        <v>18.91</v>
      </c>
      <c r="U146" s="32" t="n">
        <v>-2.88</v>
      </c>
      <c r="V146" s="32" t="n">
        <v>-18.32</v>
      </c>
      <c r="W146" s="32" t="n">
        <v>4.24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0 to 20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IF(B147=0,"",RANK(B147,$B$2:$B$250,0))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NH</t>
        </is>
      </c>
      <c r="D147" s="33" t="inlineStr">
        <is>
          <t>Narayana Hrudayalaya Ltd.</t>
        </is>
      </c>
      <c r="E147" s="31" t="inlineStr">
        <is>
          <t>healthcare</t>
        </is>
      </c>
      <c r="F147" s="31" t="inlineStr">
        <is>
          <t>healthcare</t>
        </is>
      </c>
      <c r="G147" s="31" t="inlineStr">
        <is>
          <t>largecap</t>
        </is>
      </c>
      <c r="H147" s="32" t="n">
        <v>42314.95</v>
      </c>
      <c r="I147" s="32" t="n">
        <v>2080.3</v>
      </c>
      <c r="J147" s="32" t="n">
        <v>0.47</v>
      </c>
      <c r="K147" s="32" t="n">
        <v>110198</v>
      </c>
      <c r="L147" s="31" t="n">
        <v>24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64.22</v>
      </c>
      <c r="P147" s="32" t="n">
        <v>28.48</v>
      </c>
      <c r="Q147" s="32" t="n">
        <v>1749.67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19.69</v>
      </c>
      <c r="U147" s="32" t="n">
        <v>7.17</v>
      </c>
      <c r="V147" s="32" t="n">
        <v>-10.46</v>
      </c>
      <c r="W147" s="32" t="n">
        <v>5.39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Shallow Cyclical (2 to 3 Years Growth)</t>
        </is>
      </c>
      <c r="AG147" s="31">
        <f>IF(AF147="Structural (10 Years Consistency)",10,IF(AF147="Shallow Cyclical (2 to 3 years growth)",5,0))</f>
        <v/>
      </c>
      <c r="AH147" s="31" t="inlineStr">
        <is>
          <t>Yes due to Product Mix change or Operating Leverage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B2C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Between 12 to 20%</t>
        </is>
      </c>
      <c r="BO147" s="31">
        <f>IF(BN147="More than 20%",10,IF(BN147="Between 12 to 20%",5,IF(BN147="Less than 12%",0,0)))</f>
        <v/>
      </c>
      <c r="BP147" s="31" t="inlineStr">
        <is>
          <t>Yes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IF(B148=0,"",RANK(B148,$B$2:$B$250,0))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SANSERA</t>
        </is>
      </c>
      <c r="D148" s="31" t="inlineStr">
        <is>
          <t>Sansera Engineering Ltd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20175.7</v>
      </c>
      <c r="I148" s="32" t="n">
        <v>3235.2</v>
      </c>
      <c r="J148" s="32" t="n">
        <v>0.06</v>
      </c>
      <c r="K148" s="32" t="n">
        <v>102083</v>
      </c>
      <c r="L148" s="31" t="n">
        <v>84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74.01000000000001</v>
      </c>
      <c r="P148" s="32" t="n">
        <v>52.34</v>
      </c>
      <c r="Q148" s="32" t="n">
        <v>2629</v>
      </c>
      <c r="R148" s="31" t="inlineStr">
        <is>
          <t>Near 52W High Breakout</t>
        </is>
      </c>
      <c r="S148" s="31" t="inlineStr">
        <is>
          <t>Nifty Auto</t>
        </is>
      </c>
      <c r="T148" s="32" t="n">
        <v>18.91</v>
      </c>
      <c r="U148" s="32" t="n">
        <v>139.09</v>
      </c>
      <c r="V148" s="32" t="n">
        <v>101.07</v>
      </c>
      <c r="W148" s="32" t="n">
        <v>25.94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IF(B149=0,"",RANK(B149,$B$2:$B$250,0))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BLUSPRING</t>
        </is>
      </c>
      <c r="D149" s="31" t="inlineStr">
        <is>
          <t>Bluspring Enterprises Ltd</t>
        </is>
      </c>
      <c r="E149" s="31" t="inlineStr">
        <is>
          <t>miscellaneous</t>
        </is>
      </c>
      <c r="F149" s="31" t="inlineStr">
        <is>
          <t>diversified - large</t>
        </is>
      </c>
      <c r="G149" s="31" t="inlineStr">
        <is>
          <t>smallcap</t>
        </is>
      </c>
      <c r="H149" s="32" t="n">
        <v>1705.27</v>
      </c>
      <c r="I149" s="32" t="n">
        <v>114.11</v>
      </c>
      <c r="J149" s="32" t="n">
        <v>0</v>
      </c>
      <c r="K149" s="32" t="n">
        <v>408942</v>
      </c>
      <c r="L149" s="31" t="n">
        <v>84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67.88</v>
      </c>
      <c r="P149" s="32" t="n">
        <v>53.47</v>
      </c>
      <c r="Q149" s="32" t="n">
        <v>85.44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-1.01</v>
      </c>
      <c r="U149" s="32" t="n">
        <v>27.4</v>
      </c>
      <c r="V149" s="32" t="n">
        <v>28.7</v>
      </c>
      <c r="W149" s="32" t="n">
        <v>25.2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IF(B150=0,"",RANK(B150,$B$2:$B$250,0))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BHARATFORG</t>
        </is>
      </c>
      <c r="D150" s="31" t="inlineStr">
        <is>
          <t>Bharat Forge Limited</t>
        </is>
      </c>
      <c r="E150" s="31" t="inlineStr">
        <is>
          <t>industrials</t>
        </is>
      </c>
      <c r="F150" s="31" t="inlineStr">
        <is>
          <t>castings &amp; forgings</t>
        </is>
      </c>
      <c r="G150" s="31" t="inlineStr">
        <is>
          <t>largecap</t>
        </is>
      </c>
      <c r="H150" s="32" t="n">
        <v>103816.95</v>
      </c>
      <c r="I150" s="32" t="n">
        <v>2164.7</v>
      </c>
      <c r="J150" s="32" t="n">
        <v>-0.31</v>
      </c>
      <c r="K150" s="32" t="n">
        <v>317987</v>
      </c>
      <c r="L150" s="31" t="n">
        <v>70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69.90000000000001</v>
      </c>
      <c r="P150" s="32" t="n">
        <v>45.64</v>
      </c>
      <c r="Q150" s="32" t="n">
        <v>1850.25</v>
      </c>
      <c r="R150" s="31" t="inlineStr">
        <is>
          <t>Near 52W High Breakout</t>
        </is>
      </c>
      <c r="S150" s="31" t="inlineStr">
        <is>
          <t>Nifty 500</t>
        </is>
      </c>
      <c r="T150" s="32" t="n">
        <v>3</v>
      </c>
      <c r="U150" s="32" t="n">
        <v>89.66</v>
      </c>
      <c r="V150" s="32" t="n">
        <v>84.14</v>
      </c>
      <c r="W150" s="32" t="n">
        <v>17.42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Between 50% to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IF(B151=0,"",RANK(B151,$B$2:$B$250,0))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MUNJALSHOW</t>
        </is>
      </c>
      <c r="D151" s="33" t="inlineStr">
        <is>
          <t>Munjal Showa Limited</t>
        </is>
      </c>
      <c r="E151" s="31" t="inlineStr">
        <is>
          <t>auto</t>
        </is>
      </c>
      <c r="F151" s="31" t="inlineStr">
        <is>
          <t>auto ancillaries</t>
        </is>
      </c>
      <c r="G151" s="31" t="inlineStr">
        <is>
          <t>smallcap</t>
        </is>
      </c>
      <c r="H151" s="32" t="n">
        <v>548.53</v>
      </c>
      <c r="I151" s="32" t="n">
        <v>136.16</v>
      </c>
      <c r="J151" s="32" t="n">
        <v>-0.72</v>
      </c>
      <c r="K151" s="32" t="n">
        <v>70068</v>
      </c>
      <c r="L151" s="31" t="n">
        <v>5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57.28</v>
      </c>
      <c r="P151" s="32" t="n">
        <v>27.85</v>
      </c>
      <c r="Q151" s="32" t="n">
        <v>116.56</v>
      </c>
      <c r="R151" s="31" t="inlineStr">
        <is>
          <t>Near 52W High Breakout</t>
        </is>
      </c>
      <c r="S151" s="31" t="inlineStr">
        <is>
          <t>Nifty Auto</t>
        </is>
      </c>
      <c r="T151" s="32" t="n">
        <v>18.91</v>
      </c>
      <c r="U151" s="32" t="n">
        <v>-6.36</v>
      </c>
      <c r="V151" s="32" t="n">
        <v>-21.25</v>
      </c>
      <c r="W151" s="32" t="n">
        <v>0.38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Between 1.5 to 2</t>
        </is>
      </c>
      <c r="BU151" s="31">
        <f>IF(BT151="Above 2",0,IF(BT151="Between 1.5 to 2",5,IF(BT151="Less than 1.5",10,0)))</f>
        <v/>
      </c>
      <c r="BV151" s="31" t="inlineStr">
        <is>
          <t>Negative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IF(B152=0,"",RANK(B152,$B$2:$B$250,0))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ZEEL</t>
        </is>
      </c>
      <c r="D152" s="31" t="inlineStr">
        <is>
          <t>Zee Entertainment Enterprises Limited</t>
        </is>
      </c>
      <c r="E152" s="31" t="inlineStr">
        <is>
          <t>media</t>
        </is>
      </c>
      <c r="F152" s="31" t="inlineStr">
        <is>
          <t>entertainment / electronic media software</t>
        </is>
      </c>
      <c r="G152" s="31" t="inlineStr">
        <is>
          <t>midcap</t>
        </is>
      </c>
      <c r="H152" s="32" t="n">
        <v>10386.1</v>
      </c>
      <c r="I152" s="32" t="n">
        <v>112.21</v>
      </c>
      <c r="J152" s="32" t="n">
        <v>3.77</v>
      </c>
      <c r="K152" s="32" t="n">
        <v>27156787</v>
      </c>
      <c r="L152" s="31" t="n">
        <v>26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59.78</v>
      </c>
      <c r="P152" s="32" t="n">
        <v>17.19</v>
      </c>
      <c r="Q152" s="32" t="n">
        <v>84.98</v>
      </c>
      <c r="R152" s="31" t="inlineStr">
        <is>
          <t>Earnings / Momentum Support</t>
        </is>
      </c>
      <c r="S152" s="31" t="inlineStr">
        <is>
          <t>Nifty IT</t>
        </is>
      </c>
      <c r="T152" s="32" t="n">
        <v>-9.970000000000001</v>
      </c>
      <c r="U152" s="32" t="n">
        <v>-1.51</v>
      </c>
      <c r="V152" s="32" t="n">
        <v>9.4</v>
      </c>
      <c r="W152" s="32" t="n">
        <v>5.89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IF(B153=0,"",RANK(B153,$B$2:$B$250,0))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UNITDSPR</t>
        </is>
      </c>
      <c r="D153" s="31" t="inlineStr">
        <is>
          <t>United Spirits Ltd</t>
        </is>
      </c>
      <c r="E153" s="31" t="inlineStr">
        <is>
          <t>fmcg</t>
        </is>
      </c>
      <c r="F153" s="31" t="inlineStr">
        <is>
          <t>breweries &amp; distilleries</t>
        </is>
      </c>
      <c r="G153" s="31" t="inlineStr">
        <is>
          <t>largecap</t>
        </is>
      </c>
      <c r="H153" s="32" t="n">
        <v>109422.66</v>
      </c>
      <c r="I153" s="32" t="n">
        <v>1531.9</v>
      </c>
      <c r="J153" s="32" t="n">
        <v>1.83</v>
      </c>
      <c r="K153" s="32" t="n">
        <v>1362733</v>
      </c>
      <c r="L153" s="31" t="n">
        <v>26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68.62</v>
      </c>
      <c r="P153" s="32" t="n">
        <v>16.87</v>
      </c>
      <c r="Q153" s="32" t="n">
        <v>1313.52</v>
      </c>
      <c r="R153" s="31" t="inlineStr">
        <is>
          <t>Near 52W High Breakout</t>
        </is>
      </c>
      <c r="S153" s="31" t="inlineStr">
        <is>
          <t>Nifty FMCG</t>
        </is>
      </c>
      <c r="T153" s="32" t="n">
        <v>-9.050000000000001</v>
      </c>
      <c r="U153" s="32" t="n">
        <v>19.12</v>
      </c>
      <c r="V153" s="32" t="n">
        <v>30.97</v>
      </c>
      <c r="W153" s="32" t="n">
        <v>5.84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B2C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IF(B154=0,"",RANK(B154,$B$2:$B$250,0))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APOLLOHOSP</t>
        </is>
      </c>
      <c r="D154" s="31" t="inlineStr">
        <is>
          <t>Apollo Hospitals Enterprise Limited</t>
        </is>
      </c>
      <c r="E154" s="31" t="inlineStr">
        <is>
          <t>healthcare</t>
        </is>
      </c>
      <c r="F154" s="31" t="inlineStr">
        <is>
          <t>healthcare</t>
        </is>
      </c>
      <c r="G154" s="31" t="inlineStr">
        <is>
          <t>largecap</t>
        </is>
      </c>
      <c r="H154" s="32" t="n">
        <v>128471.59</v>
      </c>
      <c r="I154" s="32" t="n">
        <v>8988</v>
      </c>
      <c r="J154" s="32" t="n">
        <v>0.59</v>
      </c>
      <c r="K154" s="32" t="n">
        <v>263013</v>
      </c>
      <c r="L154" s="31" t="n">
        <v>38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71.84999999999999</v>
      </c>
      <c r="P154" s="32" t="n">
        <v>27.61</v>
      </c>
      <c r="Q154" s="32" t="n">
        <v>8017.53</v>
      </c>
      <c r="R154" s="31" t="inlineStr">
        <is>
          <t>Near 52W High Breakout</t>
        </is>
      </c>
      <c r="S154" s="31" t="inlineStr">
        <is>
          <t>Nifty Pharma</t>
        </is>
      </c>
      <c r="T154" s="32" t="n">
        <v>19.69</v>
      </c>
      <c r="U154" s="32" t="n">
        <v>22.58</v>
      </c>
      <c r="V154" s="32" t="n">
        <v>2.41</v>
      </c>
      <c r="W154" s="32" t="n">
        <v>8.1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Cyclical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Fully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Yes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Between 1.5 to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IF(B155=0,"",RANK(B155,$B$2:$B$250,0))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PVRINOX</t>
        </is>
      </c>
      <c r="D155" s="31" t="inlineStr">
        <is>
          <t>PVR Inox Ltd</t>
        </is>
      </c>
      <c r="E155" s="31" t="inlineStr">
        <is>
          <t>media</t>
        </is>
      </c>
      <c r="F155" s="31" t="inlineStr">
        <is>
          <t>entertainment / electronic media software</t>
        </is>
      </c>
      <c r="G155" s="31" t="inlineStr">
        <is>
          <t>midcap</t>
        </is>
      </c>
      <c r="H155" s="32" t="n">
        <v>11194.8</v>
      </c>
      <c r="I155" s="32" t="n">
        <v>1131.45</v>
      </c>
      <c r="J155" s="32" t="n">
        <v>-0.75</v>
      </c>
      <c r="K155" s="32" t="n">
        <v>371133</v>
      </c>
      <c r="L155" s="31" t="n">
        <v>20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64.95999999999999</v>
      </c>
      <c r="P155" s="32" t="n">
        <v>12.12</v>
      </c>
      <c r="Q155" s="32" t="n">
        <v>936.24</v>
      </c>
      <c r="R155" s="31" t="inlineStr">
        <is>
          <t>Volume Spike / Accumulation</t>
        </is>
      </c>
      <c r="S155" s="31" t="inlineStr">
        <is>
          <t>Nifty IT</t>
        </is>
      </c>
      <c r="T155" s="32" t="n">
        <v>-9.970000000000001</v>
      </c>
      <c r="U155" s="32" t="n">
        <v>13.37</v>
      </c>
      <c r="V155" s="32" t="n">
        <v>25.92</v>
      </c>
      <c r="W155" s="32" t="n">
        <v>4.71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IF(B156=0,"",RANK(B156,$B$2:$B$250,0))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BLSE</t>
        </is>
      </c>
      <c r="D156" s="31" t="inlineStr">
        <is>
          <t>BLS E-Services Ltd</t>
        </is>
      </c>
      <c r="E156" s="31" t="inlineStr">
        <is>
          <t>i.t</t>
        </is>
      </c>
      <c r="F156" s="31" t="inlineStr">
        <is>
          <t>computers - software - medium / small</t>
        </is>
      </c>
      <c r="G156" s="31" t="inlineStr">
        <is>
          <t>smallcap</t>
        </is>
      </c>
      <c r="H156" s="32" t="n">
        <v>2714.88</v>
      </c>
      <c r="I156" s="32" t="n">
        <v>294.72</v>
      </c>
      <c r="J156" s="32" t="n">
        <v>-1.37</v>
      </c>
      <c r="K156" s="32" t="n">
        <v>586016</v>
      </c>
      <c r="L156" s="31" t="n">
        <v>78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80.59</v>
      </c>
      <c r="P156" s="32" t="n">
        <v>38.84</v>
      </c>
      <c r="Q156" s="32" t="n">
        <v>231.44</v>
      </c>
      <c r="R156" s="31" t="inlineStr">
        <is>
          <t>Near 52W High Breakout</t>
        </is>
      </c>
      <c r="S156" s="31" t="inlineStr">
        <is>
          <t>Nifty IT</t>
        </is>
      </c>
      <c r="T156" s="32" t="n">
        <v>-9.970000000000001</v>
      </c>
      <c r="U156" s="32" t="n">
        <v>62.26</v>
      </c>
      <c r="V156" s="32" t="n">
        <v>80.23</v>
      </c>
      <c r="W156" s="32" t="n">
        <v>21.95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Between 50% to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IF(B157=0,"",RANK(B157,$B$2:$B$250,0))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SMLMAH</t>
        </is>
      </c>
      <c r="D157" s="31" t="inlineStr">
        <is>
          <t>SML Mahindra Ltd</t>
        </is>
      </c>
      <c r="E157" s="31" t="inlineStr">
        <is>
          <t>auto</t>
        </is>
      </c>
      <c r="F157" s="31" t="inlineStr">
        <is>
          <t>automobiles - lcvs / hcvs</t>
        </is>
      </c>
      <c r="G157" s="31" t="inlineStr">
        <is>
          <t>midcap</t>
        </is>
      </c>
      <c r="H157" s="32" t="n">
        <v>6607.75</v>
      </c>
      <c r="I157" s="32" t="n">
        <v>5479.2</v>
      </c>
      <c r="J157" s="32" t="n">
        <v>20</v>
      </c>
      <c r="K157" s="32" t="n">
        <v>1495350</v>
      </c>
      <c r="L157" s="31" t="n">
        <v>74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69.7</v>
      </c>
      <c r="P157" s="32" t="n">
        <v>6.29</v>
      </c>
      <c r="Q157" s="32" t="n">
        <v>4009.39</v>
      </c>
      <c r="R157" s="31" t="inlineStr">
        <is>
          <t>Volume Spike &amp; Near 52W High Breakout</t>
        </is>
      </c>
      <c r="S157" s="31" t="inlineStr">
        <is>
          <t>Nifty Auto</t>
        </is>
      </c>
      <c r="T157" s="32" t="n">
        <v>18.91</v>
      </c>
      <c r="U157" s="32" t="n">
        <v>45.06</v>
      </c>
      <c r="V157" s="32" t="n">
        <v>21.99</v>
      </c>
      <c r="W157" s="32" t="n">
        <v>18.55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IF(B158=0,"",RANK(B158,$B$2:$B$250,0))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MACPOWER</t>
        </is>
      </c>
      <c r="D158" s="31" t="inlineStr">
        <is>
          <t>Macpower CNC Machines Ltd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smallcap</t>
        </is>
      </c>
      <c r="H158" s="32" t="n">
        <v>1404.88</v>
      </c>
      <c r="I158" s="32" t="n">
        <v>1481.2</v>
      </c>
      <c r="J158" s="32" t="n">
        <v>5.48</v>
      </c>
      <c r="K158" s="32" t="n">
        <v>209863</v>
      </c>
      <c r="L158" s="31" t="n">
        <v>63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68.03</v>
      </c>
      <c r="P158" s="32" t="n">
        <v>28.87</v>
      </c>
      <c r="Q158" s="32" t="n">
        <v>1036.99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-1.01</v>
      </c>
      <c r="U158" s="32" t="n">
        <v>42.53</v>
      </c>
      <c r="V158" s="32" t="n">
        <v>43.98</v>
      </c>
      <c r="W158" s="32" t="n">
        <v>15.3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IF(B159=0,"",RANK(B159,$B$2:$B$250,0))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TVSMOTOR</t>
        </is>
      </c>
      <c r="D159" s="31" t="inlineStr">
        <is>
          <t>Tvs Motor Company Limited</t>
        </is>
      </c>
      <c r="E159" s="31" t="inlineStr">
        <is>
          <t>auto</t>
        </is>
      </c>
      <c r="F159" s="31" t="inlineStr">
        <is>
          <t>automobiles - motorcycles / mopeds</t>
        </is>
      </c>
      <c r="G159" s="31" t="inlineStr">
        <is>
          <t>largecap</t>
        </is>
      </c>
      <c r="H159" s="32" t="n">
        <v>193626.5</v>
      </c>
      <c r="I159" s="32" t="n">
        <v>4208.4</v>
      </c>
      <c r="J159" s="32" t="n">
        <v>3.26</v>
      </c>
      <c r="K159" s="32" t="n">
        <v>2913373</v>
      </c>
      <c r="L159" s="31" t="n">
        <v>58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68.8</v>
      </c>
      <c r="P159" s="32" t="n">
        <v>13.15</v>
      </c>
      <c r="Q159" s="32" t="n">
        <v>3496.54</v>
      </c>
      <c r="R159" s="31" t="inlineStr">
        <is>
          <t>Near 52W High Breakout</t>
        </is>
      </c>
      <c r="S159" s="31" t="inlineStr">
        <is>
          <t>Nifty Auto</t>
        </is>
      </c>
      <c r="T159" s="32" t="n">
        <v>18.91</v>
      </c>
      <c r="U159" s="32" t="n">
        <v>52.22</v>
      </c>
      <c r="V159" s="32" t="n">
        <v>28.01</v>
      </c>
      <c r="W159" s="32" t="n">
        <v>13.65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More than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IF(B160=0,"",RANK(B160,$B$2:$B$250,0))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NAZARA</t>
        </is>
      </c>
      <c r="D160" s="31" t="inlineStr">
        <is>
          <t>Nazara Technologies Ltd</t>
        </is>
      </c>
      <c r="E160" s="31" t="inlineStr">
        <is>
          <t>i.t</t>
        </is>
      </c>
      <c r="F160" s="31" t="inlineStr">
        <is>
          <t>telecommunications - service provider</t>
        </is>
      </c>
      <c r="G160" s="31" t="inlineStr">
        <is>
          <t>midcap</t>
        </is>
      </c>
      <c r="H160" s="32" t="n">
        <v>11249.17</v>
      </c>
      <c r="I160" s="32" t="n">
        <v>308.05</v>
      </c>
      <c r="J160" s="32" t="n">
        <v>1.45</v>
      </c>
      <c r="K160" s="32" t="n">
        <v>2274869</v>
      </c>
      <c r="L160" s="31" t="n">
        <v>12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61.39</v>
      </c>
      <c r="P160" s="32" t="n">
        <v>14.81</v>
      </c>
      <c r="Q160" s="32" t="n">
        <v>245.36</v>
      </c>
      <c r="R160" s="31" t="inlineStr">
        <is>
          <t>Earnings / Momentum Support</t>
        </is>
      </c>
      <c r="S160" s="31" t="inlineStr">
        <is>
          <t>Nifty IT</t>
        </is>
      </c>
      <c r="T160" s="32" t="n">
        <v>-9.970000000000001</v>
      </c>
      <c r="U160" s="32" t="n">
        <v>-8</v>
      </c>
      <c r="V160" s="32" t="n">
        <v>2.19</v>
      </c>
      <c r="W160" s="32" t="n">
        <v>2.52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Oligopoly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Yes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Between 50% to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IF(B161=0,"",RANK(B161,$B$2:$B$250,0))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ASHIANA</t>
        </is>
      </c>
      <c r="D161" s="31" t="inlineStr">
        <is>
          <t>Ashiana Housing Limited</t>
        </is>
      </c>
      <c r="E161" s="31" t="inlineStr">
        <is>
          <t>realty</t>
        </is>
      </c>
      <c r="F161" s="31" t="inlineStr">
        <is>
          <t>construction</t>
        </is>
      </c>
      <c r="G161" s="31" t="inlineStr">
        <is>
          <t>smallcap</t>
        </is>
      </c>
      <c r="H161" s="32" t="n">
        <v>3856.64</v>
      </c>
      <c r="I161" s="32" t="n">
        <v>386.55</v>
      </c>
      <c r="J161" s="32" t="n">
        <v>0.76</v>
      </c>
      <c r="K161" s="32" t="n">
        <v>47280</v>
      </c>
      <c r="L161" s="31" t="n">
        <v>37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63.3</v>
      </c>
      <c r="P161" s="32" t="n">
        <v>42.16</v>
      </c>
      <c r="Q161" s="32" t="n">
        <v>299.4</v>
      </c>
      <c r="R161" s="31" t="inlineStr">
        <is>
          <t>Near 52W High Breakout</t>
        </is>
      </c>
      <c r="S161" s="31" t="inlineStr">
        <is>
          <t>Nifty Realty</t>
        </is>
      </c>
      <c r="T161" s="32" t="n">
        <v>-5.38</v>
      </c>
      <c r="U161" s="32" t="n">
        <v>23.13</v>
      </c>
      <c r="V161" s="32" t="n">
        <v>30.13</v>
      </c>
      <c r="W161" s="32" t="n">
        <v>7.89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IF(B162=0,"",RANK(B162,$B$2:$B$250,0))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ACE</t>
        </is>
      </c>
      <c r="D162" s="33" t="inlineStr">
        <is>
          <t>Action Construction Equipment Limited</t>
        </is>
      </c>
      <c r="E162" s="31" t="inlineStr">
        <is>
          <t>industrials</t>
        </is>
      </c>
      <c r="F162" s="31" t="inlineStr">
        <is>
          <t>engineering</t>
        </is>
      </c>
      <c r="G162" s="31" t="inlineStr">
        <is>
          <t>midcap</t>
        </is>
      </c>
      <c r="H162" s="32" t="n">
        <v>12519.22</v>
      </c>
      <c r="I162" s="32" t="n">
        <v>1057.2</v>
      </c>
      <c r="J162" s="32" t="n">
        <v>0.5600000000000001</v>
      </c>
      <c r="K162" s="32" t="n">
        <v>236732</v>
      </c>
      <c r="L162" s="31" t="n">
        <v>16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65.05</v>
      </c>
      <c r="P162" s="32" t="n">
        <v>16.75</v>
      </c>
      <c r="Q162" s="32" t="n">
        <v>852.36</v>
      </c>
      <c r="R162" s="31" t="inlineStr">
        <is>
          <t>Earnings / Momentum Support</t>
        </is>
      </c>
      <c r="S162" s="31" t="inlineStr">
        <is>
          <t>Nifty 50</t>
        </is>
      </c>
      <c r="T162" s="32" t="n">
        <v>-1.01</v>
      </c>
      <c r="U162" s="32" t="n">
        <v>-4.98</v>
      </c>
      <c r="V162" s="32" t="n">
        <v>-4.01</v>
      </c>
      <c r="W162" s="32" t="n">
        <v>3.56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IF(B163=0,"",RANK(B163,$B$2:$B$250,0))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ATUL</t>
        </is>
      </c>
      <c r="D163" s="31" t="inlineStr">
        <is>
          <t>Atul Limited</t>
        </is>
      </c>
      <c r="E163" s="31" t="inlineStr">
        <is>
          <t>chemicals</t>
        </is>
      </c>
      <c r="F163" s="31" t="inlineStr">
        <is>
          <t>chemicals</t>
        </is>
      </c>
      <c r="G163" s="31" t="inlineStr">
        <is>
          <t>largecap</t>
        </is>
      </c>
      <c r="H163" s="32" t="n">
        <v>20015.98</v>
      </c>
      <c r="I163" s="32" t="n">
        <v>6803</v>
      </c>
      <c r="J163" s="32" t="n">
        <v>0.07000000000000001</v>
      </c>
      <c r="K163" s="32" t="n">
        <v>46892</v>
      </c>
      <c r="L163" s="31" t="n">
        <v>7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57.39</v>
      </c>
      <c r="P163" s="32" t="n">
        <v>12.62</v>
      </c>
      <c r="Q163" s="32" t="n">
        <v>5903.69</v>
      </c>
      <c r="R163" s="31" t="inlineStr">
        <is>
          <t>Volume Spike &amp; Near 52W High Breakout</t>
        </is>
      </c>
      <c r="S163" s="31" t="inlineStr">
        <is>
          <t>Nifty 50</t>
        </is>
      </c>
      <c r="T163" s="32" t="n">
        <v>-1.01</v>
      </c>
      <c r="U163" s="32" t="n">
        <v>5.32</v>
      </c>
      <c r="V163" s="32" t="n">
        <v>6.39</v>
      </c>
      <c r="W163" s="32" t="n">
        <v>1.42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1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IF(B164=0,"",RANK(B164,$B$2:$B$250,0))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JUSTDIAL</t>
        </is>
      </c>
      <c r="D164" s="33" t="inlineStr">
        <is>
          <t>Just Dial Limited</t>
        </is>
      </c>
      <c r="E164" s="31" t="inlineStr">
        <is>
          <t>i.t</t>
        </is>
      </c>
      <c r="F164" s="31" t="inlineStr">
        <is>
          <t>miscellaneous</t>
        </is>
      </c>
      <c r="G164" s="31" t="inlineStr">
        <is>
          <t>midcap</t>
        </is>
      </c>
      <c r="H164" s="32" t="n">
        <v>6410.15</v>
      </c>
      <c r="I164" s="32" t="n">
        <v>741.65</v>
      </c>
      <c r="J164" s="32" t="n">
        <v>-1.6</v>
      </c>
      <c r="K164" s="32" t="n">
        <v>338152</v>
      </c>
      <c r="L164" s="31" t="n">
        <v>38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67.13</v>
      </c>
      <c r="P164" s="32" t="n">
        <v>20.97</v>
      </c>
      <c r="Q164" s="32" t="n">
        <v>600.3099999999999</v>
      </c>
      <c r="R164" s="31" t="inlineStr">
        <is>
          <t>Earnings / Momentum Support</t>
        </is>
      </c>
      <c r="S164" s="31" t="inlineStr">
        <is>
          <t>Nifty IT</t>
        </is>
      </c>
      <c r="T164" s="32" t="n">
        <v>-9.970000000000001</v>
      </c>
      <c r="U164" s="32" t="n">
        <v>-10.39</v>
      </c>
      <c r="V164" s="32" t="n">
        <v>-0.46</v>
      </c>
      <c r="W164" s="32" t="n">
        <v>8.09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IF(B165=0,"",RANK(B165,$B$2:$B$250,0))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FAIRCHEMOR</t>
        </is>
      </c>
      <c r="D165" s="33" t="inlineStr">
        <is>
          <t>Fairchem Organics Ltd</t>
        </is>
      </c>
      <c r="E165" s="31" t="inlineStr">
        <is>
          <t>chemicals</t>
        </is>
      </c>
      <c r="F165" s="31" t="inlineStr">
        <is>
          <t>chemicals</t>
        </is>
      </c>
      <c r="G165" s="31" t="inlineStr">
        <is>
          <t>smallcap</t>
        </is>
      </c>
      <c r="H165" s="32" t="n">
        <v>1045.33</v>
      </c>
      <c r="I165" s="32" t="n">
        <v>813.35</v>
      </c>
      <c r="J165" s="32" t="n">
        <v>-1.99</v>
      </c>
      <c r="K165" s="32" t="n">
        <v>830</v>
      </c>
      <c r="L165" s="31" t="n">
        <v>41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69.95999999999999</v>
      </c>
      <c r="P165" s="32" t="n">
        <v>19.79</v>
      </c>
      <c r="Q165" s="32" t="n">
        <v>617.08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-1.01</v>
      </c>
      <c r="U165" s="32" t="n">
        <v>-7.97</v>
      </c>
      <c r="V165" s="32" t="n">
        <v>-7.03</v>
      </c>
      <c r="W165" s="32" t="n">
        <v>8.970000000000001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0 to 20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IF(B166=0,"",RANK(B166,$B$2:$B$250,0))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GODREJPROP</t>
        </is>
      </c>
      <c r="D166" s="31" t="inlineStr">
        <is>
          <t>Godrej Properties Limited</t>
        </is>
      </c>
      <c r="E166" s="31" t="inlineStr">
        <is>
          <t>realty</t>
        </is>
      </c>
      <c r="F166" s="31" t="inlineStr">
        <is>
          <t>construction</t>
        </is>
      </c>
      <c r="G166" s="31" t="inlineStr">
        <is>
          <t>largecap</t>
        </is>
      </c>
      <c r="H166" s="32" t="n">
        <v>64944.32</v>
      </c>
      <c r="I166" s="32" t="n">
        <v>2110.9</v>
      </c>
      <c r="J166" s="32" t="n">
        <v>-2.09</v>
      </c>
      <c r="K166" s="32" t="n">
        <v>523448</v>
      </c>
      <c r="L166" s="31" t="n">
        <v>21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61.96</v>
      </c>
      <c r="P166" s="32" t="n">
        <v>10.69</v>
      </c>
      <c r="Q166" s="32" t="n">
        <v>1697.48</v>
      </c>
      <c r="R166" s="31" t="inlineStr">
        <is>
          <t>Earnings / Momentum Support</t>
        </is>
      </c>
      <c r="S166" s="31" t="inlineStr">
        <is>
          <t>Nifty Realty</t>
        </is>
      </c>
      <c r="T166" s="32" t="n">
        <v>-5.38</v>
      </c>
      <c r="U166" s="32" t="n">
        <v>-5.05</v>
      </c>
      <c r="V166" s="32" t="n">
        <v>0.35</v>
      </c>
      <c r="W166" s="32" t="n">
        <v>4.87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IF(B167=0,"",RANK(B167,$B$2:$B$250,0))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ASKAUTOLTD</t>
        </is>
      </c>
      <c r="D167" s="33" t="inlineStr">
        <is>
          <t>ASK Automotive Ltd</t>
        </is>
      </c>
      <c r="E167" s="31" t="inlineStr">
        <is>
          <t>auto</t>
        </is>
      </c>
      <c r="F167" s="31" t="inlineStr">
        <is>
          <t>auto ancillaries</t>
        </is>
      </c>
      <c r="G167" s="31" t="inlineStr">
        <is>
          <t>midcap</t>
        </is>
      </c>
      <c r="H167" s="32" t="n">
        <v>10230.72</v>
      </c>
      <c r="I167" s="32" t="n">
        <v>508</v>
      </c>
      <c r="J167" s="32" t="n">
        <v>-2.11</v>
      </c>
      <c r="K167" s="32" t="n">
        <v>237105</v>
      </c>
      <c r="L167" s="31" t="n">
        <v>18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63.72</v>
      </c>
      <c r="P167" s="32" t="n">
        <v>11.09</v>
      </c>
      <c r="Q167" s="32" t="n">
        <v>414.13</v>
      </c>
      <c r="R167" s="31" t="inlineStr">
        <is>
          <t>Earnings / Momentum Support</t>
        </is>
      </c>
      <c r="S167" s="31" t="inlineStr">
        <is>
          <t>Nifty Auto</t>
        </is>
      </c>
      <c r="T167" s="32" t="n">
        <v>18.91</v>
      </c>
      <c r="U167" s="32" t="n">
        <v>-0.06</v>
      </c>
      <c r="V167" s="32" t="n">
        <v>-15.95</v>
      </c>
      <c r="W167" s="32" t="n">
        <v>4.23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Between 50% to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IF(B168=0,"",RANK(B168,$B$2:$B$250,0))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KECL</t>
        </is>
      </c>
      <c r="D168" s="31" t="inlineStr">
        <is>
          <t>Kirloskar Electric Company Limited</t>
        </is>
      </c>
      <c r="E168" s="31" t="inlineStr">
        <is>
          <t>industrials</t>
        </is>
      </c>
      <c r="F168" s="31" t="inlineStr">
        <is>
          <t>electric equipment</t>
        </is>
      </c>
      <c r="G168" s="31" t="inlineStr">
        <is>
          <t>smallcap</t>
        </is>
      </c>
      <c r="H168" s="32" t="n">
        <v>952.91</v>
      </c>
      <c r="I168" s="32" t="n">
        <v>136.17</v>
      </c>
      <c r="J168" s="32" t="n">
        <v>-5.09</v>
      </c>
      <c r="K168" s="32" t="n">
        <v>163321</v>
      </c>
      <c r="L168" s="31" t="n">
        <v>30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63.1</v>
      </c>
      <c r="P168" s="32" t="n">
        <v>27.91</v>
      </c>
      <c r="Q168" s="32" t="n">
        <v>96.34999999999999</v>
      </c>
      <c r="R168" s="31" t="inlineStr">
        <is>
          <t>Volume Spike &amp; Near 52W High Breakout</t>
        </is>
      </c>
      <c r="S168" s="31" t="inlineStr">
        <is>
          <t>Nifty Infra</t>
        </is>
      </c>
      <c r="T168" s="32" t="n">
        <v>3.07</v>
      </c>
      <c r="U168" s="32" t="n">
        <v>3.22</v>
      </c>
      <c r="V168" s="32" t="n">
        <v>0.14</v>
      </c>
      <c r="W168" s="32" t="n">
        <v>6.69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IF(B169=0,"",RANK(B169,$B$2:$B$250,0))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APLAPOLLO</t>
        </is>
      </c>
      <c r="D169" s="33" t="inlineStr">
        <is>
          <t>Apl Apollo Tubes Limited</t>
        </is>
      </c>
      <c r="E169" s="31" t="inlineStr">
        <is>
          <t>industrials</t>
        </is>
      </c>
      <c r="F169" s="31" t="inlineStr">
        <is>
          <t>steel - large</t>
        </is>
      </c>
      <c r="G169" s="31" t="inlineStr">
        <is>
          <t>largecap</t>
        </is>
      </c>
      <c r="H169" s="32" t="n">
        <v>51916.57</v>
      </c>
      <c r="I169" s="32" t="n">
        <v>1893.1</v>
      </c>
      <c r="J169" s="32" t="n">
        <v>1.25</v>
      </c>
      <c r="K169" s="32" t="n">
        <v>472980</v>
      </c>
      <c r="L169" s="31" t="n">
        <v>15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50.73</v>
      </c>
      <c r="P169" s="32" t="n">
        <v>8.859999999999999</v>
      </c>
      <c r="Q169" s="32" t="n">
        <v>1638.76</v>
      </c>
      <c r="R169" s="31" t="inlineStr">
        <is>
          <t>Earnings / Momentum Support</t>
        </is>
      </c>
      <c r="S169" s="31" t="inlineStr">
        <is>
          <t>Nifty Metal</t>
        </is>
      </c>
      <c r="T169" s="32" t="n">
        <v>34.77</v>
      </c>
      <c r="U169" s="32" t="n">
        <v>23.11</v>
      </c>
      <c r="V169" s="32" t="n">
        <v>-8.65</v>
      </c>
      <c r="W169" s="32" t="n">
        <v>3.44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Oligopoly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Cyclical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B2C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Fully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Yes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Between 1.5 to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IF(B170=0,"",RANK(B170,$B$2:$B$250,0))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AUROPHARMA</t>
        </is>
      </c>
      <c r="D170" s="31" t="inlineStr">
        <is>
          <t>Aurobindo Pharma Limited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largecap</t>
        </is>
      </c>
      <c r="H170" s="32" t="n">
        <v>91525.36</v>
      </c>
      <c r="I170" s="32" t="n">
        <v>1576.3</v>
      </c>
      <c r="J170" s="32" t="n">
        <v>-0.91</v>
      </c>
      <c r="K170" s="32" t="n">
        <v>733318</v>
      </c>
      <c r="L170" s="31" t="n">
        <v>49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66.93000000000001</v>
      </c>
      <c r="P170" s="32" t="n">
        <v>44.23</v>
      </c>
      <c r="Q170" s="32" t="n">
        <v>1383.1</v>
      </c>
      <c r="R170" s="31" t="inlineStr">
        <is>
          <t>Near 52W High Breakout</t>
        </is>
      </c>
      <c r="S170" s="31" t="inlineStr">
        <is>
          <t>Nifty Pharma</t>
        </is>
      </c>
      <c r="T170" s="32" t="n">
        <v>19.69</v>
      </c>
      <c r="U170" s="32" t="n">
        <v>46.53</v>
      </c>
      <c r="V170" s="32" t="n">
        <v>22.42</v>
      </c>
      <c r="W170" s="32" t="n">
        <v>10.84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IF(B171=0,"",RANK(B171,$B$2:$B$250,0))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APCOTEXIND</t>
        </is>
      </c>
      <c r="D171" s="31" t="inlineStr">
        <is>
          <t>Apcotex Industries Limited</t>
        </is>
      </c>
      <c r="E171" s="31" t="inlineStr">
        <is>
          <t>chemicals</t>
        </is>
      </c>
      <c r="F171" s="31" t="inlineStr">
        <is>
          <t>miscellaneous</t>
        </is>
      </c>
      <c r="G171" s="31" t="inlineStr">
        <is>
          <t>smallcap</t>
        </is>
      </c>
      <c r="H171" s="32" t="n">
        <v>3533.75</v>
      </c>
      <c r="I171" s="32" t="n">
        <v>637.45</v>
      </c>
      <c r="J171" s="32" t="n">
        <v>-6.48</v>
      </c>
      <c r="K171" s="32" t="n">
        <v>2737312</v>
      </c>
      <c r="L171" s="31" t="n">
        <v>80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75.52</v>
      </c>
      <c r="P171" s="32" t="n">
        <v>58.7</v>
      </c>
      <c r="Q171" s="32" t="n">
        <v>479.31</v>
      </c>
      <c r="R171" s="31" t="inlineStr">
        <is>
          <t>Volume Spike &amp; Near 52W High Breakout</t>
        </is>
      </c>
      <c r="S171" s="31" t="inlineStr">
        <is>
          <t>Nifty 50</t>
        </is>
      </c>
      <c r="T171" s="32" t="n">
        <v>-1.01</v>
      </c>
      <c r="U171" s="32" t="n">
        <v>52.9</v>
      </c>
      <c r="V171" s="32" t="n">
        <v>54.46</v>
      </c>
      <c r="W171" s="32" t="n">
        <v>23.54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Oligopoly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Cyclical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Fully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1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Sideways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Overhead supply in last 2 years in last 2 years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IF(B172=0,"",RANK(B172,$B$2:$B$250,0))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GANECOS</t>
        </is>
      </c>
      <c r="D172" s="33" t="inlineStr">
        <is>
          <t>Ganesha Ecosphere Limited</t>
        </is>
      </c>
      <c r="E172" s="31" t="inlineStr">
        <is>
          <t>textiles</t>
        </is>
      </c>
      <c r="F172" s="31" t="inlineStr">
        <is>
          <t>textiles - manmade</t>
        </is>
      </c>
      <c r="G172" s="31" t="inlineStr">
        <is>
          <t>smallcap</t>
        </is>
      </c>
      <c r="H172" s="32" t="n">
        <v>3223.42</v>
      </c>
      <c r="I172" s="32" t="n">
        <v>1204.95</v>
      </c>
      <c r="J172" s="32" t="n">
        <v>0.17</v>
      </c>
      <c r="K172" s="32" t="n">
        <v>154309</v>
      </c>
      <c r="L172" s="31" t="n">
        <v>16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64.29000000000001</v>
      </c>
      <c r="P172" s="32" t="n">
        <v>20.26</v>
      </c>
      <c r="Q172" s="32" t="n">
        <v>888.01</v>
      </c>
      <c r="R172" s="31" t="inlineStr">
        <is>
          <t>Earnings / Momentum Support</t>
        </is>
      </c>
      <c r="S172" s="31" t="inlineStr">
        <is>
          <t>Nifty 50</t>
        </is>
      </c>
      <c r="T172" s="32" t="n">
        <v>-1.01</v>
      </c>
      <c r="U172" s="32" t="n">
        <v>-18.6</v>
      </c>
      <c r="V172" s="32" t="n">
        <v>-17.77</v>
      </c>
      <c r="W172" s="32" t="n">
        <v>3.53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IF(B173=0,"",RANK(B173,$B$2:$B$250,0))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NAUKRI</t>
        </is>
      </c>
      <c r="D173" s="31" t="inlineStr">
        <is>
          <t>Info Edge (india) Limited</t>
        </is>
      </c>
      <c r="E173" s="31" t="inlineStr">
        <is>
          <t>i.t</t>
        </is>
      </c>
      <c r="F173" s="31" t="inlineStr">
        <is>
          <t>miscellaneous</t>
        </is>
      </c>
      <c r="G173" s="31" t="inlineStr">
        <is>
          <t>largecap</t>
        </is>
      </c>
      <c r="H173" s="32" t="n">
        <v>80913.16</v>
      </c>
      <c r="I173" s="32" t="n">
        <v>1244.05</v>
      </c>
      <c r="J173" s="32" t="n">
        <v>-0.3</v>
      </c>
      <c r="K173" s="32" t="n">
        <v>1007603</v>
      </c>
      <c r="L173" s="31" t="n">
        <v>23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64.48999999999999</v>
      </c>
      <c r="P173" s="32" t="n">
        <v>19.6</v>
      </c>
      <c r="Q173" s="32" t="n">
        <v>996.1900000000001</v>
      </c>
      <c r="R173" s="31" t="inlineStr">
        <is>
          <t>Earnings / Momentum Support</t>
        </is>
      </c>
      <c r="S173" s="31" t="inlineStr">
        <is>
          <t>Nifty IT</t>
        </is>
      </c>
      <c r="T173" s="32" t="n">
        <v>-9.970000000000001</v>
      </c>
      <c r="U173" s="32" t="n">
        <v>-8.41</v>
      </c>
      <c r="V173" s="32" t="n">
        <v>1.73</v>
      </c>
      <c r="W173" s="32" t="n">
        <v>5.24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IF(B174=0,"",RANK(B174,$B$2:$B$250,0))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ETERNAL</t>
        </is>
      </c>
      <c r="D174" s="31" t="inlineStr">
        <is>
          <t>Eternal Ltd</t>
        </is>
      </c>
      <c r="E174" s="31" t="inlineStr">
        <is>
          <t>i.t</t>
        </is>
      </c>
      <c r="F174" s="31" t="inlineStr">
        <is>
          <t>miscellaneous</t>
        </is>
      </c>
      <c r="G174" s="31" t="inlineStr">
        <is>
          <t>largecap</t>
        </is>
      </c>
      <c r="H174" s="32" t="n">
        <v>300897.93</v>
      </c>
      <c r="I174" s="32" t="n">
        <v>310.65</v>
      </c>
      <c r="J174" s="32" t="n">
        <v>-0.37</v>
      </c>
      <c r="K174" s="32" t="n">
        <v>32431887</v>
      </c>
      <c r="L174" s="31" t="n">
        <v>30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64.03</v>
      </c>
      <c r="P174" s="32" t="n">
        <v>14.03</v>
      </c>
      <c r="Q174" s="32" t="n">
        <v>245</v>
      </c>
      <c r="R174" s="31" t="inlineStr">
        <is>
          <t>Earnings / Momentum Support</t>
        </is>
      </c>
      <c r="S174" s="31" t="inlineStr">
        <is>
          <t>Nifty IT</t>
        </is>
      </c>
      <c r="T174" s="32" t="n">
        <v>-9.970000000000001</v>
      </c>
      <c r="U174" s="32" t="n">
        <v>1.94</v>
      </c>
      <c r="V174" s="32" t="n">
        <v>13.23</v>
      </c>
      <c r="W174" s="32" t="n">
        <v>6.45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IF(B175=0,"",RANK(B175,$B$2:$B$250,0))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MAHLOG</t>
        </is>
      </c>
      <c r="D175" s="31" t="inlineStr">
        <is>
          <t>Mahindra Logistics Ltd</t>
        </is>
      </c>
      <c r="E175" s="31" t="inlineStr">
        <is>
          <t>transportation</t>
        </is>
      </c>
      <c r="F175" s="31" t="inlineStr">
        <is>
          <t>miscellaneous</t>
        </is>
      </c>
      <c r="G175" s="31" t="inlineStr">
        <is>
          <t>smallcap</t>
        </is>
      </c>
      <c r="H175" s="32" t="n">
        <v>4062.66</v>
      </c>
      <c r="I175" s="32" t="n">
        <v>402.65</v>
      </c>
      <c r="J175" s="32" t="n">
        <v>-1.66</v>
      </c>
      <c r="K175" s="32" t="n">
        <v>163081</v>
      </c>
      <c r="L175" s="31" t="n">
        <v>20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57.92</v>
      </c>
      <c r="P175" s="32" t="n">
        <v>19.47</v>
      </c>
      <c r="Q175" s="32" t="n">
        <v>320.74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-1.01</v>
      </c>
      <c r="U175" s="32" t="n">
        <v>23.76</v>
      </c>
      <c r="V175" s="32" t="n">
        <v>25.02</v>
      </c>
      <c r="W175" s="32" t="n">
        <v>4.65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IF(B176=0,"",RANK(B176,$B$2:$B$250,0))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HIRECT</t>
        </is>
      </c>
      <c r="D176" s="31" t="inlineStr">
        <is>
          <t>Hind Rectifiers Limited</t>
        </is>
      </c>
      <c r="E176" s="31" t="inlineStr">
        <is>
          <t>consumer discretionary</t>
        </is>
      </c>
      <c r="F176" s="31" t="inlineStr">
        <is>
          <t>electronics - components</t>
        </is>
      </c>
      <c r="G176" s="31" t="inlineStr">
        <is>
          <t>smallcap</t>
        </is>
      </c>
      <c r="H176" s="32" t="n">
        <v>4547.79</v>
      </c>
      <c r="I176" s="32" t="n">
        <v>1300.4</v>
      </c>
      <c r="J176" s="32" t="n">
        <v>-1.72</v>
      </c>
      <c r="K176" s="32" t="n">
        <v>199318</v>
      </c>
      <c r="L176" s="31" t="n">
        <v>73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76.2</v>
      </c>
      <c r="P176" s="32" t="n">
        <v>32.06</v>
      </c>
      <c r="Q176" s="32" t="n">
        <v>924.9299999999999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-1.01</v>
      </c>
      <c r="U176" s="32" t="n">
        <v>37.17</v>
      </c>
      <c r="V176" s="32" t="n">
        <v>38.57</v>
      </c>
      <c r="W176" s="32" t="n">
        <v>18.52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IF(B177=0,"",RANK(B177,$B$2:$B$250,0))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SENCO</t>
        </is>
      </c>
      <c r="D177" s="31" t="inlineStr">
        <is>
          <t>Senco Gold Ltd</t>
        </is>
      </c>
      <c r="E177" s="31" t="inlineStr">
        <is>
          <t>consumer discretionary</t>
        </is>
      </c>
      <c r="F177" s="31" t="inlineStr">
        <is>
          <t>diamond cutting / jewellery</t>
        </is>
      </c>
      <c r="G177" s="31" t="inlineStr">
        <is>
          <t>midcap</t>
        </is>
      </c>
      <c r="H177" s="32" t="n">
        <v>6773.09</v>
      </c>
      <c r="I177" s="32" t="n">
        <v>404.85</v>
      </c>
      <c r="J177" s="32" t="n">
        <v>-2.07</v>
      </c>
      <c r="K177" s="32" t="n">
        <v>1193415</v>
      </c>
      <c r="L177" s="31" t="n">
        <v>52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66.44</v>
      </c>
      <c r="P177" s="32" t="n">
        <v>28.22</v>
      </c>
      <c r="Q177" s="32" t="n">
        <v>308.5</v>
      </c>
      <c r="R177" s="31" t="inlineStr">
        <is>
          <t>Volume Spike &amp; Near 52W High Breakout</t>
        </is>
      </c>
      <c r="S177" s="31" t="inlineStr">
        <is>
          <t>Nifty 50</t>
        </is>
      </c>
      <c r="T177" s="32" t="n">
        <v>-1.01</v>
      </c>
      <c r="U177" s="32" t="n">
        <v>29.44</v>
      </c>
      <c r="V177" s="32" t="n">
        <v>30.77</v>
      </c>
      <c r="W177" s="32" t="n">
        <v>11.79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Negative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IF(B178=0,"",RANK(B178,$B$2:$B$250,0))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KANPRPLA</t>
        </is>
      </c>
      <c r="D178" s="31" t="inlineStr">
        <is>
          <t>Kanpur Plastipack Ltd</t>
        </is>
      </c>
      <c r="E178" s="31" t="inlineStr">
        <is>
          <t>industrials</t>
        </is>
      </c>
      <c r="F178" s="31" t="inlineStr">
        <is>
          <t>packaging</t>
        </is>
      </c>
      <c r="G178" s="31" t="inlineStr">
        <is>
          <t>smallcap</t>
        </is>
      </c>
      <c r="H178" s="32" t="n">
        <v>527.11</v>
      </c>
      <c r="I178" s="32" t="n">
        <v>210.84</v>
      </c>
      <c r="J178" s="32" t="n">
        <v>-2.09</v>
      </c>
      <c r="K178" s="32" t="n">
        <v>17114</v>
      </c>
      <c r="L178" s="31" t="n">
        <v>9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56.47</v>
      </c>
      <c r="P178" s="32" t="n">
        <v>12.41</v>
      </c>
      <c r="Q178" s="32" t="n">
        <v>151.58</v>
      </c>
      <c r="R178" s="31" t="inlineStr">
        <is>
          <t>Earnings / Momentum Support</t>
        </is>
      </c>
      <c r="S178" s="31" t="inlineStr">
        <is>
          <t>Nifty 50</t>
        </is>
      </c>
      <c r="T178" s="32" t="n">
        <v>-1.01</v>
      </c>
      <c r="U178" s="32" t="n">
        <v>3.29</v>
      </c>
      <c r="V178" s="32" t="n">
        <v>4.34</v>
      </c>
      <c r="W178" s="32" t="n">
        <v>1.77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IF(B179=0,"",RANK(B179,$B$2:$B$250,0))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MMFL</t>
        </is>
      </c>
      <c r="D179" s="31" t="inlineStr">
        <is>
          <t>Mm Forgings Limited</t>
        </is>
      </c>
      <c r="E179" s="31" t="inlineStr">
        <is>
          <t>industrials</t>
        </is>
      </c>
      <c r="F179" s="31" t="inlineStr">
        <is>
          <t>castings &amp; forgings</t>
        </is>
      </c>
      <c r="G179" s="31" t="inlineStr">
        <is>
          <t>smallcap</t>
        </is>
      </c>
      <c r="H179" s="32" t="n">
        <v>2649.21</v>
      </c>
      <c r="I179" s="32" t="n">
        <v>535</v>
      </c>
      <c r="J179" s="32" t="n">
        <v>-2.5</v>
      </c>
      <c r="K179" s="32" t="n">
        <v>30165</v>
      </c>
      <c r="L179" s="31" t="n">
        <v>57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66.59</v>
      </c>
      <c r="P179" s="32" t="n">
        <v>18.21</v>
      </c>
      <c r="Q179" s="32" t="n">
        <v>428.93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-1.01</v>
      </c>
      <c r="U179" s="32" t="n">
        <v>60.6</v>
      </c>
      <c r="V179" s="32" t="n">
        <v>62.24</v>
      </c>
      <c r="W179" s="32" t="n">
        <v>12.75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More than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IF(B180=0,"",RANK(B180,$B$2:$B$250,0))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PYRAMID</t>
        </is>
      </c>
      <c r="D180" s="31" t="inlineStr">
        <is>
          <t>Pyramid Technoplast Ltd</t>
        </is>
      </c>
      <c r="E180" s="31" t="inlineStr">
        <is>
          <t>industrials</t>
        </is>
      </c>
      <c r="F180" s="31" t="inlineStr">
        <is>
          <t>packaging</t>
        </is>
      </c>
      <c r="G180" s="31" t="inlineStr">
        <is>
          <t>smallcap</t>
        </is>
      </c>
      <c r="H180" s="32" t="n">
        <v>683.76</v>
      </c>
      <c r="I180" s="32" t="n">
        <v>180.85</v>
      </c>
      <c r="J180" s="32" t="n">
        <v>-2.71</v>
      </c>
      <c r="K180" s="32" t="n">
        <v>83598</v>
      </c>
      <c r="L180" s="31" t="n">
        <v>13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59.64</v>
      </c>
      <c r="P180" s="32" t="n">
        <v>10.21</v>
      </c>
      <c r="Q180" s="32" t="n">
        <v>136.13</v>
      </c>
      <c r="R180" s="31" t="inlineStr">
        <is>
          <t>Volume Spike &amp; Near 52W High Breakout</t>
        </is>
      </c>
      <c r="S180" s="31" t="inlineStr">
        <is>
          <t>Nifty 50</t>
        </is>
      </c>
      <c r="T180" s="32" t="n">
        <v>-1.01</v>
      </c>
      <c r="U180" s="32" t="n">
        <v>9.59</v>
      </c>
      <c r="V180" s="32" t="n">
        <v>10.71</v>
      </c>
      <c r="W180" s="32" t="n">
        <v>2.75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Negative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IF(B181=0,"",RANK(B181,$B$2:$B$250,0))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KAMDHENU</t>
        </is>
      </c>
      <c r="D181" s="33" t="inlineStr">
        <is>
          <t>Kamdhenu Limited</t>
        </is>
      </c>
      <c r="E181" s="31" t="inlineStr">
        <is>
          <t>metals &amp; mining</t>
        </is>
      </c>
      <c r="F181" s="31" t="inlineStr">
        <is>
          <t>steel - medium / small</t>
        </is>
      </c>
      <c r="G181" s="31" t="inlineStr">
        <is>
          <t>smallcap</t>
        </is>
      </c>
      <c r="H181" s="32" t="n">
        <v>1010.55</v>
      </c>
      <c r="I181" s="32" t="n">
        <v>34.06</v>
      </c>
      <c r="J181" s="32" t="n">
        <v>-4.99</v>
      </c>
      <c r="K181" s="32" t="n">
        <v>832028</v>
      </c>
      <c r="L181" s="31" t="n">
        <v>68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66.45</v>
      </c>
      <c r="P181" s="32" t="n">
        <v>35.04</v>
      </c>
      <c r="Q181" s="32" t="n">
        <v>26.96</v>
      </c>
      <c r="R181" s="31" t="inlineStr">
        <is>
          <t>Earnings / Momentum Support</t>
        </is>
      </c>
      <c r="S181" s="31" t="inlineStr">
        <is>
          <t>Nifty Metal</t>
        </is>
      </c>
      <c r="T181" s="32" t="n">
        <v>34.77</v>
      </c>
      <c r="U181" s="32" t="n">
        <v>15.08</v>
      </c>
      <c r="V181" s="32" t="n">
        <v>-14.6</v>
      </c>
      <c r="W181" s="32" t="n">
        <v>17.07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Cyclical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Volatile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IF(B182=0,"",RANK(B182,$B$2:$B$250,0))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ABDL</t>
        </is>
      </c>
      <c r="D182" s="31" t="inlineStr">
        <is>
          <t>Allied Blenders &amp; Distillers Ltd</t>
        </is>
      </c>
      <c r="E182" s="31" t="inlineStr">
        <is>
          <t>fmcg</t>
        </is>
      </c>
      <c r="F182" s="31" t="inlineStr">
        <is>
          <t>breweries &amp; distilleries</t>
        </is>
      </c>
      <c r="G182" s="31" t="inlineStr">
        <is>
          <t>midcap</t>
        </is>
      </c>
      <c r="H182" s="32" t="n">
        <v>18035.71</v>
      </c>
      <c r="I182" s="32" t="n">
        <v>648.45</v>
      </c>
      <c r="J182" s="32" t="n">
        <v>0.57</v>
      </c>
      <c r="K182" s="32" t="n">
        <v>318327</v>
      </c>
      <c r="L182" s="31" t="n">
        <v>57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61.28</v>
      </c>
      <c r="P182" s="32" t="n">
        <v>25.11</v>
      </c>
      <c r="Q182" s="32" t="n">
        <v>506.03</v>
      </c>
      <c r="R182" s="31" t="inlineStr">
        <is>
          <t>Near 52W High Breakout</t>
        </is>
      </c>
      <c r="S182" s="31" t="inlineStr">
        <is>
          <t>Nifty FMCG</t>
        </is>
      </c>
      <c r="T182" s="32" t="n">
        <v>-9.050000000000001</v>
      </c>
      <c r="U182" s="32" t="n">
        <v>42.27</v>
      </c>
      <c r="V182" s="32" t="n">
        <v>56.42</v>
      </c>
      <c r="W182" s="32" t="n">
        <v>13.16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B2C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IF(B183=0,"",RANK(B183,$B$2:$B$250,0))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3" t="inlineStr">
        <is>
          <t>TARSONS</t>
        </is>
      </c>
      <c r="D183" s="33" t="inlineStr">
        <is>
          <t>Tarsons Products Ltd</t>
        </is>
      </c>
      <c r="E183" s="31" t="inlineStr">
        <is>
          <t>healthcare</t>
        </is>
      </c>
      <c r="F183" s="31" t="inlineStr">
        <is>
          <t>miscellaneous</t>
        </is>
      </c>
      <c r="G183" s="31" t="inlineStr">
        <is>
          <t>smallcap</t>
        </is>
      </c>
      <c r="H183" s="32" t="n">
        <v>1702.6</v>
      </c>
      <c r="I183" s="32" t="n">
        <v>316.45</v>
      </c>
      <c r="J183" s="32" t="n">
        <v>-1.11</v>
      </c>
      <c r="K183" s="32" t="n">
        <v>47354</v>
      </c>
      <c r="L183" s="31" t="n">
        <v>41</v>
      </c>
      <c r="M183" s="31" t="inlineStr">
        <is>
          <t>Underperforming</t>
        </is>
      </c>
      <c r="N183" s="32">
        <f>IF(M183="Underperforming",-5,IF(L183&gt;=95,15,IF(L183&gt;=90,10,IF(L183&gt;=80,5,0))))</f>
        <v/>
      </c>
      <c r="O183" s="32" t="n">
        <v>68.95999999999999</v>
      </c>
      <c r="P183" s="32" t="n">
        <v>28.92</v>
      </c>
      <c r="Q183" s="32" t="n">
        <v>225.55</v>
      </c>
      <c r="R183" s="31" t="inlineStr">
        <is>
          <t>Earnings / Momentum Support</t>
        </is>
      </c>
      <c r="S183" s="31" t="inlineStr">
        <is>
          <t>Nifty Pharma</t>
        </is>
      </c>
      <c r="T183" s="32" t="n">
        <v>19.69</v>
      </c>
      <c r="U183" s="32" t="n">
        <v>-15.14</v>
      </c>
      <c r="V183" s="32" t="n">
        <v>-29.1</v>
      </c>
      <c r="W183" s="32" t="n">
        <v>9.039999999999999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IF(B184=0,"",RANK(B184,$B$2:$B$250,0))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MAHASTEEL</t>
        </is>
      </c>
      <c r="D184" s="31" t="inlineStr">
        <is>
          <t>Mahamaya Steel Industries Limited</t>
        </is>
      </c>
      <c r="E184" s="31" t="inlineStr">
        <is>
          <t>metals &amp; mining</t>
        </is>
      </c>
      <c r="F184" s="31" t="inlineStr">
        <is>
          <t>steel - medium / small</t>
        </is>
      </c>
      <c r="G184" s="31" t="inlineStr">
        <is>
          <t>smallcap</t>
        </is>
      </c>
      <c r="H184" s="32" t="n">
        <v>1488.38</v>
      </c>
      <c r="I184" s="32" t="n">
        <v>966.25</v>
      </c>
      <c r="J184" s="32" t="n">
        <v>6.69</v>
      </c>
      <c r="K184" s="32" t="n">
        <v>27992</v>
      </c>
      <c r="L184" s="31" t="n">
        <v>85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59.83</v>
      </c>
      <c r="P184" s="32" t="n">
        <v>17.2</v>
      </c>
      <c r="Q184" s="32" t="n">
        <v>665.23</v>
      </c>
      <c r="R184" s="31" t="inlineStr">
        <is>
          <t>Volume Spike &amp; Near 52W High Breakout</t>
        </is>
      </c>
      <c r="S184" s="31" t="inlineStr">
        <is>
          <t>Nifty Metal</t>
        </is>
      </c>
      <c r="T184" s="32" t="n">
        <v>34.77</v>
      </c>
      <c r="U184" s="32" t="n">
        <v>168.4</v>
      </c>
      <c r="V184" s="32" t="n">
        <v>99.16</v>
      </c>
      <c r="W184" s="32" t="n">
        <v>26.78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Cyclical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Volatile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IF(B185=0,"",RANK(B185,$B$2:$B$250,0))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DEEPINDS</t>
        </is>
      </c>
      <c r="D185" s="31" t="inlineStr">
        <is>
          <t>Deep Industries Ltd</t>
        </is>
      </c>
      <c r="E185" s="31" t="inlineStr">
        <is>
          <t>energy</t>
        </is>
      </c>
      <c r="F185" s="31" t="inlineStr">
        <is>
          <t>oil drilling / allied services</t>
        </is>
      </c>
      <c r="G185" s="31" t="inlineStr">
        <is>
          <t>smallcap</t>
        </is>
      </c>
      <c r="H185" s="32" t="n">
        <v>3474.88</v>
      </c>
      <c r="I185" s="32" t="n">
        <v>548.8</v>
      </c>
      <c r="J185" s="32" t="n">
        <v>1.08</v>
      </c>
      <c r="K185" s="32" t="n">
        <v>1503068</v>
      </c>
      <c r="L185" s="31" t="n">
        <v>40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64.83</v>
      </c>
      <c r="P185" s="32" t="n">
        <v>14.33</v>
      </c>
      <c r="Q185" s="32" t="n">
        <v>412.01</v>
      </c>
      <c r="R185" s="31" t="inlineStr">
        <is>
          <t>Volume Spike &amp; Near 52W High Breakout</t>
        </is>
      </c>
      <c r="S185" s="31" t="inlineStr">
        <is>
          <t>Nifty Energy</t>
        </is>
      </c>
      <c r="T185" s="32" t="n">
        <v>8.69</v>
      </c>
      <c r="U185" s="32" t="n">
        <v>22.4</v>
      </c>
      <c r="V185" s="32" t="n">
        <v>12.61</v>
      </c>
      <c r="W185" s="32" t="n">
        <v>8.74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Oligopoly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Cyclical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Volatile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IF(B186=0,"",RANK(B186,$B$2:$B$250,0))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ASIANENE</t>
        </is>
      </c>
      <c r="D186" s="31" t="inlineStr">
        <is>
          <t>Asian Energy Services Ltd</t>
        </is>
      </c>
      <c r="E186" s="31" t="inlineStr">
        <is>
          <t>energy</t>
        </is>
      </c>
      <c r="F186" s="31" t="inlineStr">
        <is>
          <t>oil drilling / allied services</t>
        </is>
      </c>
      <c r="G186" s="31" t="inlineStr">
        <is>
          <t>smallcap</t>
        </is>
      </c>
      <c r="H186" s="32" t="n">
        <v>1890.96</v>
      </c>
      <c r="I186" s="32" t="n">
        <v>392.25</v>
      </c>
      <c r="J186" s="32" t="n">
        <v>0.87</v>
      </c>
      <c r="K186" s="32" t="n">
        <v>721100</v>
      </c>
      <c r="L186" s="31" t="n">
        <v>61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64.06</v>
      </c>
      <c r="P186" s="32" t="n">
        <v>14.06</v>
      </c>
      <c r="Q186" s="32" t="n">
        <v>281.81</v>
      </c>
      <c r="R186" s="31" t="inlineStr">
        <is>
          <t>Volume Spike &amp; Near 52W High Breakout</t>
        </is>
      </c>
      <c r="S186" s="31" t="inlineStr">
        <is>
          <t>Nifty Energy</t>
        </is>
      </c>
      <c r="T186" s="32" t="n">
        <v>8.69</v>
      </c>
      <c r="U186" s="32" t="n">
        <v>37.95</v>
      </c>
      <c r="V186" s="32" t="n">
        <v>26.92</v>
      </c>
      <c r="W186" s="32" t="n">
        <v>14.79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Oligopoly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Cyclical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Volatile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IF(B187=0,"",RANK(B187,$B$2:$B$250,0))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KAPSTON</t>
        </is>
      </c>
      <c r="D187" s="31" t="inlineStr">
        <is>
          <t>Kapston Services Ltd</t>
        </is>
      </c>
      <c r="E187" s="31" t="inlineStr">
        <is>
          <t>miscellaneous</t>
        </is>
      </c>
      <c r="F187" s="31" t="inlineStr">
        <is>
          <t>miscellaneous</t>
        </is>
      </c>
      <c r="G187" s="31" t="inlineStr">
        <is>
          <t>smallcap</t>
        </is>
      </c>
      <c r="H187" s="32" t="n">
        <v>1403.68</v>
      </c>
      <c r="I187" s="32" t="n">
        <v>464</v>
      </c>
      <c r="J187" s="32" t="n">
        <v>0.6</v>
      </c>
      <c r="K187" s="32" t="n">
        <v>28409</v>
      </c>
      <c r="L187" s="31" t="n">
        <v>76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74.73999999999999</v>
      </c>
      <c r="P187" s="32" t="n">
        <v>23.97</v>
      </c>
      <c r="Q187" s="32" t="n">
        <v>354.69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-1.01</v>
      </c>
      <c r="U187" s="32" t="n">
        <v>79.48</v>
      </c>
      <c r="V187" s="32" t="n">
        <v>81.31999999999999</v>
      </c>
      <c r="W187" s="32" t="n">
        <v>20.96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Less than 50% and Borrowings are increasing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More than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IF(B188=0,"",RANK(B188,$B$2:$B$250,0))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UNOMINDA</t>
        </is>
      </c>
      <c r="D188" s="33" t="inlineStr">
        <is>
          <t>Uno Minda Ltd</t>
        </is>
      </c>
      <c r="E188" s="31" t="inlineStr">
        <is>
          <t>auto</t>
        </is>
      </c>
      <c r="F188" s="31" t="inlineStr">
        <is>
          <t>auto ancillaries</t>
        </is>
      </c>
      <c r="G188" s="31" t="inlineStr">
        <is>
          <t>largecap</t>
        </is>
      </c>
      <c r="H188" s="32" t="n">
        <v>67488.59</v>
      </c>
      <c r="I188" s="32" t="n">
        <v>1172.8</v>
      </c>
      <c r="J188" s="32" t="n">
        <v>0.35</v>
      </c>
      <c r="K188" s="32" t="n">
        <v>634771</v>
      </c>
      <c r="L188" s="31" t="n">
        <v>14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54.49</v>
      </c>
      <c r="P188" s="32" t="n">
        <v>16.49</v>
      </c>
      <c r="Q188" s="32" t="n">
        <v>948.17</v>
      </c>
      <c r="R188" s="31" t="inlineStr">
        <is>
          <t>Earnings / Momentum Support</t>
        </is>
      </c>
      <c r="S188" s="31" t="inlineStr">
        <is>
          <t>Nifty Auto</t>
        </is>
      </c>
      <c r="T188" s="32" t="n">
        <v>18.91</v>
      </c>
      <c r="U188" s="32" t="n">
        <v>8.33</v>
      </c>
      <c r="V188" s="32" t="n">
        <v>-8.9</v>
      </c>
      <c r="W188" s="32" t="n">
        <v>2.96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IF(B189=0,"",RANK(B189,$B$2:$B$250,0))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VARROC</t>
        </is>
      </c>
      <c r="D189" s="31" t="inlineStr">
        <is>
          <t>Varroc Engineering Ltd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midcap</t>
        </is>
      </c>
      <c r="H189" s="32" t="n">
        <v>10153.42</v>
      </c>
      <c r="I189" s="32" t="n">
        <v>664.6</v>
      </c>
      <c r="J189" s="32" t="n">
        <v>0.01</v>
      </c>
      <c r="K189" s="32" t="n">
        <v>108941</v>
      </c>
      <c r="L189" s="31" t="n">
        <v>50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65.81999999999999</v>
      </c>
      <c r="P189" s="32" t="n">
        <v>30.61</v>
      </c>
      <c r="Q189" s="32" t="n">
        <v>543.11</v>
      </c>
      <c r="R189" s="31" t="inlineStr">
        <is>
          <t>Near 52W High Breakout</t>
        </is>
      </c>
      <c r="S189" s="31" t="inlineStr">
        <is>
          <t>Nifty Auto</t>
        </is>
      </c>
      <c r="T189" s="32" t="n">
        <v>18.91</v>
      </c>
      <c r="U189" s="32" t="n">
        <v>23.66</v>
      </c>
      <c r="V189" s="32" t="n">
        <v>4</v>
      </c>
      <c r="W189" s="32" t="n">
        <v>11.24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IF(B190=0,"",RANK(B190,$B$2:$B$250,0))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TITAN</t>
        </is>
      </c>
      <c r="D190" s="31" t="inlineStr">
        <is>
          <t>Titan Company Limited</t>
        </is>
      </c>
      <c r="E190" s="31" t="inlineStr">
        <is>
          <t>consumer discretionary</t>
        </is>
      </c>
      <c r="F190" s="31" t="inlineStr">
        <is>
          <t>diamond cutting / jewellery</t>
        </is>
      </c>
      <c r="G190" s="31" t="inlineStr">
        <is>
          <t>largecap</t>
        </is>
      </c>
      <c r="H190" s="32" t="n">
        <v>430594.04</v>
      </c>
      <c r="I190" s="32" t="n">
        <v>4850</v>
      </c>
      <c r="J190" s="32" t="n">
        <v>0</v>
      </c>
      <c r="K190" s="32" t="n">
        <v>777361</v>
      </c>
      <c r="L190" s="31" t="n">
        <v>47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67.70999999999999</v>
      </c>
      <c r="P190" s="32" t="n">
        <v>18.77</v>
      </c>
      <c r="Q190" s="32" t="n">
        <v>4206.66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-1.01</v>
      </c>
      <c r="U190" s="32" t="n">
        <v>46.74</v>
      </c>
      <c r="V190" s="32" t="n">
        <v>48.24</v>
      </c>
      <c r="W190" s="32" t="n">
        <v>10.26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More than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IF(B191=0,"",RANK(B191,$B$2:$B$250,0))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TEXINFRA</t>
        </is>
      </c>
      <c r="D191" s="31" t="inlineStr">
        <is>
          <t>Texmaco Infrastructure &amp; Holdings Limited</t>
        </is>
      </c>
      <c r="E191" s="31" t="inlineStr">
        <is>
          <t>realty</t>
        </is>
      </c>
      <c r="F191" s="31" t="inlineStr">
        <is>
          <t>construction</t>
        </is>
      </c>
      <c r="G191" s="31" t="inlineStr">
        <is>
          <t>smallcap</t>
        </is>
      </c>
      <c r="H191" s="32" t="n">
        <v>1464</v>
      </c>
      <c r="I191" s="32" t="n">
        <v>114.74</v>
      </c>
      <c r="J191" s="32" t="n">
        <v>-0.13</v>
      </c>
      <c r="K191" s="32" t="n">
        <v>41906</v>
      </c>
      <c r="L191" s="31" t="n">
        <v>35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66.73</v>
      </c>
      <c r="P191" s="32" t="n">
        <v>34</v>
      </c>
      <c r="Q191" s="32" t="n">
        <v>95.01000000000001</v>
      </c>
      <c r="R191" s="31" t="inlineStr">
        <is>
          <t>Near 52W High Breakout</t>
        </is>
      </c>
      <c r="S191" s="31" t="inlineStr">
        <is>
          <t>Nifty Realty</t>
        </is>
      </c>
      <c r="T191" s="32" t="n">
        <v>-5.38</v>
      </c>
      <c r="U191" s="32" t="n">
        <v>16.7</v>
      </c>
      <c r="V191" s="32" t="n">
        <v>23.33</v>
      </c>
      <c r="W191" s="32" t="n">
        <v>7.32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Negative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IF(B192=0,"",RANK(B192,$B$2:$B$250,0))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HAL</t>
        </is>
      </c>
      <c r="D192" s="31" t="inlineStr">
        <is>
          <t>Hindustan Aeronautics Ltd</t>
        </is>
      </c>
      <c r="E192" s="31" t="inlineStr">
        <is>
          <t>aerospace &amp; defence</t>
        </is>
      </c>
      <c r="F192" s="31" t="inlineStr">
        <is>
          <t>engineering</t>
        </is>
      </c>
      <c r="G192" s="31" t="inlineStr">
        <is>
          <t>largecap</t>
        </is>
      </c>
      <c r="H192" s="32" t="n">
        <v>307101.48</v>
      </c>
      <c r="I192" s="32" t="n">
        <v>4581.4</v>
      </c>
      <c r="J192" s="32" t="n">
        <v>-0.23</v>
      </c>
      <c r="K192" s="32" t="n">
        <v>606007</v>
      </c>
      <c r="L192" s="31" t="n">
        <v>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57.69</v>
      </c>
      <c r="P192" s="32" t="n">
        <v>19.74</v>
      </c>
      <c r="Q192" s="32" t="n">
        <v>4079.33</v>
      </c>
      <c r="R192" s="31" t="inlineStr">
        <is>
          <t>Earnings / Momentum Support</t>
        </is>
      </c>
      <c r="S192" s="31" t="inlineStr">
        <is>
          <t>Nifty 500</t>
        </is>
      </c>
      <c r="T192" s="32" t="n">
        <v>3</v>
      </c>
      <c r="U192" s="32" t="n">
        <v>4.42</v>
      </c>
      <c r="V192" s="32" t="n">
        <v>1.38</v>
      </c>
      <c r="W192" s="32" t="n">
        <v>2.09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IF(B193=0,"",RANK(B193,$B$2:$B$250,0))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JSWSTEEL</t>
        </is>
      </c>
      <c r="D193" s="33" t="inlineStr">
        <is>
          <t>Jsw Steel Limited</t>
        </is>
      </c>
      <c r="E193" s="31" t="inlineStr">
        <is>
          <t>metals &amp; mining</t>
        </is>
      </c>
      <c r="F193" s="31" t="inlineStr">
        <is>
          <t>steel - large</t>
        </is>
      </c>
      <c r="G193" s="31" t="inlineStr">
        <is>
          <t>largecap</t>
        </is>
      </c>
      <c r="H193" s="32" t="n">
        <v>312186.65</v>
      </c>
      <c r="I193" s="32" t="n">
        <v>1270.8</v>
      </c>
      <c r="J193" s="32" t="n">
        <v>-0.45</v>
      </c>
      <c r="K193" s="32" t="n">
        <v>923153</v>
      </c>
      <c r="L193" s="31" t="n">
        <v>21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58.53</v>
      </c>
      <c r="P193" s="32" t="n">
        <v>29.02</v>
      </c>
      <c r="Q193" s="32" t="n">
        <v>1120.04</v>
      </c>
      <c r="R193" s="31" t="inlineStr">
        <is>
          <t>Near 52W High Breakout</t>
        </is>
      </c>
      <c r="S193" s="31" t="inlineStr">
        <is>
          <t>Nifty Metal</t>
        </is>
      </c>
      <c r="T193" s="32" t="n">
        <v>34.77</v>
      </c>
      <c r="U193" s="32" t="n">
        <v>24.46</v>
      </c>
      <c r="V193" s="32" t="n">
        <v>-7.65</v>
      </c>
      <c r="W193" s="32" t="n">
        <v>4.91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Between 0.7 to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IF(B194=0,"",RANK(B194,$B$2:$B$250,0))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RKFORGE</t>
        </is>
      </c>
      <c r="D194" s="31" t="inlineStr">
        <is>
          <t>Ramkrishna Forgings Limited</t>
        </is>
      </c>
      <c r="E194" s="31" t="inlineStr">
        <is>
          <t>industrials</t>
        </is>
      </c>
      <c r="F194" s="31" t="inlineStr">
        <is>
          <t>castings &amp; forgings</t>
        </is>
      </c>
      <c r="G194" s="31" t="inlineStr">
        <is>
          <t>midcap</t>
        </is>
      </c>
      <c r="H194" s="32" t="n">
        <v>11699.87</v>
      </c>
      <c r="I194" s="32" t="n">
        <v>626.4</v>
      </c>
      <c r="J194" s="32" t="n">
        <v>-2.47</v>
      </c>
      <c r="K194" s="32" t="n">
        <v>885269</v>
      </c>
      <c r="L194" s="31" t="n">
        <v>15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61.43</v>
      </c>
      <c r="P194" s="32" t="n">
        <v>8.31</v>
      </c>
      <c r="Q194" s="32" t="n">
        <v>496.58</v>
      </c>
      <c r="R194" s="31" t="inlineStr">
        <is>
          <t>Volume Spike &amp; Near 52W High Breakout</t>
        </is>
      </c>
      <c r="S194" s="31" t="inlineStr">
        <is>
          <t>Nifty 50</t>
        </is>
      </c>
      <c r="T194" s="32" t="n">
        <v>-1.01</v>
      </c>
      <c r="U194" s="32" t="n">
        <v>10.9</v>
      </c>
      <c r="V194" s="32" t="n">
        <v>12.03</v>
      </c>
      <c r="W194" s="32" t="n">
        <v>3.39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IF(B195=0,"",RANK(B195,$B$2:$B$250,0))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PRICOLLTD</t>
        </is>
      </c>
      <c r="D195" s="31" t="inlineStr">
        <is>
          <t>Pricol Ltd.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midcap</t>
        </is>
      </c>
      <c r="H195" s="32" t="n">
        <v>8050.88</v>
      </c>
      <c r="I195" s="32" t="n">
        <v>681.05</v>
      </c>
      <c r="J195" s="32" t="n">
        <v>3.1</v>
      </c>
      <c r="K195" s="32" t="n">
        <v>1870126</v>
      </c>
      <c r="L195" s="31" t="n">
        <v>55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65.56</v>
      </c>
      <c r="P195" s="32" t="n">
        <v>21.14</v>
      </c>
      <c r="Q195" s="32" t="n">
        <v>543.79</v>
      </c>
      <c r="R195" s="31" t="inlineStr">
        <is>
          <t>Near 52W High Breakout</t>
        </is>
      </c>
      <c r="S195" s="31" t="inlineStr">
        <is>
          <t>Nifty Auto</t>
        </is>
      </c>
      <c r="T195" s="32" t="n">
        <v>18.91</v>
      </c>
      <c r="U195" s="32" t="n">
        <v>56.14</v>
      </c>
      <c r="V195" s="32" t="n">
        <v>31.31</v>
      </c>
      <c r="W195" s="32" t="n">
        <v>12.47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Shallow Cyclical (2 to 3 Years Growth)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Fully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Allocated capital in Non-core Areas</t>
        </is>
      </c>
      <c r="AU195" s="31">
        <f>IF(AT195="Good",10,0)</f>
        <v/>
      </c>
      <c r="AV195" s="31" t="inlineStr">
        <is>
          <t>Yes only for next 1 to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Blue sky scenario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Yes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Between 1.5 to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IF(B196=0,"",RANK(B196,$B$2:$B$250,0))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GLAXO</t>
        </is>
      </c>
      <c r="D196" s="33" t="inlineStr">
        <is>
          <t>Glaxosmithkline Pharmaceuticals Limited</t>
        </is>
      </c>
      <c r="E196" s="31" t="inlineStr">
        <is>
          <t>healthcare</t>
        </is>
      </c>
      <c r="F196" s="31" t="inlineStr">
        <is>
          <t>pharmaceuticals - multinational</t>
        </is>
      </c>
      <c r="G196" s="31" t="inlineStr">
        <is>
          <t>largecap</t>
        </is>
      </c>
      <c r="H196" s="32" t="n">
        <v>44492.8</v>
      </c>
      <c r="I196" s="32" t="n">
        <v>2610.7</v>
      </c>
      <c r="J196" s="32" t="n">
        <v>-0.6</v>
      </c>
      <c r="K196" s="32" t="n">
        <v>68326</v>
      </c>
      <c r="L196" s="31" t="n">
        <v>8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62.01</v>
      </c>
      <c r="P196" s="32" t="n">
        <v>19.6</v>
      </c>
      <c r="Q196" s="32" t="n">
        <v>2191.08</v>
      </c>
      <c r="R196" s="31" t="inlineStr">
        <is>
          <t>Near 52W High Breakout</t>
        </is>
      </c>
      <c r="S196" s="31" t="inlineStr">
        <is>
          <t>Nifty Pharma</t>
        </is>
      </c>
      <c r="T196" s="32" t="n">
        <v>19.69</v>
      </c>
      <c r="U196" s="32" t="n">
        <v>-8.83</v>
      </c>
      <c r="V196" s="32" t="n">
        <v>-23.83</v>
      </c>
      <c r="W196" s="32" t="n">
        <v>1.47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IF(B197=0,"",RANK(B197,$B$2:$B$250,0))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KDDL</t>
        </is>
      </c>
      <c r="D197" s="31" t="inlineStr">
        <is>
          <t>Kddl Limited</t>
        </is>
      </c>
      <c r="E197" s="31" t="inlineStr">
        <is>
          <t>consumer discretionary</t>
        </is>
      </c>
      <c r="F197" s="31" t="inlineStr">
        <is>
          <t>miscellaneous</t>
        </is>
      </c>
      <c r="G197" s="31" t="inlineStr">
        <is>
          <t>smallcap</t>
        </is>
      </c>
      <c r="H197" s="32" t="n">
        <v>3843.4</v>
      </c>
      <c r="I197" s="32" t="n">
        <v>3191.8</v>
      </c>
      <c r="J197" s="32" t="n">
        <v>2.14</v>
      </c>
      <c r="K197" s="32" t="n">
        <v>14594</v>
      </c>
      <c r="L197" s="31" t="n">
        <v>53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65.43000000000001</v>
      </c>
      <c r="P197" s="32" t="n">
        <v>31.9</v>
      </c>
      <c r="Q197" s="32" t="n">
        <v>2480.77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-1.01</v>
      </c>
      <c r="U197" s="32" t="n">
        <v>22.84</v>
      </c>
      <c r="V197" s="32" t="n">
        <v>24.09</v>
      </c>
      <c r="W197" s="32" t="n">
        <v>12.06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Between 1.5 to 2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IF(B198=0,"",RANK(B198,$B$2:$B$250,0))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LOKESHMACH</t>
        </is>
      </c>
      <c r="D198" s="31" t="inlineStr">
        <is>
          <t>Lokesh Machines Limited</t>
        </is>
      </c>
      <c r="E198" s="31" t="inlineStr">
        <is>
          <t>industrials</t>
        </is>
      </c>
      <c r="F198" s="31" t="inlineStr">
        <is>
          <t>engineering</t>
        </is>
      </c>
      <c r="G198" s="31" t="inlineStr">
        <is>
          <t>smallcap</t>
        </is>
      </c>
      <c r="H198" s="32" t="n">
        <v>723.54</v>
      </c>
      <c r="I198" s="32" t="n">
        <v>338.5</v>
      </c>
      <c r="J198" s="32" t="n">
        <v>1.97</v>
      </c>
      <c r="K198" s="32" t="n">
        <v>14274</v>
      </c>
      <c r="L198" s="31" t="n">
        <v>76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75.20999999999999</v>
      </c>
      <c r="P198" s="32" t="n">
        <v>45.19</v>
      </c>
      <c r="Q198" s="32" t="n">
        <v>260.72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-1.01</v>
      </c>
      <c r="U198" s="32" t="n">
        <v>73.55</v>
      </c>
      <c r="V198" s="32" t="n">
        <v>75.33</v>
      </c>
      <c r="W198" s="32" t="n">
        <v>20.99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Negative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IF(B199=0,"",RANK(B199,$B$2:$B$250,0))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RAMRAT</t>
        </is>
      </c>
      <c r="D199" s="33" t="inlineStr">
        <is>
          <t>Ram Ratna Wires Ltd</t>
        </is>
      </c>
      <c r="E199" s="31" t="inlineStr">
        <is>
          <t>metals &amp; mining</t>
        </is>
      </c>
      <c r="F199" s="31" t="inlineStr">
        <is>
          <t>mining / minerals / metals</t>
        </is>
      </c>
      <c r="G199" s="31" t="inlineStr">
        <is>
          <t>smallcap</t>
        </is>
      </c>
      <c r="H199" s="32" t="n">
        <v>4261.39</v>
      </c>
      <c r="I199" s="32" t="n">
        <v>460.25</v>
      </c>
      <c r="J199" s="32" t="n">
        <v>0.82</v>
      </c>
      <c r="K199" s="32" t="n">
        <v>232210</v>
      </c>
      <c r="L199" s="31" t="n">
        <v>49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67.36</v>
      </c>
      <c r="P199" s="32" t="n">
        <v>45.67</v>
      </c>
      <c r="Q199" s="32" t="n">
        <v>342.8</v>
      </c>
      <c r="R199" s="31" t="inlineStr">
        <is>
          <t>Near 52W High Breakout</t>
        </is>
      </c>
      <c r="S199" s="31" t="inlineStr">
        <is>
          <t>Nifty Metal</t>
        </is>
      </c>
      <c r="T199" s="32" t="n">
        <v>34.77</v>
      </c>
      <c r="U199" s="32" t="n">
        <v>32.27</v>
      </c>
      <c r="V199" s="32" t="n">
        <v>-1.85</v>
      </c>
      <c r="W199" s="32" t="n">
        <v>11.1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Negative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IF(B200=0,"",RANK(B200,$B$2:$B$250,0))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ENDURANCE</t>
        </is>
      </c>
      <c r="D200" s="33" t="inlineStr">
        <is>
          <t>Endurance Technologies Limited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largecap</t>
        </is>
      </c>
      <c r="H200" s="32" t="n">
        <v>39150.69</v>
      </c>
      <c r="I200" s="32" t="n">
        <v>2804.3</v>
      </c>
      <c r="J200" s="32" t="n">
        <v>0.75</v>
      </c>
      <c r="K200" s="32" t="n">
        <v>203719</v>
      </c>
      <c r="L200" s="31" t="n">
        <v>32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59.72</v>
      </c>
      <c r="P200" s="32" t="n">
        <v>14.48</v>
      </c>
      <c r="Q200" s="32" t="n">
        <v>2254.15</v>
      </c>
      <c r="R200" s="31" t="inlineStr">
        <is>
          <t>Earnings / Momentum Support</t>
        </is>
      </c>
      <c r="S200" s="31" t="inlineStr">
        <is>
          <t>Nifty Auto</t>
        </is>
      </c>
      <c r="T200" s="32" t="n">
        <v>18.91</v>
      </c>
      <c r="U200" s="32" t="n">
        <v>9.15</v>
      </c>
      <c r="V200" s="32" t="n">
        <v>-8.210000000000001</v>
      </c>
      <c r="W200" s="32" t="n">
        <v>6.9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Between 12 to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IF(B201=0,"",RANK(B201,$B$2:$B$250,0))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ANANTRAJ</t>
        </is>
      </c>
      <c r="D201" s="31" t="inlineStr">
        <is>
          <t>Anant Raj Limited</t>
        </is>
      </c>
      <c r="E201" s="31" t="inlineStr">
        <is>
          <t>realty</t>
        </is>
      </c>
      <c r="F201" s="31" t="inlineStr">
        <is>
          <t>construction</t>
        </is>
      </c>
      <c r="G201" s="31" t="inlineStr">
        <is>
          <t>largecap</t>
        </is>
      </c>
      <c r="H201" s="32" t="n">
        <v>22074.85</v>
      </c>
      <c r="I201" s="32" t="n">
        <v>609.6</v>
      </c>
      <c r="J201" s="32" t="n">
        <v>-0.62</v>
      </c>
      <c r="K201" s="32" t="n">
        <v>3018560</v>
      </c>
      <c r="L201" s="31" t="n">
        <v>40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59.85</v>
      </c>
      <c r="P201" s="32" t="n">
        <v>17.84</v>
      </c>
      <c r="Q201" s="32" t="n">
        <v>458.59</v>
      </c>
      <c r="R201" s="31" t="inlineStr">
        <is>
          <t>Earnings / Momentum Support</t>
        </is>
      </c>
      <c r="S201" s="31" t="inlineStr">
        <is>
          <t>Nifty Realty</t>
        </is>
      </c>
      <c r="T201" s="32" t="n">
        <v>-5.38</v>
      </c>
      <c r="U201" s="32" t="n">
        <v>6.3</v>
      </c>
      <c r="V201" s="32" t="n">
        <v>12.34</v>
      </c>
      <c r="W201" s="32" t="n">
        <v>8.949999999999999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Between 1.5 to 2</t>
        </is>
      </c>
      <c r="BU201" s="31">
        <f>IF(BT201="Above 2",0,IF(BT201="Between 1.5 to 2",5,IF(BT201="Less than 1.5",10,0)))</f>
        <v/>
      </c>
      <c r="BV201" s="31" t="inlineStr">
        <is>
          <t>Negative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IF(B202=0,"",RANK(B202,$B$2:$B$250,0))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DIVGIITTS</t>
        </is>
      </c>
      <c r="D202" s="31" t="inlineStr">
        <is>
          <t>Divgi Torqtransfer Systems Ltd</t>
        </is>
      </c>
      <c r="E202" s="31" t="inlineStr">
        <is>
          <t>auto</t>
        </is>
      </c>
      <c r="F202" s="31" t="inlineStr">
        <is>
          <t>auto ancillaries</t>
        </is>
      </c>
      <c r="G202" s="31" t="inlineStr">
        <is>
          <t>smallcap</t>
        </is>
      </c>
      <c r="H202" s="32" t="n">
        <v>2937.03</v>
      </c>
      <c r="I202" s="32" t="n">
        <v>954.1</v>
      </c>
      <c r="J202" s="32" t="n">
        <v>-0.65</v>
      </c>
      <c r="K202" s="32" t="n">
        <v>29318</v>
      </c>
      <c r="L202" s="31" t="n">
        <v>60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63.91</v>
      </c>
      <c r="P202" s="32" t="n">
        <v>40.95</v>
      </c>
      <c r="Q202" s="32" t="n">
        <v>769.0700000000001</v>
      </c>
      <c r="R202" s="31" t="inlineStr">
        <is>
          <t>Earnings / Momentum Support</t>
        </is>
      </c>
      <c r="S202" s="31" t="inlineStr">
        <is>
          <t>Nifty Auto</t>
        </is>
      </c>
      <c r="T202" s="32" t="n">
        <v>18.91</v>
      </c>
      <c r="U202" s="32" t="n">
        <v>48.49</v>
      </c>
      <c r="V202" s="32" t="n">
        <v>24.87</v>
      </c>
      <c r="W202" s="32" t="n">
        <v>14.5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Between 50% to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IF(B203=0,"",RANK(B203,$B$2:$B$250,0))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INDIANHUME</t>
        </is>
      </c>
      <c r="D203" s="33" t="inlineStr">
        <is>
          <t>Indian Hume Pipe Company Limited</t>
        </is>
      </c>
      <c r="E203" s="31" t="inlineStr">
        <is>
          <t>realty</t>
        </is>
      </c>
      <c r="F203" s="31" t="inlineStr">
        <is>
          <t>construction</t>
        </is>
      </c>
      <c r="G203" s="31" t="inlineStr">
        <is>
          <t>smallcap</t>
        </is>
      </c>
      <c r="H203" s="32" t="n">
        <v>2074.87</v>
      </c>
      <c r="I203" s="32" t="n">
        <v>386.65</v>
      </c>
      <c r="J203" s="32" t="n">
        <v>-1.83</v>
      </c>
      <c r="K203" s="32" t="n">
        <v>30477</v>
      </c>
      <c r="L203" s="31" t="n">
        <v>17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61.99</v>
      </c>
      <c r="P203" s="32" t="n">
        <v>16.28</v>
      </c>
      <c r="Q203" s="32" t="n">
        <v>299.53</v>
      </c>
      <c r="R203" s="31" t="inlineStr">
        <is>
          <t>Earnings / Momentum Support</t>
        </is>
      </c>
      <c r="S203" s="31" t="inlineStr">
        <is>
          <t>Nifty Realty</t>
        </is>
      </c>
      <c r="T203" s="32" t="n">
        <v>-5.38</v>
      </c>
      <c r="U203" s="32" t="n">
        <v>-7.87</v>
      </c>
      <c r="V203" s="32" t="n">
        <v>-2.64</v>
      </c>
      <c r="W203" s="32" t="n">
        <v>3.64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IF(B204=0,"",RANK(B204,$B$2:$B$250,0))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INDIGOPNTS</t>
        </is>
      </c>
      <c r="D204" s="33" t="inlineStr">
        <is>
          <t>Indigo Paints Ltd</t>
        </is>
      </c>
      <c r="E204" s="31" t="inlineStr">
        <is>
          <t>building materials</t>
        </is>
      </c>
      <c r="F204" s="31" t="inlineStr">
        <is>
          <t>paints / varnishes</t>
        </is>
      </c>
      <c r="G204" s="31" t="inlineStr">
        <is>
          <t>midcap</t>
        </is>
      </c>
      <c r="H204" s="32" t="n">
        <v>5255.29</v>
      </c>
      <c r="I204" s="32" t="n">
        <v>1080.9</v>
      </c>
      <c r="J204" s="32" t="n">
        <v>-1.94</v>
      </c>
      <c r="K204" s="32" t="n">
        <v>65314</v>
      </c>
      <c r="L204" s="31" t="n">
        <v>23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59.24</v>
      </c>
      <c r="P204" s="32" t="n">
        <v>10.58</v>
      </c>
      <c r="Q204" s="32" t="n">
        <v>850.8099999999999</v>
      </c>
      <c r="R204" s="31" t="inlineStr">
        <is>
          <t>Earnings / Momentum Support</t>
        </is>
      </c>
      <c r="S204" s="31" t="inlineStr">
        <is>
          <t>Nifty Infra</t>
        </is>
      </c>
      <c r="T204" s="32" t="n">
        <v>3.07</v>
      </c>
      <c r="U204" s="32" t="n">
        <v>-4.93</v>
      </c>
      <c r="V204" s="32" t="n">
        <v>-7.76</v>
      </c>
      <c r="W204" s="32" t="n">
        <v>5.15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IF(B205=0,"",RANK(B205,$B$2:$B$250,0))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SALSTEEL</t>
        </is>
      </c>
      <c r="D205" s="31" t="inlineStr">
        <is>
          <t>SAL Steel</t>
        </is>
      </c>
      <c r="E205" s="31" t="inlineStr">
        <is>
          <t>metals &amp; mining</t>
        </is>
      </c>
      <c r="F205" s="31" t="inlineStr">
        <is>
          <t>steel - sponge iron</t>
        </is>
      </c>
      <c r="G205" s="31" t="inlineStr">
        <is>
          <t>smallcap</t>
        </is>
      </c>
      <c r="H205" s="32" t="n">
        <v>906.53</v>
      </c>
      <c r="I205" s="32" t="n">
        <v>59.49</v>
      </c>
      <c r="J205" s="32" t="n">
        <v>-5</v>
      </c>
      <c r="K205" s="32" t="n">
        <v>107358</v>
      </c>
      <c r="L205" s="31" t="n">
        <v>94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62.12</v>
      </c>
      <c r="P205" s="32" t="n">
        <v>25.02</v>
      </c>
      <c r="Q205" s="32" t="n">
        <v>41.95</v>
      </c>
      <c r="R205" s="31" t="inlineStr">
        <is>
          <t>Near 52W High Breakout</t>
        </is>
      </c>
      <c r="S205" s="31" t="inlineStr">
        <is>
          <t>Nifty Metal</t>
        </is>
      </c>
      <c r="T205" s="32" t="n">
        <v>34.77</v>
      </c>
      <c r="U205" s="32" t="n">
        <v>273.45</v>
      </c>
      <c r="V205" s="32" t="n">
        <v>177.11</v>
      </c>
      <c r="W205" s="32" t="n">
        <v>37.81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Cyclical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Volatile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IF(B206=0,"",RANK(B206,$B$2:$B$250,0))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CIPLA</t>
        </is>
      </c>
      <c r="D206" s="33" t="inlineStr">
        <is>
          <t>Cipla Limited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largecap</t>
        </is>
      </c>
      <c r="H206" s="32" t="n">
        <v>119100.63</v>
      </c>
      <c r="I206" s="32" t="n">
        <v>1466.4</v>
      </c>
      <c r="J206" s="32" t="n">
        <v>-0.54</v>
      </c>
      <c r="K206" s="32" t="n">
        <v>833068</v>
      </c>
      <c r="L206" s="31" t="n">
        <v>12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60.06</v>
      </c>
      <c r="P206" s="32" t="n">
        <v>10.02</v>
      </c>
      <c r="Q206" s="32" t="n">
        <v>1262.84</v>
      </c>
      <c r="R206" s="31" t="inlineStr">
        <is>
          <t>Earnings / Momentum Support</t>
        </is>
      </c>
      <c r="S206" s="31" t="inlineStr">
        <is>
          <t>Nifty Pharma</t>
        </is>
      </c>
      <c r="T206" s="32" t="n">
        <v>19.69</v>
      </c>
      <c r="U206" s="32" t="n">
        <v>-1.51</v>
      </c>
      <c r="V206" s="32" t="n">
        <v>-17.71</v>
      </c>
      <c r="W206" s="32" t="n">
        <v>2.6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IF(B207=0,"",RANK(B207,$B$2:$B$250,0))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HEROMOTOCO</t>
        </is>
      </c>
      <c r="D207" s="31" t="inlineStr">
        <is>
          <t>Hero Motocorp Limited</t>
        </is>
      </c>
      <c r="E207" s="31" t="inlineStr">
        <is>
          <t>auto</t>
        </is>
      </c>
      <c r="F207" s="31" t="inlineStr">
        <is>
          <t>automobiles - motorcycles / mopeds</t>
        </is>
      </c>
      <c r="G207" s="31" t="inlineStr">
        <is>
          <t>largecap</t>
        </is>
      </c>
      <c r="H207" s="32" t="n">
        <v>103029.85</v>
      </c>
      <c r="I207" s="32" t="n">
        <v>5325</v>
      </c>
      <c r="J207" s="32" t="n">
        <v>3.42</v>
      </c>
      <c r="K207" s="32" t="n">
        <v>1368741</v>
      </c>
      <c r="L207" s="31" t="n">
        <v>37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57.12</v>
      </c>
      <c r="P207" s="32" t="n">
        <v>6.58</v>
      </c>
      <c r="Q207" s="32" t="n">
        <v>4468.21</v>
      </c>
      <c r="R207" s="31" t="inlineStr">
        <is>
          <t>Earnings / Momentum Support</t>
        </is>
      </c>
      <c r="S207" s="31" t="inlineStr">
        <is>
          <t>Nifty Auto</t>
        </is>
      </c>
      <c r="T207" s="32" t="n">
        <v>18.91</v>
      </c>
      <c r="U207" s="32" t="n">
        <v>30.21</v>
      </c>
      <c r="V207" s="32" t="n">
        <v>9.5</v>
      </c>
      <c r="W207" s="32" t="n">
        <v>7.98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1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IF(B208=0,"",RANK(B208,$B$2:$B$250,0))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AYMSYNTEX</t>
        </is>
      </c>
      <c r="D208" s="31" t="inlineStr">
        <is>
          <t>Aym Syntex Limited</t>
        </is>
      </c>
      <c r="E208" s="31" t="inlineStr">
        <is>
          <t>textiles</t>
        </is>
      </c>
      <c r="F208" s="31" t="inlineStr">
        <is>
          <t>textiles - processing</t>
        </is>
      </c>
      <c r="G208" s="31" t="inlineStr">
        <is>
          <t>smallcap</t>
        </is>
      </c>
      <c r="H208" s="32" t="n">
        <v>1409.27</v>
      </c>
      <c r="I208" s="32" t="n">
        <v>245.46</v>
      </c>
      <c r="J208" s="32" t="n">
        <v>2.3</v>
      </c>
      <c r="K208" s="32" t="n">
        <v>18655</v>
      </c>
      <c r="L208" s="31" t="n">
        <v>33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58.86</v>
      </c>
      <c r="P208" s="32" t="n">
        <v>30.52</v>
      </c>
      <c r="Q208" s="32" t="n">
        <v>183.06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-1.01</v>
      </c>
      <c r="U208" s="32" t="n">
        <v>20.3</v>
      </c>
      <c r="V208" s="32" t="n">
        <v>21.53</v>
      </c>
      <c r="W208" s="32" t="n">
        <v>7.05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IF(B209=0,"",RANK(B209,$B$2:$B$250,0))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BOSCHLTD</t>
        </is>
      </c>
      <c r="D209" s="33" t="inlineStr">
        <is>
          <t>Bosch Limited</t>
        </is>
      </c>
      <c r="E209" s="31" t="inlineStr">
        <is>
          <t>auto</t>
        </is>
      </c>
      <c r="F209" s="31" t="inlineStr">
        <is>
          <t>auto ancillaries</t>
        </is>
      </c>
      <c r="G209" s="31" t="inlineStr">
        <is>
          <t>largecap</t>
        </is>
      </c>
      <c r="H209" s="32" t="n">
        <v>121125.73</v>
      </c>
      <c r="I209" s="32" t="n">
        <v>41550</v>
      </c>
      <c r="J209" s="32" t="n">
        <v>1.18</v>
      </c>
      <c r="K209" s="32" t="n">
        <v>27710</v>
      </c>
      <c r="L209" s="31" t="n">
        <v>22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62.49</v>
      </c>
      <c r="P209" s="32" t="n">
        <v>27.5</v>
      </c>
      <c r="Q209" s="32" t="n">
        <v>35196.66</v>
      </c>
      <c r="R209" s="31" t="inlineStr">
        <is>
          <t>Near 52W High Breakout</t>
        </is>
      </c>
      <c r="S209" s="31" t="inlineStr">
        <is>
          <t>Nifty Auto</t>
        </is>
      </c>
      <c r="T209" s="32" t="n">
        <v>18.91</v>
      </c>
      <c r="U209" s="32" t="n">
        <v>11.32</v>
      </c>
      <c r="V209" s="32" t="n">
        <v>-6.38</v>
      </c>
      <c r="W209" s="32" t="n">
        <v>5.06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Blue sky scenario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IF(B210=0,"",RANK(B210,$B$2:$B$250,0))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TIMETECHNO</t>
        </is>
      </c>
      <c r="D210" s="33" t="inlineStr">
        <is>
          <t>Time Technoplast Limited</t>
        </is>
      </c>
      <c r="E210" s="31" t="inlineStr">
        <is>
          <t>plastic products</t>
        </is>
      </c>
      <c r="F210" s="31" t="inlineStr">
        <is>
          <t>plastics products</t>
        </is>
      </c>
      <c r="G210" s="31" t="inlineStr">
        <is>
          <t>midcap</t>
        </is>
      </c>
      <c r="H210" s="32" t="n">
        <v>10680.3</v>
      </c>
      <c r="I210" s="32" t="n">
        <v>208.36</v>
      </c>
      <c r="J210" s="32" t="n">
        <v>-3.7</v>
      </c>
      <c r="K210" s="32" t="n">
        <v>3553226</v>
      </c>
      <c r="L210" s="31" t="n">
        <v>5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61.94</v>
      </c>
      <c r="P210" s="32" t="n">
        <v>10.46</v>
      </c>
      <c r="Q210" s="32" t="n">
        <v>163.28</v>
      </c>
      <c r="R210" s="31" t="inlineStr">
        <is>
          <t>Earnings / Momentum Support</t>
        </is>
      </c>
      <c r="S210" s="31" t="inlineStr">
        <is>
          <t>Nifty 50</t>
        </is>
      </c>
      <c r="T210" s="32" t="n">
        <v>-1.01</v>
      </c>
      <c r="U210" s="32" t="n">
        <v>-7.38</v>
      </c>
      <c r="V210" s="32" t="n">
        <v>-6.44</v>
      </c>
      <c r="W210" s="32" t="n">
        <v>0.46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Between 1.5 to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IF(B211=0,"",RANK(B211,$B$2:$B$250,0))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TI</t>
        </is>
      </c>
      <c r="D211" s="31" t="inlineStr">
        <is>
          <t>Tilaknagar Industries Limited</t>
        </is>
      </c>
      <c r="E211" s="31" t="inlineStr">
        <is>
          <t>fmcg</t>
        </is>
      </c>
      <c r="F211" s="31" t="inlineStr">
        <is>
          <t>breweries &amp; distilleries</t>
        </is>
      </c>
      <c r="G211" s="31" t="inlineStr">
        <is>
          <t>midcap</t>
        </is>
      </c>
      <c r="H211" s="32" t="n">
        <v>11517.43</v>
      </c>
      <c r="I211" s="32" t="n">
        <v>467.1</v>
      </c>
      <c r="J211" s="32" t="n">
        <v>0.37</v>
      </c>
      <c r="K211" s="32" t="n">
        <v>1494239</v>
      </c>
      <c r="L211" s="31" t="n">
        <v>4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56.4</v>
      </c>
      <c r="P211" s="32" t="n">
        <v>6.28</v>
      </c>
      <c r="Q211" s="32" t="n">
        <v>372.61</v>
      </c>
      <c r="R211" s="31" t="inlineStr">
        <is>
          <t>Volume Spike / Accumulation</t>
        </is>
      </c>
      <c r="S211" s="31" t="inlineStr">
        <is>
          <t>Nifty FMCG</t>
        </is>
      </c>
      <c r="T211" s="32" t="n">
        <v>-9.050000000000001</v>
      </c>
      <c r="U211" s="32" t="n">
        <v>-5.89</v>
      </c>
      <c r="V211" s="32" t="n">
        <v>3.47</v>
      </c>
      <c r="W211" s="32" t="n">
        <v>-0.05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B2C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1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IF(B212=0,"",RANK(B212,$B$2:$B$250,0))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KOVAI</t>
        </is>
      </c>
      <c r="D212" s="33" t="inlineStr">
        <is>
          <t>Kovai Medical Center &amp; Hospital Ltd</t>
        </is>
      </c>
      <c r="E212" s="31" t="inlineStr">
        <is>
          <t>healthcare</t>
        </is>
      </c>
      <c r="F212" s="31" t="inlineStr">
        <is>
          <t>healthcare</t>
        </is>
      </c>
      <c r="G212" s="31" t="inlineStr">
        <is>
          <t>midcap</t>
        </is>
      </c>
      <c r="H212" s="32" t="n">
        <v>6505.17</v>
      </c>
      <c r="I212" s="32" t="n">
        <v>5948.5</v>
      </c>
      <c r="J212" s="32" t="n">
        <v>0.06</v>
      </c>
      <c r="K212" s="32" t="n">
        <v>2665</v>
      </c>
      <c r="L212" s="31" t="n">
        <v>5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59.27</v>
      </c>
      <c r="P212" s="32" t="n">
        <v>22.2</v>
      </c>
      <c r="Q212" s="32" t="n">
        <v>5097.78</v>
      </c>
      <c r="R212" s="31" t="inlineStr">
        <is>
          <t>Earnings / Momentum Support</t>
        </is>
      </c>
      <c r="S212" s="31" t="inlineStr">
        <is>
          <t>Nifty Pharma</t>
        </is>
      </c>
      <c r="T212" s="32" t="n">
        <v>19.69</v>
      </c>
      <c r="U212" s="32" t="n">
        <v>-4.79</v>
      </c>
      <c r="V212" s="32" t="n">
        <v>-20.45</v>
      </c>
      <c r="W212" s="32" t="n">
        <v>0.42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Between 12 to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Between 1.5 to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IF(B213=0,"",RANK(B213,$B$2:$B$250,0))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ONWARDTEC</t>
        </is>
      </c>
      <c r="D213" s="33" t="inlineStr">
        <is>
          <t>Onward Technologies Limited</t>
        </is>
      </c>
      <c r="E213" s="31" t="inlineStr">
        <is>
          <t>i.t</t>
        </is>
      </c>
      <c r="F213" s="31" t="inlineStr">
        <is>
          <t>computers - software - medium / small</t>
        </is>
      </c>
      <c r="G213" s="31" t="inlineStr">
        <is>
          <t>smallcap</t>
        </is>
      </c>
      <c r="H213" s="32" t="n">
        <v>662.5</v>
      </c>
      <c r="I213" s="32" t="n">
        <v>293.95</v>
      </c>
      <c r="J213" s="32" t="n">
        <v>-1.31</v>
      </c>
      <c r="K213" s="32" t="n">
        <v>50998</v>
      </c>
      <c r="L213" s="31" t="n">
        <v>20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59.34</v>
      </c>
      <c r="P213" s="32" t="n">
        <v>17.65</v>
      </c>
      <c r="Q213" s="32" t="n">
        <v>213.61</v>
      </c>
      <c r="R213" s="31" t="inlineStr">
        <is>
          <t>Earnings / Momentum Support</t>
        </is>
      </c>
      <c r="S213" s="31" t="inlineStr">
        <is>
          <t>Nifty IT</t>
        </is>
      </c>
      <c r="T213" s="32" t="n">
        <v>-9.970000000000001</v>
      </c>
      <c r="U213" s="32" t="n">
        <v>-10.32</v>
      </c>
      <c r="V213" s="32" t="n">
        <v>-0.39</v>
      </c>
      <c r="W213" s="32" t="n">
        <v>4.7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Annuity, Lower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IF(B214=0,"",RANK(B214,$B$2:$B$250,0))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GODREJIND</t>
        </is>
      </c>
      <c r="D214" s="31" t="inlineStr">
        <is>
          <t>Godrej Industries Limited</t>
        </is>
      </c>
      <c r="E214" s="31" t="inlineStr">
        <is>
          <t>chemicals</t>
        </is>
      </c>
      <c r="F214" s="31" t="inlineStr">
        <is>
          <t>chemicals</t>
        </is>
      </c>
      <c r="G214" s="31" t="inlineStr">
        <is>
          <t>largecap</t>
        </is>
      </c>
      <c r="H214" s="32" t="n">
        <v>43558.97</v>
      </c>
      <c r="I214" s="32" t="n">
        <v>1309.4</v>
      </c>
      <c r="J214" s="32" t="n">
        <v>1.24</v>
      </c>
      <c r="K214" s="32" t="n">
        <v>84816</v>
      </c>
      <c r="L214" s="31" t="n">
        <v>52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62.57</v>
      </c>
      <c r="P214" s="32" t="n">
        <v>38.33</v>
      </c>
      <c r="Q214" s="32" t="n">
        <v>1098.28</v>
      </c>
      <c r="R214" s="31" t="inlineStr">
        <is>
          <t>Earnings / Momentum Support</t>
        </is>
      </c>
      <c r="S214" s="31" t="inlineStr">
        <is>
          <t>Nifty 50</t>
        </is>
      </c>
      <c r="T214" s="32" t="n">
        <v>-1.01</v>
      </c>
      <c r="U214" s="32" t="n">
        <v>17.46</v>
      </c>
      <c r="V214" s="32" t="n">
        <v>18.65</v>
      </c>
      <c r="W214" s="32" t="n">
        <v>11.75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Negative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IF(B215=0,"",RANK(B215,$B$2:$B$250,0))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KERNEX</t>
        </is>
      </c>
      <c r="D215" s="31" t="inlineStr">
        <is>
          <t>Kernex Microsystems (india) Limited</t>
        </is>
      </c>
      <c r="E215" s="31" t="inlineStr">
        <is>
          <t>consumer discretionary</t>
        </is>
      </c>
      <c r="F215" s="31" t="inlineStr">
        <is>
          <t>electronics - components</t>
        </is>
      </c>
      <c r="G215" s="31" t="inlineStr">
        <is>
          <t>smallcap</t>
        </is>
      </c>
      <c r="H215" s="32" t="n">
        <v>3690.08</v>
      </c>
      <c r="I215" s="32" t="n">
        <v>2215.1</v>
      </c>
      <c r="J215" s="32" t="n">
        <v>0.87</v>
      </c>
      <c r="K215" s="32" t="n">
        <v>82515</v>
      </c>
      <c r="L215" s="31" t="n">
        <v>89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68.14</v>
      </c>
      <c r="P215" s="32" t="n">
        <v>56.59</v>
      </c>
      <c r="Q215" s="32" t="n">
        <v>1729.95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-1.01</v>
      </c>
      <c r="U215" s="32" t="n">
        <v>99.94</v>
      </c>
      <c r="V215" s="32" t="n">
        <v>101.98</v>
      </c>
      <c r="W215" s="32" t="n">
        <v>30.09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Negative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IF(B216=0,"",RANK(B216,$B$2:$B$250,0))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LANDMARK</t>
        </is>
      </c>
      <c r="D216" s="31" t="inlineStr">
        <is>
          <t>Landmark Cars Ltd</t>
        </is>
      </c>
      <c r="E216" s="31" t="inlineStr">
        <is>
          <t>consumer discretionary</t>
        </is>
      </c>
      <c r="F216" s="31" t="inlineStr">
        <is>
          <t>trading</t>
        </is>
      </c>
      <c r="G216" s="31" t="inlineStr">
        <is>
          <t>smallcap</t>
        </is>
      </c>
      <c r="H216" s="32" t="n">
        <v>2229.98</v>
      </c>
      <c r="I216" s="32" t="n">
        <v>539.65</v>
      </c>
      <c r="J216" s="32" t="n">
        <v>0.34</v>
      </c>
      <c r="K216" s="32" t="n">
        <v>446119</v>
      </c>
      <c r="L216" s="31" t="n">
        <v>51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65.79000000000001</v>
      </c>
      <c r="P216" s="32" t="n">
        <v>18.84</v>
      </c>
      <c r="Q216" s="32" t="n">
        <v>391.03</v>
      </c>
      <c r="R216" s="31" t="inlineStr">
        <is>
          <t>Earnings / Momentum Support</t>
        </is>
      </c>
      <c r="S216" s="31" t="inlineStr">
        <is>
          <t>Nifty 50</t>
        </is>
      </c>
      <c r="T216" s="32" t="n">
        <v>-1.01</v>
      </c>
      <c r="U216" s="32" t="n">
        <v>9.69</v>
      </c>
      <c r="V216" s="32" t="n">
        <v>10.81</v>
      </c>
      <c r="W216" s="32" t="n">
        <v>11.74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IF(B217=0,"",RANK(B217,$B$2:$B$250,0))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BERGEPAINT</t>
        </is>
      </c>
      <c r="D217" s="33" t="inlineStr">
        <is>
          <t>Berger Paints (i) Limited</t>
        </is>
      </c>
      <c r="E217" s="31" t="inlineStr">
        <is>
          <t>building materials</t>
        </is>
      </c>
      <c r="F217" s="31" t="inlineStr">
        <is>
          <t>paints / varnishes</t>
        </is>
      </c>
      <c r="G217" s="31" t="inlineStr">
        <is>
          <t>largecap</t>
        </is>
      </c>
      <c r="H217" s="32" t="n">
        <v>60637.98</v>
      </c>
      <c r="I217" s="32" t="n">
        <v>521.35</v>
      </c>
      <c r="J217" s="32" t="n">
        <v>0.25</v>
      </c>
      <c r="K217" s="32" t="n">
        <v>315910</v>
      </c>
      <c r="L217" s="31" t="n">
        <v>9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55.02</v>
      </c>
      <c r="P217" s="32" t="n">
        <v>17.7</v>
      </c>
      <c r="Q217" s="32" t="n">
        <v>450.39</v>
      </c>
      <c r="R217" s="31" t="inlineStr">
        <is>
          <t>Earnings / Momentum Support</t>
        </is>
      </c>
      <c r="S217" s="31" t="inlineStr">
        <is>
          <t>Nifty Infra</t>
        </is>
      </c>
      <c r="T217" s="32" t="n">
        <v>3.07</v>
      </c>
      <c r="U217" s="32" t="n">
        <v>-5.94</v>
      </c>
      <c r="V217" s="32" t="n">
        <v>-8.74</v>
      </c>
      <c r="W217" s="32" t="n">
        <v>1.73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1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Between 1.5 to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IF(B218=0,"",RANK(B218,$B$2:$B$250,0))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SBC</t>
        </is>
      </c>
      <c r="D218" s="31" t="inlineStr">
        <is>
          <t>SBC Exports Ltd</t>
        </is>
      </c>
      <c r="E218" s="31" t="inlineStr">
        <is>
          <t>textiles</t>
        </is>
      </c>
      <c r="F218" s="31" t="inlineStr">
        <is>
          <t>textiles - products</t>
        </is>
      </c>
      <c r="G218" s="31" t="inlineStr">
        <is>
          <t>smallcap</t>
        </is>
      </c>
      <c r="H218" s="32" t="n">
        <v>2003.81</v>
      </c>
      <c r="I218" s="32" t="n">
        <v>42.12</v>
      </c>
      <c r="J218" s="32" t="n">
        <v>0.1</v>
      </c>
      <c r="K218" s="32" t="n">
        <v>9316491</v>
      </c>
      <c r="L218" s="31" t="n">
        <v>81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72.31</v>
      </c>
      <c r="P218" s="32" t="n">
        <v>41.31</v>
      </c>
      <c r="Q218" s="32" t="n">
        <v>36.78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-1.01</v>
      </c>
      <c r="U218" s="32" t="n">
        <v>133.74</v>
      </c>
      <c r="V218" s="32" t="n">
        <v>136.13</v>
      </c>
      <c r="W218" s="32" t="n">
        <v>24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Negative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More than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IF(B219=0,"",RANK(B219,$B$2:$B$250,0))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CONCOR</t>
        </is>
      </c>
      <c r="D219" s="33" t="inlineStr">
        <is>
          <t>Container Corporation Of India Limited</t>
        </is>
      </c>
      <c r="E219" s="31" t="inlineStr">
        <is>
          <t>transportation</t>
        </is>
      </c>
      <c r="F219" s="31" t="inlineStr">
        <is>
          <t>miscellaneous</t>
        </is>
      </c>
      <c r="G219" s="31" t="inlineStr">
        <is>
          <t>largecap</t>
        </is>
      </c>
      <c r="H219" s="32" t="n">
        <v>40049.68</v>
      </c>
      <c r="I219" s="32" t="n">
        <v>525.15</v>
      </c>
      <c r="J219" s="32" t="n">
        <v>-0.13</v>
      </c>
      <c r="K219" s="32" t="n">
        <v>1129654</v>
      </c>
      <c r="L219" s="31" t="n">
        <v>3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57.55</v>
      </c>
      <c r="P219" s="32" t="n">
        <v>12.34</v>
      </c>
      <c r="Q219" s="32" t="n">
        <v>440.72</v>
      </c>
      <c r="R219" s="31" t="inlineStr">
        <is>
          <t>Volume Spike &amp; Near 52W High Breakout</t>
        </is>
      </c>
      <c r="S219" s="31" t="inlineStr">
        <is>
          <t>Nifty 500</t>
        </is>
      </c>
      <c r="T219" s="32" t="n">
        <v>3</v>
      </c>
      <c r="U219" s="32" t="n">
        <v>-7.09</v>
      </c>
      <c r="V219" s="32" t="n">
        <v>-9.800000000000001</v>
      </c>
      <c r="W219" s="32" t="n">
        <v>-0.75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1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IF(B220=0,"",RANK(B220,$B$2:$B$250,0))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KKCL</t>
        </is>
      </c>
      <c r="D220" s="33" t="inlineStr">
        <is>
          <t>Kewal Kiran Clothing Limited</t>
        </is>
      </c>
      <c r="E220" s="31" t="inlineStr">
        <is>
          <t>consumer discretionary</t>
        </is>
      </c>
      <c r="F220" s="31" t="inlineStr">
        <is>
          <t>textiles - products</t>
        </is>
      </c>
      <c r="G220" s="31" t="inlineStr">
        <is>
          <t>smallcap</t>
        </is>
      </c>
      <c r="H220" s="32" t="n">
        <v>3130.56</v>
      </c>
      <c r="I220" s="32" t="n">
        <v>505.65</v>
      </c>
      <c r="J220" s="32" t="n">
        <v>-0.46</v>
      </c>
      <c r="K220" s="32" t="n">
        <v>15190</v>
      </c>
      <c r="L220" s="31" t="n">
        <v>4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56.58</v>
      </c>
      <c r="P220" s="32" t="n">
        <v>14.58</v>
      </c>
      <c r="Q220" s="32" t="n">
        <v>420</v>
      </c>
      <c r="R220" s="31" t="inlineStr">
        <is>
          <t>Earnings / Momentum Support</t>
        </is>
      </c>
      <c r="S220" s="31" t="inlineStr">
        <is>
          <t>Nifty 50</t>
        </is>
      </c>
      <c r="T220" s="32" t="n">
        <v>-1.01</v>
      </c>
      <c r="U220" s="32" t="n">
        <v>-8.49</v>
      </c>
      <c r="V220" s="32" t="n">
        <v>-7.56</v>
      </c>
      <c r="W220" s="32" t="n">
        <v>-0.04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IF(B221=0,"",RANK(B221,$B$2:$B$250,0))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OPTIEMUS</t>
        </is>
      </c>
      <c r="D221" s="31" t="inlineStr">
        <is>
          <t>Optiemus Infracom Ltd</t>
        </is>
      </c>
      <c r="E221" s="31" t="inlineStr">
        <is>
          <t>telecom</t>
        </is>
      </c>
      <c r="F221" s="31" t="inlineStr">
        <is>
          <t>trading</t>
        </is>
      </c>
      <c r="G221" s="31" t="inlineStr">
        <is>
          <t>midcap</t>
        </is>
      </c>
      <c r="H221" s="32" t="n">
        <v>5577.03</v>
      </c>
      <c r="I221" s="32" t="n">
        <v>618.85</v>
      </c>
      <c r="J221" s="32" t="n">
        <v>-0.95</v>
      </c>
      <c r="K221" s="32" t="n">
        <v>110844</v>
      </c>
      <c r="L221" s="31" t="n">
        <v>58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70.19</v>
      </c>
      <c r="P221" s="32" t="n">
        <v>23.42</v>
      </c>
      <c r="Q221" s="32" t="n">
        <v>472.91</v>
      </c>
      <c r="R221" s="31" t="inlineStr">
        <is>
          <t>Earnings / Momentum Support</t>
        </is>
      </c>
      <c r="S221" s="31" t="inlineStr">
        <is>
          <t>Nifty 50</t>
        </is>
      </c>
      <c r="T221" s="32" t="n">
        <v>-1.01</v>
      </c>
      <c r="U221" s="32" t="n">
        <v>3.14</v>
      </c>
      <c r="V221" s="32" t="n">
        <v>4.19</v>
      </c>
      <c r="W221" s="32" t="n">
        <v>13.66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Oligopoly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Negative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IF(B222=0,"",RANK(B222,$B$2:$B$250,0))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RITCO</t>
        </is>
      </c>
      <c r="D222" s="31" t="inlineStr">
        <is>
          <t>Ritco Logistics Ltd</t>
        </is>
      </c>
      <c r="E222" s="31" t="inlineStr">
        <is>
          <t>transportation</t>
        </is>
      </c>
      <c r="F222" s="31" t="inlineStr">
        <is>
          <t>miscellaneous</t>
        </is>
      </c>
      <c r="G222" s="31" t="inlineStr">
        <is>
          <t>smallcap</t>
        </is>
      </c>
      <c r="H222" s="32" t="n">
        <v>857.25</v>
      </c>
      <c r="I222" s="32" t="n">
        <v>293.05</v>
      </c>
      <c r="J222" s="32" t="n">
        <v>-2.15</v>
      </c>
      <c r="K222" s="32" t="n">
        <v>205479</v>
      </c>
      <c r="L222" s="31" t="n">
        <v>42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62.55</v>
      </c>
      <c r="P222" s="32" t="n">
        <v>31.72</v>
      </c>
      <c r="Q222" s="32" t="n">
        <v>222.07</v>
      </c>
      <c r="R222" s="31" t="inlineStr">
        <is>
          <t>Volume Spike &amp; Near 52W High Breakout</t>
        </is>
      </c>
      <c r="S222" s="31" t="inlineStr">
        <is>
          <t>Nifty 50</t>
        </is>
      </c>
      <c r="T222" s="32" t="n">
        <v>-1.01</v>
      </c>
      <c r="U222" s="32" t="n">
        <v>6.16</v>
      </c>
      <c r="V222" s="32" t="n">
        <v>7.24</v>
      </c>
      <c r="W222" s="32" t="n">
        <v>9.220000000000001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Negative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IF(B223=0,"",RANK(B223,$B$2:$B$250,0))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PFIZER</t>
        </is>
      </c>
      <c r="D223" s="33" t="inlineStr">
        <is>
          <t>Pfizer Limited</t>
        </is>
      </c>
      <c r="E223" s="31" t="inlineStr">
        <is>
          <t>healthcare</t>
        </is>
      </c>
      <c r="F223" s="31" t="inlineStr">
        <is>
          <t>pharmaceuticals - multinational</t>
        </is>
      </c>
      <c r="G223" s="31" t="inlineStr">
        <is>
          <t>largecap</t>
        </is>
      </c>
      <c r="H223" s="32" t="n">
        <v>21753.5</v>
      </c>
      <c r="I223" s="32" t="n">
        <v>4801.3</v>
      </c>
      <c r="J223" s="32" t="n">
        <v>0.97</v>
      </c>
      <c r="K223" s="32" t="n">
        <v>27710</v>
      </c>
      <c r="L223" s="31" t="n">
        <v>4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54.51</v>
      </c>
      <c r="P223" s="32" t="n">
        <v>8</v>
      </c>
      <c r="Q223" s="32" t="n">
        <v>4150.11</v>
      </c>
      <c r="R223" s="31" t="inlineStr">
        <is>
          <t>Volume Spike / Accumulation</t>
        </is>
      </c>
      <c r="S223" s="31" t="inlineStr">
        <is>
          <t>Nifty Pharma</t>
        </is>
      </c>
      <c r="T223" s="32" t="n">
        <v>19.69</v>
      </c>
      <c r="U223" s="32" t="n">
        <v>-3.47</v>
      </c>
      <c r="V223" s="32" t="n">
        <v>-19.35</v>
      </c>
      <c r="W223" s="32" t="n">
        <v>0.24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1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IF(B224=0,"",RANK(B224,$B$2:$B$250,0))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PERSISTENT</t>
        </is>
      </c>
      <c r="D224" s="31" t="inlineStr">
        <is>
          <t>Persistent Systems Limited</t>
        </is>
      </c>
      <c r="E224" s="31" t="inlineStr">
        <is>
          <t>i.t</t>
        </is>
      </c>
      <c r="F224" s="31" t="inlineStr">
        <is>
          <t>computers - software - large</t>
        </is>
      </c>
      <c r="G224" s="31" t="inlineStr">
        <is>
          <t>largecap</t>
        </is>
      </c>
      <c r="H224" s="32" t="n">
        <v>86499.06</v>
      </c>
      <c r="I224" s="32" t="n">
        <v>5514.7</v>
      </c>
      <c r="J224" s="32" t="n">
        <v>0.57</v>
      </c>
      <c r="K224" s="32" t="n">
        <v>1194100</v>
      </c>
      <c r="L224" s="31" t="n">
        <v>27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57.09</v>
      </c>
      <c r="P224" s="32" t="n">
        <v>9.390000000000001</v>
      </c>
      <c r="Q224" s="32" t="n">
        <v>4253.73</v>
      </c>
      <c r="R224" s="31" t="inlineStr">
        <is>
          <t>Earnings / Momentum Support</t>
        </is>
      </c>
      <c r="S224" s="31" t="inlineStr">
        <is>
          <t>Nifty IT</t>
        </is>
      </c>
      <c r="T224" s="32" t="n">
        <v>-9.970000000000001</v>
      </c>
      <c r="U224" s="32" t="n">
        <v>9.720000000000001</v>
      </c>
      <c r="V224" s="32" t="n">
        <v>21.88</v>
      </c>
      <c r="W224" s="32" t="n">
        <v>5.9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1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IF(B225=0,"",RANK(B225,$B$2:$B$250,0))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HCG</t>
        </is>
      </c>
      <c r="D225" s="33" t="inlineStr">
        <is>
          <t>Healthcare Global Enterprises Limited</t>
        </is>
      </c>
      <c r="E225" s="31" t="inlineStr">
        <is>
          <t>healthcare</t>
        </is>
      </c>
      <c r="F225" s="31" t="inlineStr">
        <is>
          <t>healthcare</t>
        </is>
      </c>
      <c r="G225" s="31" t="inlineStr">
        <is>
          <t>midcap</t>
        </is>
      </c>
      <c r="H225" s="32" t="n">
        <v>10074.17</v>
      </c>
      <c r="I225" s="32" t="n">
        <v>669.65</v>
      </c>
      <c r="J225" s="32" t="n">
        <v>-0.76</v>
      </c>
      <c r="K225" s="32" t="n">
        <v>156557</v>
      </c>
      <c r="L225" s="31" t="n">
        <v>29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61.06</v>
      </c>
      <c r="P225" s="32" t="n">
        <v>24.13</v>
      </c>
      <c r="Q225" s="32" t="n">
        <v>546.3</v>
      </c>
      <c r="R225" s="31" t="inlineStr">
        <is>
          <t>Earnings / Momentum Support</t>
        </is>
      </c>
      <c r="S225" s="31" t="inlineStr">
        <is>
          <t>Nifty Pharma</t>
        </is>
      </c>
      <c r="T225" s="32" t="n">
        <v>19.69</v>
      </c>
      <c r="U225" s="32" t="n">
        <v>9.41</v>
      </c>
      <c r="V225" s="32" t="n">
        <v>-8.59</v>
      </c>
      <c r="W225" s="32" t="n">
        <v>6.38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IF(B226=0,"",RANK(B226,$B$2:$B$250,0))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BHARTIHEXA</t>
        </is>
      </c>
      <c r="D226" s="33" t="inlineStr">
        <is>
          <t>Bharti Hexacom Ltd</t>
        </is>
      </c>
      <c r="E226" s="31" t="inlineStr">
        <is>
          <t>telecom-service</t>
        </is>
      </c>
      <c r="F226" s="31" t="inlineStr">
        <is>
          <t>telecommunications - service provider</t>
        </is>
      </c>
      <c r="G226" s="31" t="inlineStr">
        <is>
          <t>largecap</t>
        </is>
      </c>
      <c r="H226" s="32" t="n">
        <v>82725</v>
      </c>
      <c r="I226" s="32" t="n">
        <v>1654</v>
      </c>
      <c r="J226" s="32" t="n">
        <v>-0.03</v>
      </c>
      <c r="K226" s="32" t="n">
        <v>74039</v>
      </c>
      <c r="L226" s="31" t="n">
        <v>4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58.11</v>
      </c>
      <c r="P226" s="32" t="n">
        <v>22.28</v>
      </c>
      <c r="Q226" s="32" t="n">
        <v>1371.5</v>
      </c>
      <c r="R226" s="31" t="inlineStr">
        <is>
          <t>Earnings / Momentum Support</t>
        </is>
      </c>
      <c r="S226" s="31" t="inlineStr">
        <is>
          <t>Nifty 500</t>
        </is>
      </c>
      <c r="T226" s="32" t="n">
        <v>3</v>
      </c>
      <c r="U226" s="32" t="n">
        <v>-10.33</v>
      </c>
      <c r="V226" s="32" t="n">
        <v>-12.94</v>
      </c>
      <c r="W226" s="32" t="n">
        <v>-0.06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Oligopoly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IF(B227=0,"",RANK(B227,$B$2:$B$250,0))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ENTERO</t>
        </is>
      </c>
      <c r="D227" s="33" t="inlineStr">
        <is>
          <t>Entero Healthcare Solutions Ltd</t>
        </is>
      </c>
      <c r="E227" s="31" t="inlineStr">
        <is>
          <t>healthcare</t>
        </is>
      </c>
      <c r="F227" s="31" t="inlineStr">
        <is>
          <t>trading</t>
        </is>
      </c>
      <c r="G227" s="31" t="inlineStr">
        <is>
          <t>midcap</t>
        </is>
      </c>
      <c r="H227" s="32" t="n">
        <v>5319.39</v>
      </c>
      <c r="I227" s="32" t="n">
        <v>1243</v>
      </c>
      <c r="J227" s="32" t="n">
        <v>1.7</v>
      </c>
      <c r="K227" s="32" t="n">
        <v>68054</v>
      </c>
      <c r="L227" s="31" t="n">
        <v>3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54.8</v>
      </c>
      <c r="P227" s="32" t="n">
        <v>18.36</v>
      </c>
      <c r="Q227" s="32" t="n">
        <v>1044.94</v>
      </c>
      <c r="R227" s="31" t="inlineStr">
        <is>
          <t>Earnings / Momentum Support</t>
        </is>
      </c>
      <c r="S227" s="31" t="inlineStr">
        <is>
          <t>Nifty Pharma</t>
        </is>
      </c>
      <c r="T227" s="32" t="n">
        <v>19.69</v>
      </c>
      <c r="U227" s="32" t="n">
        <v>-4.64</v>
      </c>
      <c r="V227" s="32" t="n">
        <v>-20.33</v>
      </c>
      <c r="W227" s="32" t="n">
        <v>-0.2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IF(B228=0,"",RANK(B228,$B$2:$B$250,0))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SILVERTUC</t>
        </is>
      </c>
      <c r="D228" s="33" t="inlineStr">
        <is>
          <t>Silver Touch Technologies Ltd</t>
        </is>
      </c>
      <c r="E228" s="31" t="inlineStr">
        <is>
          <t>i.t</t>
        </is>
      </c>
      <c r="F228" s="31" t="inlineStr">
        <is>
          <t>computers - software - medium / small</t>
        </is>
      </c>
      <c r="G228" s="31" t="inlineStr">
        <is>
          <t>smallcap</t>
        </is>
      </c>
      <c r="H228" s="32" t="n">
        <v>2662.88</v>
      </c>
      <c r="I228" s="32" t="n">
        <v>206.8</v>
      </c>
      <c r="J228" s="32" t="n">
        <v>-1.52</v>
      </c>
      <c r="K228" s="32" t="n">
        <v>1089247</v>
      </c>
      <c r="L228" s="31" t="n">
        <v>1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45.19</v>
      </c>
      <c r="P228" s="32" t="n">
        <v>22.26</v>
      </c>
      <c r="Q228" s="32" t="n">
        <v>109.62</v>
      </c>
      <c r="R228" s="31" t="inlineStr">
        <is>
          <t>Earnings / Momentum Support</t>
        </is>
      </c>
      <c r="S228" s="31" t="inlineStr">
        <is>
          <t>Nifty IT</t>
        </is>
      </c>
      <c r="T228" s="32" t="n">
        <v>-9.970000000000001</v>
      </c>
      <c r="U228" s="32" t="n">
        <v>-72.17</v>
      </c>
      <c r="V228" s="32" t="n">
        <v>-69.09</v>
      </c>
      <c r="W228" s="32" t="n">
        <v>-2.39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Below 45</t>
        </is>
      </c>
      <c r="BA228" s="31">
        <f>IF(AZ228="Between 50 to 75",10,IF(AZ228="Above 75",0,0))</f>
        <v/>
      </c>
      <c r="BB228" s="31" t="inlineStr">
        <is>
          <t>Stage 4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Between 1.5 to 2</t>
        </is>
      </c>
      <c r="BU228" s="31">
        <f>IF(BT228="Above 2",0,IF(BT228="Between 1.5 to 2",5,IF(BT228="Less than 1.5",10,0)))</f>
        <v/>
      </c>
      <c r="BV228" s="31" t="inlineStr">
        <is>
          <t>Less than 50%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IF(B229=0,"",RANK(B229,$B$2:$B$250,0))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BALKRISIND</t>
        </is>
      </c>
      <c r="D229" s="33" t="inlineStr">
        <is>
          <t>Balkrishna Industries Limited</t>
        </is>
      </c>
      <c r="E229" s="31" t="inlineStr">
        <is>
          <t>auto</t>
        </is>
      </c>
      <c r="F229" s="31" t="inlineStr">
        <is>
          <t>tyres</t>
        </is>
      </c>
      <c r="G229" s="31" t="inlineStr">
        <is>
          <t>largecap</t>
        </is>
      </c>
      <c r="H229" s="32" t="n">
        <v>40242.84</v>
      </c>
      <c r="I229" s="32" t="n">
        <v>2306.9</v>
      </c>
      <c r="J229" s="32" t="n">
        <v>10.82</v>
      </c>
      <c r="K229" s="32" t="n">
        <v>4223176</v>
      </c>
      <c r="L229" s="31" t="n">
        <v>2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53.06</v>
      </c>
      <c r="P229" s="32" t="n">
        <v>12.82</v>
      </c>
      <c r="Q229" s="32" t="n">
        <v>1801.04</v>
      </c>
      <c r="R229" s="31" t="inlineStr">
        <is>
          <t>Volume Spike / Accumulation</t>
        </is>
      </c>
      <c r="S229" s="31" t="inlineStr">
        <is>
          <t>Nifty Auto</t>
        </is>
      </c>
      <c r="T229" s="32" t="n">
        <v>18.91</v>
      </c>
      <c r="U229" s="32" t="n">
        <v>-13.52</v>
      </c>
      <c r="V229" s="32" t="n">
        <v>-27.28</v>
      </c>
      <c r="W229" s="32" t="n">
        <v>-1.86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1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IF(B230=0,"",RANK(B230,$B$2:$B$250,0))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SETL</t>
        </is>
      </c>
      <c r="D230" s="31" t="inlineStr">
        <is>
          <t>Standard Enginnering Technology Ltd</t>
        </is>
      </c>
      <c r="E230" s="31" t="inlineStr">
        <is>
          <t>industrials</t>
        </is>
      </c>
      <c r="F230" s="31" t="inlineStr">
        <is>
          <t>engineering</t>
        </is>
      </c>
      <c r="G230" s="31" t="inlineStr">
        <is>
          <t>midcap</t>
        </is>
      </c>
      <c r="H230" s="32" t="n">
        <v>5246.63</v>
      </c>
      <c r="I230" s="32" t="n">
        <v>270.25</v>
      </c>
      <c r="J230" s="32" t="n">
        <v>2.76</v>
      </c>
      <c r="K230" s="32" t="n">
        <v>268338</v>
      </c>
      <c r="L230" s="31" t="n">
        <v>92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76.77</v>
      </c>
      <c r="P230" s="32" t="n">
        <v>39.26</v>
      </c>
      <c r="Q230" s="32" t="n">
        <v>216.69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-1.01</v>
      </c>
      <c r="U230" s="32" t="n">
        <v>45.95</v>
      </c>
      <c r="V230" s="32" t="n">
        <v>47.44</v>
      </c>
      <c r="W230" s="32" t="n">
        <v>33.68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Less than 50%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IF(B231=0,"",RANK(B231,$B$2:$B$250,0))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LLOYDSME</t>
        </is>
      </c>
      <c r="D231" s="33" t="inlineStr">
        <is>
          <t>Lloyds Metals &amp; Energy Ltd</t>
        </is>
      </c>
      <c r="E231" s="31" t="inlineStr">
        <is>
          <t>metals &amp; mining</t>
        </is>
      </c>
      <c r="F231" s="31" t="inlineStr">
        <is>
          <t>mining / minerals / metals</t>
        </is>
      </c>
      <c r="G231" s="31" t="inlineStr">
        <is>
          <t>largecap</t>
        </is>
      </c>
      <c r="H231" s="32" t="n">
        <v>115469.1</v>
      </c>
      <c r="I231" s="32" t="n">
        <v>2015.1</v>
      </c>
      <c r="J231" s="32" t="n">
        <v>-1.76</v>
      </c>
      <c r="K231" s="32" t="n">
        <v>480340</v>
      </c>
      <c r="L231" s="31" t="n">
        <v>55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77.17</v>
      </c>
      <c r="P231" s="32" t="n">
        <v>44.84</v>
      </c>
      <c r="Q231" s="32" t="n">
        <v>1671.19</v>
      </c>
      <c r="R231" s="31" t="inlineStr">
        <is>
          <t>Near 52W High Breakout</t>
        </is>
      </c>
      <c r="S231" s="31" t="inlineStr">
        <is>
          <t>Nifty Metal</t>
        </is>
      </c>
      <c r="T231" s="32" t="n">
        <v>34.77</v>
      </c>
      <c r="U231" s="32" t="n">
        <v>34.04</v>
      </c>
      <c r="V231" s="32" t="n">
        <v>-0.54</v>
      </c>
      <c r="W231" s="32" t="n">
        <v>12.43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Cyclical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Volatile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Above 40</t>
        </is>
      </c>
      <c r="AY231" s="31">
        <f>IF(AX231="Above 40",20,IF(AX231="20 to 40",10,IF(AX231="0 to 20",-5,0)))</f>
        <v/>
      </c>
      <c r="AZ231" s="31" t="inlineStr">
        <is>
          <t>Above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Less than 50% and Borrowings are increasing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More than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IF(B232=0,"",RANK(B232,$B$2:$B$250,0))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ARIHANT</t>
        </is>
      </c>
      <c r="D232" s="31" t="inlineStr">
        <is>
          <t>Arihant Foundations &amp; Housing Limited</t>
        </is>
      </c>
      <c r="E232" s="31" t="inlineStr">
        <is>
          <t>realty</t>
        </is>
      </c>
      <c r="F232" s="31" t="inlineStr">
        <is>
          <t>construction</t>
        </is>
      </c>
      <c r="G232" s="31" t="inlineStr">
        <is>
          <t>smallcap</t>
        </is>
      </c>
      <c r="H232" s="32" t="n">
        <v>1140.96</v>
      </c>
      <c r="I232" s="32" t="n">
        <v>1087</v>
      </c>
      <c r="J232" s="32" t="n">
        <v>-5.06</v>
      </c>
      <c r="K232" s="32" t="n">
        <v>4909</v>
      </c>
      <c r="L232" s="31" t="n">
        <v>14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60.74</v>
      </c>
      <c r="P232" s="32" t="n">
        <v>22.96</v>
      </c>
      <c r="Q232" s="32" t="n">
        <v>653.4400000000001</v>
      </c>
      <c r="R232" s="31" t="inlineStr">
        <is>
          <t>Earnings / Momentum Support</t>
        </is>
      </c>
      <c r="S232" s="31" t="inlineStr">
        <is>
          <t>Nifty Realty</t>
        </is>
      </c>
      <c r="T232" s="32" t="n">
        <v>-5.38</v>
      </c>
      <c r="U232" s="32" t="n">
        <v>-4.66</v>
      </c>
      <c r="V232" s="32" t="n">
        <v>0.76</v>
      </c>
      <c r="W232" s="32" t="n">
        <v>3.3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1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IF(B233=0,"",RANK(B233,$B$2:$B$250,0))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ONEPOINT</t>
        </is>
      </c>
      <c r="D233" s="31" t="inlineStr">
        <is>
          <t>One Point One Solutions Ltd</t>
        </is>
      </c>
      <c r="E233" s="31" t="inlineStr">
        <is>
          <t>i.t</t>
        </is>
      </c>
      <c r="F233" s="31" t="inlineStr">
        <is>
          <t>computers - software - medium / small</t>
        </is>
      </c>
      <c r="G233" s="31" t="inlineStr">
        <is>
          <t>smallcap</t>
        </is>
      </c>
      <c r="H233" s="32" t="n">
        <v>1487.43</v>
      </c>
      <c r="I233" s="32" t="n">
        <v>57.08</v>
      </c>
      <c r="J233" s="32" t="n">
        <v>0.9</v>
      </c>
      <c r="K233" s="32" t="n">
        <v>878679</v>
      </c>
      <c r="L233" s="31" t="n">
        <v>19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54.36</v>
      </c>
      <c r="P233" s="32" t="n">
        <v>20.25</v>
      </c>
      <c r="Q233" s="32" t="n">
        <v>48.41</v>
      </c>
      <c r="R233" s="31" t="inlineStr">
        <is>
          <t>Earnings / Momentum Support</t>
        </is>
      </c>
      <c r="S233" s="31" t="inlineStr">
        <is>
          <t>Nifty IT</t>
        </is>
      </c>
      <c r="T233" s="32" t="n">
        <v>-9.970000000000001</v>
      </c>
      <c r="U233" s="32" t="n">
        <v>16.42</v>
      </c>
      <c r="V233" s="32" t="n">
        <v>29.31</v>
      </c>
      <c r="W233" s="32" t="n">
        <v>4.37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1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Between 12 to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IF(B234=0,"",RANK(B234,$B$2:$B$250,0))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BHARTIARTL</t>
        </is>
      </c>
      <c r="D234" s="31" t="inlineStr">
        <is>
          <t>Bharti Airtel Limited</t>
        </is>
      </c>
      <c r="E234" s="31" t="inlineStr">
        <is>
          <t>telecom-service</t>
        </is>
      </c>
      <c r="F234" s="31" t="inlineStr">
        <is>
          <t>telecommunications - service provider</t>
        </is>
      </c>
      <c r="G234" s="31" t="inlineStr">
        <is>
          <t>largecap</t>
        </is>
      </c>
      <c r="H234" s="32" t="n">
        <v>1217149.91</v>
      </c>
      <c r="I234" s="32" t="n">
        <v>1956.8</v>
      </c>
      <c r="J234" s="32" t="n">
        <v>0.34</v>
      </c>
      <c r="K234" s="32" t="n">
        <v>5356472</v>
      </c>
      <c r="L234" s="31" t="n">
        <v>10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57.33</v>
      </c>
      <c r="P234" s="32" t="n">
        <v>16.82</v>
      </c>
      <c r="Q234" s="32" t="n">
        <v>1705.02</v>
      </c>
      <c r="R234" s="31" t="inlineStr">
        <is>
          <t>Earnings / Momentum Support</t>
        </is>
      </c>
      <c r="S234" s="31" t="inlineStr">
        <is>
          <t>Nifty 50</t>
        </is>
      </c>
      <c r="T234" s="32" t="n">
        <v>-1.01</v>
      </c>
      <c r="U234" s="32" t="n">
        <v>5.15</v>
      </c>
      <c r="V234" s="32" t="n">
        <v>6.22</v>
      </c>
      <c r="W234" s="32" t="n">
        <v>2.15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Oligopoly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IF(B235=0,"",RANK(B235,$B$2:$B$250,0))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GRAPHITE</t>
        </is>
      </c>
      <c r="D235" s="31" t="inlineStr">
        <is>
          <t>Graphite India Limited</t>
        </is>
      </c>
      <c r="E235" s="31" t="inlineStr">
        <is>
          <t>industrials</t>
        </is>
      </c>
      <c r="F235" s="31" t="inlineStr">
        <is>
          <t>electrodes - graphites</t>
        </is>
      </c>
      <c r="G235" s="31" t="inlineStr">
        <is>
          <t>midcap</t>
        </is>
      </c>
      <c r="H235" s="32" t="n">
        <v>13024.71</v>
      </c>
      <c r="I235" s="32" t="n">
        <v>665.7</v>
      </c>
      <c r="J235" s="32" t="n">
        <v>-0.14</v>
      </c>
      <c r="K235" s="32" t="n">
        <v>1250369</v>
      </c>
      <c r="L235" s="31" t="n">
        <v>20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52.84</v>
      </c>
      <c r="P235" s="32" t="n">
        <v>18.89</v>
      </c>
      <c r="Q235" s="32" t="n">
        <v>591.79</v>
      </c>
      <c r="R235" s="31" t="inlineStr">
        <is>
          <t>Earnings / Momentum Support</t>
        </is>
      </c>
      <c r="S235" s="31" t="inlineStr">
        <is>
          <t>Nifty 50</t>
        </is>
      </c>
      <c r="T235" s="32" t="n">
        <v>-1.01</v>
      </c>
      <c r="U235" s="32" t="n">
        <v>27.64</v>
      </c>
      <c r="V235" s="32" t="n">
        <v>28.95</v>
      </c>
      <c r="W235" s="32" t="n">
        <v>4.57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1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Less than 50%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IF(B236=0,"",RANK(B236,$B$2:$B$250,0))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RGL</t>
        </is>
      </c>
      <c r="D236" s="31" t="inlineStr">
        <is>
          <t>Renaissance Global Ltd</t>
        </is>
      </c>
      <c r="E236" s="31" t="inlineStr">
        <is>
          <t>consumer discretionary</t>
        </is>
      </c>
      <c r="F236" s="31" t="inlineStr">
        <is>
          <t>diamond cutting / jewellery</t>
        </is>
      </c>
      <c r="G236" s="31" t="inlineStr">
        <is>
          <t>smallcap</t>
        </is>
      </c>
      <c r="H236" s="32" t="n">
        <v>1299.8</v>
      </c>
      <c r="I236" s="32" t="n">
        <v>119.55</v>
      </c>
      <c r="J236" s="32" t="n">
        <v>-1.25</v>
      </c>
      <c r="K236" s="32" t="n">
        <v>287658</v>
      </c>
      <c r="L236" s="31" t="n">
        <v>38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55.75</v>
      </c>
      <c r="P236" s="32" t="n">
        <v>12.96</v>
      </c>
      <c r="Q236" s="32" t="n">
        <v>90.56999999999999</v>
      </c>
      <c r="R236" s="31" t="inlineStr">
        <is>
          <t>Earnings / Momentum Support</t>
        </is>
      </c>
      <c r="S236" s="31" t="inlineStr">
        <is>
          <t>Nifty 50</t>
        </is>
      </c>
      <c r="T236" s="32" t="n">
        <v>-1.01</v>
      </c>
      <c r="U236" s="32" t="n">
        <v>13.36</v>
      </c>
      <c r="V236" s="32" t="n">
        <v>14.52</v>
      </c>
      <c r="W236" s="32" t="n">
        <v>8.130000000000001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Between 1.5 to 2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IF(B237=0,"",RANK(B237,$B$2:$B$250,0))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GANDHITUBE</t>
        </is>
      </c>
      <c r="D237" s="33" t="inlineStr">
        <is>
          <t>Gandhi Special Tubes Limited</t>
        </is>
      </c>
      <c r="E237" s="31" t="inlineStr">
        <is>
          <t>metals &amp; mining</t>
        </is>
      </c>
      <c r="F237" s="31" t="inlineStr">
        <is>
          <t>steel - medium / small</t>
        </is>
      </c>
      <c r="G237" s="31" t="inlineStr">
        <is>
          <t>smallcap</t>
        </is>
      </c>
      <c r="H237" s="32" t="n">
        <v>1063.06</v>
      </c>
      <c r="I237" s="32" t="n">
        <v>874.2</v>
      </c>
      <c r="J237" s="32" t="n">
        <v>-0.07000000000000001</v>
      </c>
      <c r="K237" s="32" t="n">
        <v>2195</v>
      </c>
      <c r="L237" s="31" t="n">
        <v>23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55.11</v>
      </c>
      <c r="P237" s="32" t="n">
        <v>12.32</v>
      </c>
      <c r="Q237" s="32" t="n">
        <v>779.27</v>
      </c>
      <c r="R237" s="31" t="inlineStr">
        <is>
          <t>Earnings / Momentum Support</t>
        </is>
      </c>
      <c r="S237" s="31" t="inlineStr">
        <is>
          <t>Nifty Metal</t>
        </is>
      </c>
      <c r="T237" s="32" t="n">
        <v>34.77</v>
      </c>
      <c r="U237" s="32" t="n">
        <v>18.46</v>
      </c>
      <c r="V237" s="32" t="n">
        <v>-12.1</v>
      </c>
      <c r="W237" s="32" t="n">
        <v>5.14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Cyclical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Volatile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Between 50% to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IF(B238=0,"",RANK(B238,$B$2:$B$250,0))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VRLLOG</t>
        </is>
      </c>
      <c r="D238" s="33" t="inlineStr">
        <is>
          <t>Vrl Logistics Limited</t>
        </is>
      </c>
      <c r="E238" s="31" t="inlineStr">
        <is>
          <t>transportation</t>
        </is>
      </c>
      <c r="F238" s="31" t="inlineStr">
        <is>
          <t>miscellaneous</t>
        </is>
      </c>
      <c r="G238" s="31" t="inlineStr">
        <is>
          <t>smallcap</t>
        </is>
      </c>
      <c r="H238" s="32" t="n">
        <v>4592.45</v>
      </c>
      <c r="I238" s="32" t="n">
        <v>259.1</v>
      </c>
      <c r="J238" s="32" t="n">
        <v>-1.3</v>
      </c>
      <c r="K238" s="32" t="n">
        <v>143273</v>
      </c>
      <c r="L238" s="31" t="n">
        <v>1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54.92</v>
      </c>
      <c r="P238" s="32" t="n">
        <v>7.92</v>
      </c>
      <c r="Q238" s="32" t="n">
        <v>215.63</v>
      </c>
      <c r="R238" s="31" t="inlineStr">
        <is>
          <t>Volume Spike / Accumulation</t>
        </is>
      </c>
      <c r="S238" s="31" t="inlineStr">
        <is>
          <t>Nifty 50</t>
        </is>
      </c>
      <c r="T238" s="32" t="n">
        <v>-1.01</v>
      </c>
      <c r="U238" s="32" t="n">
        <v>-12.27</v>
      </c>
      <c r="V238" s="32" t="n">
        <v>-11.38</v>
      </c>
      <c r="W238" s="32" t="n">
        <v>-2.06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1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IF(B239=0,"",RANK(B239,$B$2:$B$250,0))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PAGEIND</t>
        </is>
      </c>
      <c r="D239" s="33" t="inlineStr">
        <is>
          <t>Page Industries Limited</t>
        </is>
      </c>
      <c r="E239" s="31" t="inlineStr">
        <is>
          <t>consumer discretionary</t>
        </is>
      </c>
      <c r="F239" s="31" t="inlineStr">
        <is>
          <t>textiles - products</t>
        </is>
      </c>
      <c r="G239" s="31" t="inlineStr">
        <is>
          <t>largecap</t>
        </is>
      </c>
      <c r="H239" s="32" t="n">
        <v>44916.65</v>
      </c>
      <c r="I239" s="32" t="n">
        <v>41085</v>
      </c>
      <c r="J239" s="32" t="n">
        <v>2.02</v>
      </c>
      <c r="K239" s="32" t="n">
        <v>34842</v>
      </c>
      <c r="L239" s="31" t="n">
        <v>6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59.57</v>
      </c>
      <c r="P239" s="32" t="n">
        <v>17.16</v>
      </c>
      <c r="Q239" s="32" t="n">
        <v>36117.19</v>
      </c>
      <c r="R239" s="31" t="inlineStr">
        <is>
          <t>Earnings / Momentum Support</t>
        </is>
      </c>
      <c r="S239" s="31" t="inlineStr">
        <is>
          <t>Nifty 50</t>
        </is>
      </c>
      <c r="T239" s="32" t="n">
        <v>-1.01</v>
      </c>
      <c r="U239" s="32" t="n">
        <v>-10.98</v>
      </c>
      <c r="V239" s="32" t="n">
        <v>-10.07</v>
      </c>
      <c r="W239" s="32" t="n">
        <v>1.01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IF(B240=0,"",RANK(B240,$B$2:$B$250,0))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MAXHEALTH</t>
        </is>
      </c>
      <c r="D240" s="33" t="inlineStr">
        <is>
          <t>Max Healthcare Institute Ltd</t>
        </is>
      </c>
      <c r="E240" s="31" t="inlineStr">
        <is>
          <t>healthcare</t>
        </is>
      </c>
      <c r="F240" s="31" t="inlineStr">
        <is>
          <t>healthcare</t>
        </is>
      </c>
      <c r="G240" s="31" t="inlineStr">
        <is>
          <t>largecap</t>
        </is>
      </c>
      <c r="H240" s="32" t="n">
        <v>108166.31</v>
      </c>
      <c r="I240" s="32" t="n">
        <v>1124.8</v>
      </c>
      <c r="J240" s="32" t="n">
        <v>1.21</v>
      </c>
      <c r="K240" s="32" t="n">
        <v>1610692</v>
      </c>
      <c r="L240" s="31" t="n">
        <v>6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57.83</v>
      </c>
      <c r="P240" s="32" t="n">
        <v>15.09</v>
      </c>
      <c r="Q240" s="32" t="n">
        <v>968.7</v>
      </c>
      <c r="R240" s="31" t="inlineStr">
        <is>
          <t>Earnings / Momentum Support</t>
        </is>
      </c>
      <c r="S240" s="31" t="inlineStr">
        <is>
          <t>Nifty Pharma</t>
        </is>
      </c>
      <c r="T240" s="32" t="n">
        <v>19.69</v>
      </c>
      <c r="U240" s="32" t="n">
        <v>-9.57</v>
      </c>
      <c r="V240" s="32" t="n">
        <v>-24.44</v>
      </c>
      <c r="W240" s="32" t="n">
        <v>1.16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IF(B241=0,"",RANK(B241,$B$2:$B$250,0))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OIL</t>
        </is>
      </c>
      <c r="D241" s="33" t="inlineStr">
        <is>
          <t>Oil India Limited</t>
        </is>
      </c>
      <c r="E241" s="31" t="inlineStr">
        <is>
          <t>energy</t>
        </is>
      </c>
      <c r="F241" s="31" t="inlineStr">
        <is>
          <t>oil drilling / allied services</t>
        </is>
      </c>
      <c r="G241" s="31" t="inlineStr">
        <is>
          <t>largecap</t>
        </is>
      </c>
      <c r="H241" s="32" t="n">
        <v>72855.75999999999</v>
      </c>
      <c r="I241" s="32" t="n">
        <v>456.9</v>
      </c>
      <c r="J241" s="32" t="n">
        <v>2.01</v>
      </c>
      <c r="K241" s="32" t="n">
        <v>1592950</v>
      </c>
      <c r="L241" s="31" t="n">
        <v>6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51.79</v>
      </c>
      <c r="P241" s="32" t="n">
        <v>19.17</v>
      </c>
      <c r="Q241" s="32" t="n">
        <v>429.36</v>
      </c>
      <c r="R241" s="31" t="inlineStr">
        <is>
          <t>Earnings / Momentum Support</t>
        </is>
      </c>
      <c r="S241" s="31" t="inlineStr">
        <is>
          <t>Nifty Energy</t>
        </is>
      </c>
      <c r="T241" s="32" t="n">
        <v>8.69</v>
      </c>
      <c r="U241" s="32" t="n">
        <v>7.97</v>
      </c>
      <c r="V241" s="32" t="n">
        <v>-0.66</v>
      </c>
      <c r="W241" s="32" t="n">
        <v>0.97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Oligopoly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1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IF(B242=0,"",RANK(B242,$B$2:$B$250,0))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JSL</t>
        </is>
      </c>
      <c r="D242" s="33" t="inlineStr">
        <is>
          <t>Jindal Stainless Limited</t>
        </is>
      </c>
      <c r="E242" s="31" t="inlineStr">
        <is>
          <t>metals &amp; mining</t>
        </is>
      </c>
      <c r="F242" s="31" t="inlineStr">
        <is>
          <t>steel - large</t>
        </is>
      </c>
      <c r="G242" s="31" t="inlineStr">
        <is>
          <t>largecap</t>
        </is>
      </c>
      <c r="H242" s="32" t="n">
        <v>60058.97</v>
      </c>
      <c r="I242" s="32" t="n">
        <v>737.75</v>
      </c>
      <c r="J242" s="32" t="n">
        <v>1.27</v>
      </c>
      <c r="K242" s="32" t="n">
        <v>287292</v>
      </c>
      <c r="L242" s="31" t="n">
        <v>10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51.33</v>
      </c>
      <c r="P242" s="32" t="n">
        <v>11.81</v>
      </c>
      <c r="Q242" s="32" t="n">
        <v>635.2</v>
      </c>
      <c r="R242" s="31" t="inlineStr">
        <is>
          <t>Earnings / Momentum Support</t>
        </is>
      </c>
      <c r="S242" s="31" t="inlineStr">
        <is>
          <t>Nifty Metal</t>
        </is>
      </c>
      <c r="T242" s="32" t="n">
        <v>34.77</v>
      </c>
      <c r="U242" s="32" t="n">
        <v>12.88</v>
      </c>
      <c r="V242" s="32" t="n">
        <v>-16.24</v>
      </c>
      <c r="W242" s="32" t="n">
        <v>2.2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1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Between 50% to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IF(B243=0,"",RANK(B243,$B$2:$B$250,0))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TBOTEK</t>
        </is>
      </c>
      <c r="D243" s="31" t="inlineStr">
        <is>
          <t>TBO Tek Ltd</t>
        </is>
      </c>
      <c r="E243" s="31" t="inlineStr">
        <is>
          <t>i.t</t>
        </is>
      </c>
      <c r="F243" s="31" t="inlineStr">
        <is>
          <t>travel agencies</t>
        </is>
      </c>
      <c r="G243" s="31" t="inlineStr">
        <is>
          <t>midcap</t>
        </is>
      </c>
      <c r="H243" s="32" t="n">
        <v>16533.58</v>
      </c>
      <c r="I243" s="32" t="n">
        <v>1498.5</v>
      </c>
      <c r="J243" s="32" t="n">
        <v>-1.58</v>
      </c>
      <c r="K243" s="32" t="n">
        <v>1541761</v>
      </c>
      <c r="L243" s="31" t="n">
        <v>25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58.36</v>
      </c>
      <c r="P243" s="32" t="n">
        <v>16.12</v>
      </c>
      <c r="Q243" s="32" t="n">
        <v>1167.09</v>
      </c>
      <c r="R243" s="31" t="inlineStr">
        <is>
          <t>Volume Spike / Accumulation</t>
        </is>
      </c>
      <c r="S243" s="31" t="inlineStr">
        <is>
          <t>Nifty IT</t>
        </is>
      </c>
      <c r="T243" s="32" t="n">
        <v>-9.970000000000001</v>
      </c>
      <c r="U243" s="32" t="n">
        <v>5.87</v>
      </c>
      <c r="V243" s="32" t="n">
        <v>17.6</v>
      </c>
      <c r="W243" s="32" t="n">
        <v>5.51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Negative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IF(B244=0,"",RANK(B244,$B$2:$B$250,0))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M&amp;M</t>
        </is>
      </c>
      <c r="D244" s="33" t="inlineStr">
        <is>
          <t>Mahindra &amp; Mahindra Limited</t>
        </is>
      </c>
      <c r="E244" s="31" t="inlineStr">
        <is>
          <t>auto</t>
        </is>
      </c>
      <c r="F244" s="31" t="inlineStr">
        <is>
          <t>automobiles - passenger cars</t>
        </is>
      </c>
      <c r="G244" s="31" t="inlineStr">
        <is>
          <t>largecap</t>
        </is>
      </c>
      <c r="H244" s="32" t="n">
        <v>400640.12</v>
      </c>
      <c r="I244" s="32" t="n">
        <v>3283.7</v>
      </c>
      <c r="J244" s="32" t="n">
        <v>1.92</v>
      </c>
      <c r="K244" s="32" t="n">
        <v>4851980</v>
      </c>
      <c r="L244" s="31" t="n">
        <v>13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54.83</v>
      </c>
      <c r="P244" s="32" t="n">
        <v>9.300000000000001</v>
      </c>
      <c r="Q244" s="32" t="n">
        <v>2781.23</v>
      </c>
      <c r="R244" s="31" t="inlineStr">
        <is>
          <t>Earnings / Momentum Support</t>
        </is>
      </c>
      <c r="S244" s="31" t="inlineStr">
        <is>
          <t>Nifty Auto</t>
        </is>
      </c>
      <c r="T244" s="32" t="n">
        <v>18.91</v>
      </c>
      <c r="U244" s="32" t="n">
        <v>2.21</v>
      </c>
      <c r="V244" s="32" t="n">
        <v>-14.04</v>
      </c>
      <c r="W244" s="32" t="n">
        <v>2.72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1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Less than 1.5</t>
        </is>
      </c>
      <c r="BU244" s="31">
        <f>IF(BT244="Above 2",0,IF(BT244="Between 1.5 to 2",5,IF(BT244="Less than 1.5",10,0)))</f>
        <v/>
      </c>
      <c r="BV244" s="31" t="inlineStr">
        <is>
          <t>Less than 50% and Borrowings are increasing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More than 1.2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IF(B245=0,"",RANK(B245,$B$2:$B$250,0))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GAEL</t>
        </is>
      </c>
      <c r="D245" s="31" t="inlineStr">
        <is>
          <t>Gujarat Ambuja Exports Limited</t>
        </is>
      </c>
      <c r="E245" s="31" t="inlineStr">
        <is>
          <t>fmcg</t>
        </is>
      </c>
      <c r="F245" s="31" t="inlineStr">
        <is>
          <t>miscellaneous</t>
        </is>
      </c>
      <c r="G245" s="31" t="inlineStr">
        <is>
          <t>midcap</t>
        </is>
      </c>
      <c r="H245" s="32" t="n">
        <v>7536.42</v>
      </c>
      <c r="I245" s="32" t="n">
        <v>172.59</v>
      </c>
      <c r="J245" s="32" t="n">
        <v>5.04</v>
      </c>
      <c r="K245" s="32" t="n">
        <v>4585596</v>
      </c>
      <c r="L245" s="31" t="n">
        <v>59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63.97</v>
      </c>
      <c r="P245" s="32" t="n">
        <v>37.78</v>
      </c>
      <c r="Q245" s="32" t="n">
        <v>137.13</v>
      </c>
      <c r="R245" s="31" t="inlineStr">
        <is>
          <t>Volume Spike &amp; Near 52W High Breakout</t>
        </is>
      </c>
      <c r="S245" s="31" t="inlineStr">
        <is>
          <t>Nifty FMCG</t>
        </is>
      </c>
      <c r="T245" s="32" t="n">
        <v>-9.050000000000001</v>
      </c>
      <c r="U245" s="32" t="n">
        <v>64</v>
      </c>
      <c r="V245" s="32" t="n">
        <v>80.31</v>
      </c>
      <c r="W245" s="32" t="n">
        <v>13.75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Oligopoly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Shallow Cyclical (2 to 3 Years Growth)</t>
        </is>
      </c>
      <c r="AG245" s="31">
        <f>IF(AF245="Structural (10 Years Consistency)",10,IF(AF245="Shallow Cyclical (2 to 3 years growth)",5,0))</f>
        <v/>
      </c>
      <c r="AH245" s="31" t="inlineStr">
        <is>
          <t>Yes due to Product Mix change or Operating Leverage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Volatile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Allocated capital in Non-core Areas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Above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Sideways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Overhead supply in last 2 years in last 2 years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More than 15%</t>
        </is>
      </c>
      <c r="CC245" s="31">
        <f>IF(CB245="More than 15%",-10,IF(CB245="Less than 15%",10,0))</f>
        <v/>
      </c>
      <c r="CD245" s="31" t="inlineStr">
        <is>
          <t>Yes Upto 10%</t>
        </is>
      </c>
      <c r="CE245" s="31">
        <f>IF(CD245="Yes, more than 10%",-10,IF(CD245="No",10,0))</f>
        <v/>
      </c>
    </row>
    <row r="246">
      <c r="A246" s="31">
        <f>IF(B246=0,"",RANK(B246,$B$2:$B$250,0))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GNFC</t>
        </is>
      </c>
      <c r="D246" s="31" t="inlineStr">
        <is>
          <t>Gujarat Narmada Valley Fertilizers And Chemicals Limited</t>
        </is>
      </c>
      <c r="E246" s="31" t="inlineStr">
        <is>
          <t>chemicals</t>
        </is>
      </c>
      <c r="F246" s="31" t="inlineStr">
        <is>
          <t>chemicals</t>
        </is>
      </c>
      <c r="G246" s="31" t="inlineStr">
        <is>
          <t>midcap</t>
        </is>
      </c>
      <c r="H246" s="32" t="n">
        <v>7715.86</v>
      </c>
      <c r="I246" s="32" t="n">
        <v>527.05</v>
      </c>
      <c r="J246" s="32" t="n">
        <v>0.37</v>
      </c>
      <c r="K246" s="32" t="n">
        <v>380169</v>
      </c>
      <c r="L246" s="31" t="n">
        <v>14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57.54</v>
      </c>
      <c r="P246" s="32" t="n">
        <v>28.91</v>
      </c>
      <c r="Q246" s="32" t="n">
        <v>462.6</v>
      </c>
      <c r="R246" s="31" t="inlineStr">
        <is>
          <t>Earnings / Momentum Support</t>
        </is>
      </c>
      <c r="S246" s="31" t="inlineStr">
        <is>
          <t>Nifty 50</t>
        </is>
      </c>
      <c r="T246" s="32" t="n">
        <v>-1.01</v>
      </c>
      <c r="U246" s="32" t="n">
        <v>1.92</v>
      </c>
      <c r="V246" s="32" t="n">
        <v>2.96</v>
      </c>
      <c r="W246" s="32" t="n">
        <v>3.07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Shallow Cyclical (2 to 3 Years Growth)</t>
        </is>
      </c>
      <c r="AG246" s="31">
        <f>IF(AF246="Structural (10 Years Consistency)",10,IF(AF246="Shallow Cyclical (2 to 3 years growth)",5,0))</f>
        <v/>
      </c>
      <c r="AH246" s="31" t="inlineStr">
        <is>
          <t>Yes due to Product Mix change or Operating Leverage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Allocated capital in Non-core Areas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Sideways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Overhead supply in last 2 years in last 2 years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More than 15%</t>
        </is>
      </c>
      <c r="CC246" s="31">
        <f>IF(CB246="More than 15%",-10,IF(CB246="Less than 15%",10,0))</f>
        <v/>
      </c>
      <c r="CD246" s="31" t="inlineStr">
        <is>
          <t>Yes Upto 10%</t>
        </is>
      </c>
      <c r="CE246" s="31">
        <f>IF(CD246="Yes, more than 10%",-10,IF(CD246="No",10,0))</f>
        <v/>
      </c>
    </row>
    <row r="247">
      <c r="A247" s="31">
        <f>IF(B247=0,"",RANK(B247,$B$2:$B$250,0))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GUJALKALI</t>
        </is>
      </c>
      <c r="D247" s="31" t="inlineStr">
        <is>
          <t>Gujarat Alkalies And Chemicals Limited</t>
        </is>
      </c>
      <c r="E247" s="31" t="inlineStr">
        <is>
          <t>chemicals</t>
        </is>
      </c>
      <c r="F247" s="31" t="inlineStr">
        <is>
          <t>chemicals</t>
        </is>
      </c>
      <c r="G247" s="31" t="inlineStr">
        <is>
          <t>midcap</t>
        </is>
      </c>
      <c r="H247" s="32" t="n">
        <v>5020.52</v>
      </c>
      <c r="I247" s="32" t="n">
        <v>668.3</v>
      </c>
      <c r="J247" s="32" t="n">
        <v>-2.25</v>
      </c>
      <c r="K247" s="32" t="n">
        <v>75248</v>
      </c>
      <c r="L247" s="31" t="n">
        <v>24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57.28</v>
      </c>
      <c r="P247" s="32" t="n">
        <v>34.25</v>
      </c>
      <c r="Q247" s="32" t="n">
        <v>621.4299999999999</v>
      </c>
      <c r="R247" s="31" t="inlineStr">
        <is>
          <t>Volume Spike / Accumulation</t>
        </is>
      </c>
      <c r="S247" s="31" t="inlineStr">
        <is>
          <t>Nifty 50</t>
        </is>
      </c>
      <c r="T247" s="32" t="n">
        <v>-1.01</v>
      </c>
      <c r="U247" s="32" t="n">
        <v>19.66</v>
      </c>
      <c r="V247" s="32" t="n">
        <v>20.88</v>
      </c>
      <c r="W247" s="32" t="n">
        <v>5.33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Shallow Cyclical (2 to 3 Years Growth)</t>
        </is>
      </c>
      <c r="AG247" s="31">
        <f>IF(AF247="Structural (10 Years Consistency)",10,IF(AF247="Shallow Cyclical (2 to 3 years growth)",5,0))</f>
        <v/>
      </c>
      <c r="AH247" s="31" t="inlineStr">
        <is>
          <t>Yes due to Product Mix change or Operating Leverage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Allocated capital in Non-core Areas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Sideways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Overhead supply in last 2 years in last 2 years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More than 15%</t>
        </is>
      </c>
      <c r="CC247" s="31">
        <f>IF(CB247="More than 15%",-10,IF(CB247="Less than 15%",10,0))</f>
        <v/>
      </c>
      <c r="CD247" s="31" t="inlineStr">
        <is>
          <t>Yes Upto 10%</t>
        </is>
      </c>
      <c r="CE247" s="31">
        <f>IF(CD247="Yes, more than 10%",-10,IF(CD247="No",10,0))</f>
        <v/>
      </c>
    </row>
    <row r="248">
      <c r="A248" s="31">
        <f>IF(B248=0,"",RANK(B248,$B$2:$B$250,0))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FLUOROCHEM</t>
        </is>
      </c>
      <c r="D248" s="31" t="inlineStr">
        <is>
          <t>Gujarat Fluorochemicals Ltd</t>
        </is>
      </c>
      <c r="E248" s="31" t="inlineStr">
        <is>
          <t>chemicals</t>
        </is>
      </c>
      <c r="F248" s="31" t="inlineStr">
        <is>
          <t>chemicals</t>
        </is>
      </c>
      <c r="G248" s="31" t="inlineStr">
        <is>
          <t>largecap</t>
        </is>
      </c>
      <c r="H248" s="32" t="n">
        <v>50334.37</v>
      </c>
      <c r="I248" s="32" t="n">
        <v>4395</v>
      </c>
      <c r="J248" s="32" t="n">
        <v>-4.08</v>
      </c>
      <c r="K248" s="32" t="n">
        <v>84723</v>
      </c>
      <c r="L248" s="31" t="n">
        <v>47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67.48999999999999</v>
      </c>
      <c r="P248" s="32" t="n">
        <v>23.91</v>
      </c>
      <c r="Q248" s="32" t="n">
        <v>3781.67</v>
      </c>
      <c r="R248" s="31" t="inlineStr">
        <is>
          <t>Near 52W High Breakout</t>
        </is>
      </c>
      <c r="S248" s="31" t="inlineStr">
        <is>
          <t>Nifty 500</t>
        </is>
      </c>
      <c r="T248" s="32" t="n">
        <v>3</v>
      </c>
      <c r="U248" s="32" t="n">
        <v>25.83</v>
      </c>
      <c r="V248" s="32" t="n">
        <v>22.17</v>
      </c>
      <c r="W248" s="32" t="n">
        <v>10.37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Oligopoly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Shallow Cyclical (2 to 3 Years Growth)</t>
        </is>
      </c>
      <c r="AG248" s="31">
        <f>IF(AF248="Structural (10 Years Consistency)",10,IF(AF248="Shallow Cyclical (2 to 3 years growth)",5,0))</f>
        <v/>
      </c>
      <c r="AH248" s="31" t="inlineStr">
        <is>
          <t>Yes due to Product Mix change or Operating Leverage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Allocated capital in Non-core Areas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Sideways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Overhead supply in last 2 years in last 2 years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More than 15%</t>
        </is>
      </c>
      <c r="CC248" s="31">
        <f>IF(CB248="More than 15%",-10,IF(CB248="Less than 15%",10,0))</f>
        <v/>
      </c>
      <c r="CD248" s="31" t="inlineStr">
        <is>
          <t>Yes Upto 10%</t>
        </is>
      </c>
      <c r="CE248" s="31">
        <f>IF(CD248="Yes, more than 10%",-10,IF(CD248="No",10,0))</f>
        <v/>
      </c>
    </row>
    <row r="249">
      <c r="A249" s="31">
        <f>IF(B249=0,"",RANK(B249,$B$2:$B$250,0))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MARUTI</t>
        </is>
      </c>
      <c r="D249" s="33" t="inlineStr">
        <is>
          <t>Maruti Suzuki India Limited</t>
        </is>
      </c>
      <c r="E249" s="31" t="inlineStr">
        <is>
          <t>auto</t>
        </is>
      </c>
      <c r="F249" s="31" t="inlineStr">
        <is>
          <t>automobiles - passenger cars</t>
        </is>
      </c>
      <c r="G249" s="31" t="inlineStr">
        <is>
          <t>largecap</t>
        </is>
      </c>
      <c r="H249" s="32" t="n">
        <v>438528.71</v>
      </c>
      <c r="I249" s="32" t="n">
        <v>14188</v>
      </c>
      <c r="J249" s="32" t="n">
        <v>1.72</v>
      </c>
      <c r="K249" s="32" t="n">
        <v>626000</v>
      </c>
      <c r="L249" s="31" t="n">
        <v>27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53.4</v>
      </c>
      <c r="P249" s="32" t="n">
        <v>11.8</v>
      </c>
      <c r="Q249" s="32" t="n">
        <v>12202.76</v>
      </c>
      <c r="R249" s="31" t="inlineStr">
        <is>
          <t>Earnings / Momentum Support</t>
        </is>
      </c>
      <c r="S249" s="31" t="inlineStr">
        <is>
          <t>Nifty Auto</t>
        </is>
      </c>
      <c r="T249" s="32" t="n">
        <v>18.91</v>
      </c>
      <c r="U249" s="32" t="n">
        <v>15.62</v>
      </c>
      <c r="V249" s="32" t="n">
        <v>-2.77</v>
      </c>
      <c r="W249" s="32" t="n">
        <v>5.9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1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IF(B250=0,"",RANK(B250,$B$2:$B$250,0))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AMNPLST</t>
        </is>
      </c>
      <c r="D250" s="33" t="inlineStr">
        <is>
          <t>Amines &amp; Plasticizers Ltd</t>
        </is>
      </c>
      <c r="E250" s="31" t="inlineStr">
        <is>
          <t>chemicals</t>
        </is>
      </c>
      <c r="F250" s="31" t="inlineStr">
        <is>
          <t>chemicals</t>
        </is>
      </c>
      <c r="G250" s="31" t="inlineStr">
        <is>
          <t>smallcap</t>
        </is>
      </c>
      <c r="H250" s="32" t="n">
        <v>1107.44</v>
      </c>
      <c r="I250" s="32" t="n">
        <v>200.51</v>
      </c>
      <c r="J250" s="32" t="n">
        <v>-0.38</v>
      </c>
      <c r="K250" s="32" t="n">
        <v>7392</v>
      </c>
      <c r="L250" s="31" t="n">
        <v>15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56.28</v>
      </c>
      <c r="P250" s="32" t="n">
        <v>31.58</v>
      </c>
      <c r="Q250" s="32" t="n">
        <v>146.36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-1.01</v>
      </c>
      <c r="U250" s="32" t="n">
        <v>-11.71</v>
      </c>
      <c r="V250" s="32" t="n">
        <v>-10.8</v>
      </c>
      <c r="W250" s="32" t="n">
        <v>3.37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Duopoly That Cooperate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Shallow Cyclical (2 to 3 Years Growth)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4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Downtrend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Overhead supply in last 2 years in last 2 years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No</t>
        </is>
      </c>
      <c r="BM250" s="31">
        <f>IF(BL250="Yes",10,0)</f>
        <v/>
      </c>
      <c r="BN250" s="31" t="inlineStr">
        <is>
          <t>Between 12 to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</sheetData>
  <autoFilter ref="A1:CE250"/>
  <conditionalFormatting sqref="B2:B25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5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5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5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5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5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5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5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5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5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5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5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5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5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5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5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5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5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5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5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5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5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5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5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5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5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50">
    <cfRule type="cellIs" priority="36" operator="equal" dxfId="3" stopIfTrue="1">
      <formula>"Underperforming"</formula>
    </cfRule>
  </conditionalFormatting>
  <conditionalFormatting sqref="N2:N250">
    <cfRule type="cellIs" priority="37" operator="equal" dxfId="3" stopIfTrue="1">
      <formula>-5</formula>
    </cfRule>
  </conditionalFormatting>
  <conditionalFormatting sqref="Q2:Q25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50" showDropDown="0" showInputMessage="0" showErrorMessage="0" allowBlank="1" type="list">
      <formula1>"Growing Industry,Stagnant Industry,Cyclical in an Upturn"</formula1>
    </dataValidation>
    <dataValidation sqref="Z2:Z25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50" showDropDown="0" showInputMessage="0" showErrorMessage="0" allowBlank="1" type="list">
      <formula1>"Yes,No"</formula1>
    </dataValidation>
    <dataValidation sqref="AD2:AD250" showDropDown="0" showInputMessage="0" showErrorMessage="0" allowBlank="1" type="list">
      <formula1>"Tailwind,Headwind"</formula1>
    </dataValidation>
    <dataValidation sqref="AF2:AF250" showDropDown="0" showInputMessage="0" showErrorMessage="0" allowBlank="1" type="list">
      <formula1>"Structural (10 Years Consistency),Shallow Cyclical (2 to 3 Years Growth),Cyclical"</formula1>
    </dataValidation>
    <dataValidation sqref="AH2:AH250" showDropDown="0" showInputMessage="0" showErrorMessage="0" allowBlank="1" type="list">
      <formula1>"Yes due to Product Mix change or Operating Leverage,Yes, these are peak margins,No"</formula1>
    </dataValidation>
    <dataValidation sqref="AJ2:AJ250" showDropDown="0" showInputMessage="0" showErrorMessage="0" allowBlank="1" type="list">
      <formula1>"Stable,Volatile"</formula1>
    </dataValidation>
    <dataValidation sqref="AL2:AL250" showDropDown="0" showInputMessage="0" showErrorMessage="0" allowBlank="1" type="list">
      <formula1>"Yes,No"</formula1>
    </dataValidation>
    <dataValidation sqref="AN2:AN250" showDropDown="0" showInputMessage="0" showErrorMessage="0" allowBlank="1" type="list">
      <formula1>"B2C,B2B,B2G"</formula1>
    </dataValidation>
    <dataValidation sqref="AP2:AP250" showDropDown="0" showInputMessage="0" showErrorMessage="0" allowBlank="1" type="list">
      <formula1>"Yes,No"</formula1>
    </dataValidation>
    <dataValidation sqref="AR2:AR250" showDropDown="0" showInputMessage="0" showErrorMessage="0" allowBlank="1" type="list">
      <formula1>"Fully Annuity,Higher Annuity, Lower One time,Higher One Time, Lower Annuity,Fully One Time"</formula1>
    </dataValidation>
    <dataValidation sqref="AT2:AT250" showDropDown="0" showInputMessage="0" showErrorMessage="0" allowBlank="1" type="list">
      <formula1>"Good,Allocated capital in Non-core Areas"</formula1>
    </dataValidation>
    <dataValidation sqref="AV2:AV250" showDropDown="0" showInputMessage="0" showErrorMessage="0" allowBlank="1" type="list">
      <formula1>"Yes for more than 2 years,Yes only for next 1 to 2 years,No"</formula1>
    </dataValidation>
    <dataValidation sqref="AX2:AX250" showDropDown="0" showInputMessage="0" showErrorMessage="0" allowBlank="1" type="list">
      <formula1>"Above 40,20 to 40,0 to 20"</formula1>
    </dataValidation>
    <dataValidation sqref="AZ2:AZ250" showDropDown="0" showInputMessage="0" showErrorMessage="0" allowBlank="1" type="list">
      <formula1>"Between 50 to 75,Above 75,Below 45"</formula1>
    </dataValidation>
    <dataValidation sqref="BB2:BB250" showDropDown="0" showInputMessage="0" showErrorMessage="0" allowBlank="1" type="list">
      <formula1>"Stage 1,Stage 2,Stage 3,Stage 4"</formula1>
    </dataValidation>
    <dataValidation sqref="BD2:BD250" showDropDown="0" showInputMessage="0" showErrorMessage="0" allowBlank="1" type="list">
      <formula1>"Positive Trend,Negative Trend"</formula1>
    </dataValidation>
    <dataValidation sqref="BF2:BF250" showDropDown="0" showInputMessage="0" showErrorMessage="0" allowBlank="1" type="list">
      <formula1>"Uptrend,Sideways,Downtrend"</formula1>
    </dataValidation>
    <dataValidation sqref="BH2:BH250" showDropDown="0" showInputMessage="0" showErrorMessage="0" allowBlank="1" type="list">
      <formula1>"Uptrend,Sideways,Downtrend"</formula1>
    </dataValidation>
    <dataValidation sqref="BJ2:BJ25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50" showDropDown="0" showInputMessage="0" showErrorMessage="0" allowBlank="1" type="list">
      <formula1>"Yes,No"</formula1>
    </dataValidation>
    <dataValidation sqref="BN2:BN250" showDropDown="0" showInputMessage="0" showErrorMessage="0" allowBlank="1" type="list">
      <formula1>"More than 20%,Between 12 to 20%,Less than 12%"</formula1>
    </dataValidation>
    <dataValidation sqref="BP2:BP250" showDropDown="0" showInputMessage="0" showErrorMessage="0" allowBlank="1" type="list">
      <formula1>"Yes,No"</formula1>
    </dataValidation>
    <dataValidation sqref="BR2:BR250" showDropDown="0" showInputMessage="0" showErrorMessage="0" allowBlank="1" type="list">
      <formula1>"Yes,No"</formula1>
    </dataValidation>
    <dataValidation sqref="BT2:BT250" showDropDown="0" showInputMessage="0" showErrorMessage="0" allowBlank="1" type="list">
      <formula1>"Above 2,Between 1.5 to 2,Less than 1.5"</formula1>
    </dataValidation>
    <dataValidation sqref="BV2:BV250" showDropDown="0" showInputMessage="0" showErrorMessage="0" allowBlank="1" type="list">
      <formula1>"Above 70%,Between 50% to 70%,Less than 50%,Less than 50% and Borrowings are increasing,Negative"</formula1>
    </dataValidation>
    <dataValidation sqref="BX2:BX250" showDropDown="0" showInputMessage="0" showErrorMessage="0" allowBlank="1" type="list">
      <formula1>"More than 1.2,Between 0.7 to 1.2,Less than 0.7"</formula1>
    </dataValidation>
    <dataValidation sqref="BZ2:BZ250" showDropDown="0" showInputMessage="0" showErrorMessage="0" allowBlank="1" type="list">
      <formula1>"Yes,No"</formula1>
    </dataValidation>
    <dataValidation sqref="CB2:CB250" showDropDown="0" showInputMessage="0" showErrorMessage="0" allowBlank="1" type="list">
      <formula1>"More than 15%,Less than 15%"</formula1>
    </dataValidation>
    <dataValidation sqref="CD2:CD25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10551.87</v>
      </c>
      <c r="I2" s="32" t="n">
        <v>290.75</v>
      </c>
      <c r="J2" s="32" t="n">
        <v>4.21</v>
      </c>
      <c r="K2" s="32" t="n">
        <v>9422179</v>
      </c>
      <c r="L2" s="31" t="n">
        <v>59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69.76000000000001</v>
      </c>
      <c r="P2" s="32" t="n">
        <v>46.96</v>
      </c>
      <c r="Q2" s="32" t="n">
        <v>239.63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2.75</v>
      </c>
      <c r="U2" s="32" t="n">
        <v>67.59999999999999</v>
      </c>
      <c r="V2" s="32" t="n">
        <v>63.11</v>
      </c>
      <c r="W2" s="32" t="n">
        <v>13.83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690.7</v>
      </c>
      <c r="I3" s="32" t="n">
        <v>1879.9</v>
      </c>
      <c r="J3" s="32" t="n">
        <v>-0.53</v>
      </c>
      <c r="K3" s="32" t="n">
        <v>6</v>
      </c>
      <c r="L3" s="31" t="n">
        <v>73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73.18000000000001</v>
      </c>
      <c r="P3" s="32" t="n">
        <v>54.28</v>
      </c>
      <c r="Q3" s="32" t="n">
        <v>1433.6</v>
      </c>
      <c r="R3" s="31" t="inlineStr">
        <is>
          <t>Near 52W High Breakout</t>
        </is>
      </c>
      <c r="S3" s="31" t="inlineStr">
        <is>
          <t>Nifty Bank</t>
        </is>
      </c>
      <c r="T3" s="32" t="n">
        <v>2.75</v>
      </c>
      <c r="U3" s="32" t="n">
        <v>77.25</v>
      </c>
      <c r="V3" s="32" t="n">
        <v>72.5</v>
      </c>
      <c r="W3" s="32" t="n">
        <v>18.2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STARHEALTH</t>
        </is>
      </c>
      <c r="D4" s="31" t="inlineStr">
        <is>
          <t>Star Health &amp; Allied Insurance Company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largecap</t>
        </is>
      </c>
      <c r="H4" s="32" t="n">
        <v>35246.93</v>
      </c>
      <c r="I4" s="32" t="n">
        <v>610.4</v>
      </c>
      <c r="J4" s="32" t="n">
        <v>1.93</v>
      </c>
      <c r="K4" s="32" t="n">
        <v>2469630</v>
      </c>
      <c r="L4" s="31" t="n">
        <v>47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70.84999999999999</v>
      </c>
      <c r="P4" s="32" t="n">
        <v>47.62</v>
      </c>
      <c r="Q4" s="32" t="n">
        <v>506.78</v>
      </c>
      <c r="R4" s="31" t="inlineStr">
        <is>
          <t>Near 52W High Breakout</t>
        </is>
      </c>
      <c r="S4" s="31" t="inlineStr">
        <is>
          <t>Nifty Bank</t>
        </is>
      </c>
      <c r="T4" s="32" t="n">
        <v>2.75</v>
      </c>
      <c r="U4" s="32" t="n">
        <v>40.14</v>
      </c>
      <c r="V4" s="32" t="n">
        <v>36.39</v>
      </c>
      <c r="W4" s="32" t="n">
        <v>10.52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RBLBANK</t>
        </is>
      </c>
      <c r="D5" s="31" t="inlineStr">
        <is>
          <t>Rbl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57474.73</v>
      </c>
      <c r="I5" s="32" t="n">
        <v>378.05</v>
      </c>
      <c r="J5" s="32" t="n">
        <v>1.86</v>
      </c>
      <c r="K5" s="32" t="n">
        <v>14577462</v>
      </c>
      <c r="L5" s="31" t="n">
        <v>50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62.52</v>
      </c>
      <c r="P5" s="32" t="n">
        <v>37.85</v>
      </c>
      <c r="Q5" s="32" t="n">
        <v>316.58</v>
      </c>
      <c r="R5" s="31" t="inlineStr">
        <is>
          <t>Near 52W High Breakout</t>
        </is>
      </c>
      <c r="S5" s="31" t="inlineStr">
        <is>
          <t>Nifty Bank</t>
        </is>
      </c>
      <c r="T5" s="32" t="n">
        <v>2.75</v>
      </c>
      <c r="U5" s="32" t="n">
        <v>46.44</v>
      </c>
      <c r="V5" s="32" t="n">
        <v>42.52</v>
      </c>
      <c r="W5" s="32" t="n">
        <v>11.16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CREDITACC</t>
        </is>
      </c>
      <c r="D6" s="31" t="inlineStr">
        <is>
          <t>CreditAccess Grameen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25487.68</v>
      </c>
      <c r="I6" s="32" t="n">
        <v>1614</v>
      </c>
      <c r="J6" s="32" t="n">
        <v>1.48</v>
      </c>
      <c r="K6" s="32" t="n">
        <v>567519</v>
      </c>
      <c r="L6" s="31" t="n">
        <v>48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65.91</v>
      </c>
      <c r="P6" s="32" t="n">
        <v>45.43</v>
      </c>
      <c r="Q6" s="32" t="n">
        <v>1290.46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2.75</v>
      </c>
      <c r="U6" s="32" t="n">
        <v>29.5</v>
      </c>
      <c r="V6" s="32" t="n">
        <v>26.04</v>
      </c>
      <c r="W6" s="32" t="n">
        <v>10.81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TFCILTD</t>
        </is>
      </c>
      <c r="D7" s="31" t="inlineStr">
        <is>
          <t>Tourism Finance Corporation Of India Limited</t>
        </is>
      </c>
      <c r="E7" s="31" t="inlineStr">
        <is>
          <t>financials</t>
        </is>
      </c>
      <c r="F7" s="31" t="inlineStr">
        <is>
          <t>finance - term-lending institutions</t>
        </is>
      </c>
      <c r="G7" s="31" t="inlineStr">
        <is>
          <t>smallcap</t>
        </is>
      </c>
      <c r="H7" s="32" t="n">
        <v>4656.16</v>
      </c>
      <c r="I7" s="32" t="n">
        <v>101</v>
      </c>
      <c r="J7" s="32" t="n">
        <v>0.43</v>
      </c>
      <c r="K7" s="32" t="n">
        <v>7891848</v>
      </c>
      <c r="L7" s="31" t="n">
        <v>77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73.48999999999999</v>
      </c>
      <c r="P7" s="32" t="n">
        <v>44.73</v>
      </c>
      <c r="Q7" s="32" t="n">
        <v>77.58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2.75</v>
      </c>
      <c r="U7" s="32" t="n">
        <v>79.19</v>
      </c>
      <c r="V7" s="32" t="n">
        <v>74.39</v>
      </c>
      <c r="W7" s="32" t="n">
        <v>21.66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UJJIVANSFB</t>
        </is>
      </c>
      <c r="D8" s="31" t="inlineStr">
        <is>
          <t>Ujjivan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13688.77</v>
      </c>
      <c r="I8" s="32" t="n">
        <v>70.33</v>
      </c>
      <c r="J8" s="32" t="n">
        <v>-0.06</v>
      </c>
      <c r="K8" s="32" t="n">
        <v>11155624</v>
      </c>
      <c r="L8" s="31" t="n">
        <v>64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67.47</v>
      </c>
      <c r="P8" s="32" t="n">
        <v>31.4</v>
      </c>
      <c r="Q8" s="32" t="n">
        <v>55.5</v>
      </c>
      <c r="R8" s="31" t="inlineStr">
        <is>
          <t>Near 52W High Breakout</t>
        </is>
      </c>
      <c r="S8" s="31" t="inlineStr">
        <is>
          <t>Nifty Bank</t>
        </is>
      </c>
      <c r="T8" s="32" t="n">
        <v>2.75</v>
      </c>
      <c r="U8" s="32" t="n">
        <v>62.73</v>
      </c>
      <c r="V8" s="32" t="n">
        <v>58.37</v>
      </c>
      <c r="W8" s="32" t="n">
        <v>15.75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TMB</t>
        </is>
      </c>
      <c r="D9" s="31" t="inlineStr">
        <is>
          <t>Tamilnad Mercantile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13700.57</v>
      </c>
      <c r="I9" s="32" t="n">
        <v>851.75</v>
      </c>
      <c r="J9" s="32" t="n">
        <v>-1.55</v>
      </c>
      <c r="K9" s="32" t="n">
        <v>414923</v>
      </c>
      <c r="L9" s="31" t="n">
        <v>72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71.69</v>
      </c>
      <c r="P9" s="32" t="n">
        <v>37.3</v>
      </c>
      <c r="Q9" s="32" t="n">
        <v>678.3099999999999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2.75</v>
      </c>
      <c r="U9" s="32" t="n">
        <v>95.01000000000001</v>
      </c>
      <c r="V9" s="32" t="n">
        <v>89.79000000000001</v>
      </c>
      <c r="W9" s="32" t="n">
        <v>18.02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RANEHOLDIN</t>
        </is>
      </c>
      <c r="D10" s="31" t="inlineStr">
        <is>
          <t>Rane Holdings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2477.49</v>
      </c>
      <c r="I10" s="32" t="n">
        <v>1743.6</v>
      </c>
      <c r="J10" s="32" t="n">
        <v>0.48</v>
      </c>
      <c r="K10" s="32" t="n">
        <v>7537</v>
      </c>
      <c r="L10" s="31" t="n">
        <v>67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68.16</v>
      </c>
      <c r="P10" s="32" t="n">
        <v>38.32</v>
      </c>
      <c r="Q10" s="32" t="n">
        <v>1401.03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2.75</v>
      </c>
      <c r="U10" s="32" t="n">
        <v>15.4</v>
      </c>
      <c r="V10" s="32" t="n">
        <v>12.31</v>
      </c>
      <c r="W10" s="32" t="n">
        <v>16.57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JSFB</t>
        </is>
      </c>
      <c r="D11" s="31" t="inlineStr">
        <is>
          <t>Jana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6029.19</v>
      </c>
      <c r="I11" s="32" t="n">
        <v>563.35</v>
      </c>
      <c r="J11" s="32" t="n">
        <v>-1.57</v>
      </c>
      <c r="K11" s="32" t="n">
        <v>1104483</v>
      </c>
      <c r="L11" s="31" t="n">
        <v>47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70.45</v>
      </c>
      <c r="P11" s="32" t="n">
        <v>34.64</v>
      </c>
      <c r="Q11" s="32" t="n">
        <v>435.07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2.75</v>
      </c>
      <c r="U11" s="32" t="n">
        <v>22.44</v>
      </c>
      <c r="V11" s="32" t="n">
        <v>19.16</v>
      </c>
      <c r="W11" s="32" t="n">
        <v>10.25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MUTHOOTMF</t>
        </is>
      </c>
      <c r="D12" s="31" t="inlineStr">
        <is>
          <t>Muthoot Microfin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4357.44</v>
      </c>
      <c r="I12" s="32" t="n">
        <v>246.88</v>
      </c>
      <c r="J12" s="32" t="n">
        <v>-3.4</v>
      </c>
      <c r="K12" s="32" t="n">
        <v>321850</v>
      </c>
      <c r="L12" s="31" t="n">
        <v>63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73.97</v>
      </c>
      <c r="P12" s="32" t="n">
        <v>41.4</v>
      </c>
      <c r="Q12" s="32" t="n">
        <v>192.55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2.75</v>
      </c>
      <c r="U12" s="32" t="n">
        <v>56.85</v>
      </c>
      <c r="V12" s="32" t="n">
        <v>52.65</v>
      </c>
      <c r="W12" s="32" t="n">
        <v>15.51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FEDERALBNK</t>
        </is>
      </c>
      <c r="D13" s="31" t="inlineStr">
        <is>
          <t>The Federal Bank 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88639.62</v>
      </c>
      <c r="I13" s="32" t="n">
        <v>354.15</v>
      </c>
      <c r="J13" s="32" t="n">
        <v>-1.39</v>
      </c>
      <c r="K13" s="32" t="n">
        <v>6259452</v>
      </c>
      <c r="L13" s="31" t="n">
        <v>71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77.73999999999999</v>
      </c>
      <c r="P13" s="32" t="n">
        <v>31.16</v>
      </c>
      <c r="Q13" s="32" t="n">
        <v>309.76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2.75</v>
      </c>
      <c r="U13" s="32" t="n">
        <v>81.73</v>
      </c>
      <c r="V13" s="32" t="n">
        <v>76.86</v>
      </c>
      <c r="W13" s="32" t="n">
        <v>17.88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KARURVYSYA</t>
        </is>
      </c>
      <c r="D14" s="31" t="inlineStr">
        <is>
          <t>Karur Vysya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32876.41</v>
      </c>
      <c r="I14" s="32" t="n">
        <v>340.3</v>
      </c>
      <c r="J14" s="32" t="n">
        <v>0.06</v>
      </c>
      <c r="K14" s="32" t="n">
        <v>2148256</v>
      </c>
      <c r="L14" s="31" t="n">
        <v>58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69.88</v>
      </c>
      <c r="P14" s="32" t="n">
        <v>17.16</v>
      </c>
      <c r="Q14" s="32" t="n">
        <v>279.69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2.75</v>
      </c>
      <c r="U14" s="32" t="n">
        <v>60.06</v>
      </c>
      <c r="V14" s="32" t="n">
        <v>55.77</v>
      </c>
      <c r="W14" s="32" t="n">
        <v>13.48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M&amp;MFIN</t>
        </is>
      </c>
      <c r="D15" s="31" t="inlineStr">
        <is>
          <t>Mahindra &amp; Mahindra Financial Services Limited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54730.11</v>
      </c>
      <c r="I15" s="32" t="n">
        <v>392.55</v>
      </c>
      <c r="J15" s="32" t="n">
        <v>-0.3</v>
      </c>
      <c r="K15" s="32" t="n">
        <v>5618806</v>
      </c>
      <c r="L15" s="31" t="n">
        <v>64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67.43000000000001</v>
      </c>
      <c r="P15" s="32" t="n">
        <v>17.83</v>
      </c>
      <c r="Q15" s="32" t="n">
        <v>303.16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2.75</v>
      </c>
      <c r="U15" s="32" t="n">
        <v>55.27</v>
      </c>
      <c r="V15" s="32" t="n">
        <v>51.12</v>
      </c>
      <c r="W15" s="32" t="n">
        <v>16.14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MANAPPURAM</t>
        </is>
      </c>
      <c r="D16" s="31" t="inlineStr">
        <is>
          <t>Manappuram Finance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34769.53</v>
      </c>
      <c r="I16" s="32" t="n">
        <v>368.35</v>
      </c>
      <c r="J16" s="32" t="n">
        <v>-0.49</v>
      </c>
      <c r="K16" s="32" t="n">
        <v>8719819</v>
      </c>
      <c r="L16" s="31" t="n">
        <v>59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68.62</v>
      </c>
      <c r="P16" s="32" t="n">
        <v>17.04</v>
      </c>
      <c r="Q16" s="32" t="n">
        <v>298.17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2.75</v>
      </c>
      <c r="U16" s="32" t="n">
        <v>49.64</v>
      </c>
      <c r="V16" s="32" t="n">
        <v>45.64</v>
      </c>
      <c r="W16" s="32" t="n">
        <v>13.84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MONARCH</t>
        </is>
      </c>
      <c r="D17" s="31" t="inlineStr">
        <is>
          <t>Monarch Networth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3080.73</v>
      </c>
      <c r="I17" s="32" t="n">
        <v>386.2</v>
      </c>
      <c r="J17" s="32" t="n">
        <v>-0.58</v>
      </c>
      <c r="K17" s="32" t="n">
        <v>133642</v>
      </c>
      <c r="L17" s="31" t="n">
        <v>43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71.33</v>
      </c>
      <c r="P17" s="32" t="n">
        <v>25.84</v>
      </c>
      <c r="Q17" s="32" t="n">
        <v>312.18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2.75</v>
      </c>
      <c r="U17" s="32" t="n">
        <v>11.86</v>
      </c>
      <c r="V17" s="32" t="n">
        <v>8.859999999999999</v>
      </c>
      <c r="W17" s="32" t="n">
        <v>9.42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ESAFSFB</t>
        </is>
      </c>
      <c r="D18" s="31" t="inlineStr">
        <is>
          <t>ESAF Small Finance Bank Ltd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smallcap</t>
        </is>
      </c>
      <c r="H18" s="32" t="n">
        <v>1931.21</v>
      </c>
      <c r="I18" s="32" t="n">
        <v>36.48</v>
      </c>
      <c r="J18" s="32" t="n">
        <v>-2.54</v>
      </c>
      <c r="K18" s="32" t="n">
        <v>1207299</v>
      </c>
      <c r="L18" s="31" t="n">
        <v>54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62.93</v>
      </c>
      <c r="P18" s="32" t="n">
        <v>26.33</v>
      </c>
      <c r="Q18" s="32" t="n">
        <v>29.02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2.75</v>
      </c>
      <c r="U18" s="32" t="n">
        <v>16.89</v>
      </c>
      <c r="V18" s="32" t="n">
        <v>13.76</v>
      </c>
      <c r="W18" s="32" t="n">
        <v>12.12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CONSOFINVT</t>
        </is>
      </c>
      <c r="D19" s="31" t="inlineStr">
        <is>
          <t>Consolidated Finvest &amp; Holdings Limited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933.71</v>
      </c>
      <c r="I19" s="32" t="n">
        <v>298.4</v>
      </c>
      <c r="J19" s="32" t="n">
        <v>3.31</v>
      </c>
      <c r="K19" s="32" t="n">
        <v>52994</v>
      </c>
      <c r="L19" s="31" t="n">
        <v>69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78.20999999999999</v>
      </c>
      <c r="P19" s="32" t="n">
        <v>29.6</v>
      </c>
      <c r="Q19" s="32" t="n">
        <v>234.47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2.75</v>
      </c>
      <c r="U19" s="32" t="n">
        <v>52.21</v>
      </c>
      <c r="V19" s="32" t="n">
        <v>48.13</v>
      </c>
      <c r="W19" s="32" t="n">
        <v>17.13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TVSHLTD</t>
        </is>
      </c>
      <c r="D20" s="31" t="inlineStr">
        <is>
          <t>TVS Holdings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29949.58</v>
      </c>
      <c r="I20" s="32" t="n">
        <v>14987</v>
      </c>
      <c r="J20" s="32" t="n">
        <v>1.24</v>
      </c>
      <c r="K20" s="32" t="n">
        <v>20821</v>
      </c>
      <c r="L20" s="31" t="n">
        <v>33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61.56</v>
      </c>
      <c r="P20" s="32" t="n">
        <v>14.01</v>
      </c>
      <c r="Q20" s="32" t="n">
        <v>12320.87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2.75</v>
      </c>
      <c r="U20" s="32" t="n">
        <v>29.38</v>
      </c>
      <c r="V20" s="32" t="n">
        <v>25.92</v>
      </c>
      <c r="W20" s="32" t="n">
        <v>6.98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IIFL</t>
        </is>
      </c>
      <c r="D21" s="31" t="inlineStr">
        <is>
          <t>IIFL Finance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25311.09</v>
      </c>
      <c r="I21" s="32" t="n">
        <v>607.85</v>
      </c>
      <c r="J21" s="32" t="n">
        <v>2.14</v>
      </c>
      <c r="K21" s="32" t="n">
        <v>3846347</v>
      </c>
      <c r="L21" s="31" t="n">
        <v>62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68.42</v>
      </c>
      <c r="P21" s="32" t="n">
        <v>18.57</v>
      </c>
      <c r="Q21" s="32" t="n">
        <v>476.32</v>
      </c>
      <c r="R21" s="31" t="inlineStr">
        <is>
          <t>Earnings / Momentum Support</t>
        </is>
      </c>
      <c r="S21" s="31" t="inlineStr">
        <is>
          <t>Nifty Bank</t>
        </is>
      </c>
      <c r="T21" s="32" t="n">
        <v>2.75</v>
      </c>
      <c r="U21" s="32" t="n">
        <v>43.34</v>
      </c>
      <c r="V21" s="32" t="n">
        <v>39.5</v>
      </c>
      <c r="W21" s="32" t="n">
        <v>15.23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PRUDENT</t>
        </is>
      </c>
      <c r="D22" s="31" t="inlineStr">
        <is>
          <t>Prudent Corporate Advisory Services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13078.3</v>
      </c>
      <c r="I22" s="32" t="n">
        <v>3221.4</v>
      </c>
      <c r="J22" s="32" t="n">
        <v>1.99</v>
      </c>
      <c r="K22" s="32" t="n">
        <v>39201</v>
      </c>
      <c r="L22" s="31" t="n">
        <v>34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67.47</v>
      </c>
      <c r="P22" s="32" t="n">
        <v>27.27</v>
      </c>
      <c r="Q22" s="32" t="n">
        <v>2558.21</v>
      </c>
      <c r="R22" s="31" t="inlineStr">
        <is>
          <t>Volume Spike &amp; Near 52W High Breakout</t>
        </is>
      </c>
      <c r="S22" s="31" t="inlineStr">
        <is>
          <t>Nifty Bank</t>
        </is>
      </c>
      <c r="T22" s="32" t="n">
        <v>2.75</v>
      </c>
      <c r="U22" s="32" t="n">
        <v>20.84</v>
      </c>
      <c r="V22" s="32" t="n">
        <v>17.61</v>
      </c>
      <c r="W22" s="32" t="n">
        <v>7.18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PAISALO</t>
        </is>
      </c>
      <c r="D23" s="31" t="inlineStr">
        <is>
          <t>Paisalo Digital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midcap</t>
        </is>
      </c>
      <c r="H23" s="32" t="n">
        <v>6493.08</v>
      </c>
      <c r="I23" s="32" t="n">
        <v>71.06</v>
      </c>
      <c r="J23" s="32" t="n">
        <v>-0.46</v>
      </c>
      <c r="K23" s="32" t="n">
        <v>5986967</v>
      </c>
      <c r="L23" s="31" t="n">
        <v>88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78.15000000000001</v>
      </c>
      <c r="P23" s="32" t="n">
        <v>56.9</v>
      </c>
      <c r="Q23" s="32" t="n">
        <v>57.41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2.75</v>
      </c>
      <c r="U23" s="32" t="n">
        <v>133.66</v>
      </c>
      <c r="V23" s="32" t="n">
        <v>127.4</v>
      </c>
      <c r="W23" s="32" t="n">
        <v>29.07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Above 40</t>
        </is>
      </c>
      <c r="BM23" s="31">
        <f>IF(BL23="Above 40",20,IF(BL23="20 to 40",10,IF(BL23="0 to 20",-5,0)))</f>
        <v/>
      </c>
      <c r="BN23" s="31" t="inlineStr">
        <is>
          <t>Above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SMCGLOBAL</t>
        </is>
      </c>
      <c r="D24" s="31" t="inlineStr">
        <is>
          <t>SMC Global Securities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1675.83</v>
      </c>
      <c r="I24" s="32" t="n">
        <v>81.54000000000001</v>
      </c>
      <c r="J24" s="32" t="n">
        <v>1.89</v>
      </c>
      <c r="K24" s="32" t="n">
        <v>1418168</v>
      </c>
      <c r="L24" s="31" t="n">
        <v>39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60.46</v>
      </c>
      <c r="P24" s="32" t="n">
        <v>16.51</v>
      </c>
      <c r="Q24" s="32" t="n">
        <v>60.93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2.75</v>
      </c>
      <c r="U24" s="32" t="n">
        <v>17.76</v>
      </c>
      <c r="V24" s="32" t="n">
        <v>14.6</v>
      </c>
      <c r="W24" s="32" t="n">
        <v>8.32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IF(B25=0,"",RANK(B25,$B$2:$B$37,0))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RECLTD</t>
        </is>
      </c>
      <c r="D25" s="33" t="inlineStr">
        <is>
          <t>REC Ltd</t>
        </is>
      </c>
      <c r="E25" s="31" t="inlineStr">
        <is>
          <t>financials</t>
        </is>
      </c>
      <c r="F25" s="31" t="inlineStr">
        <is>
          <t>finance - term-lending institutions</t>
        </is>
      </c>
      <c r="G25" s="31" t="inlineStr">
        <is>
          <t>largecap</t>
        </is>
      </c>
      <c r="H25" s="32" t="n">
        <v>98548.41</v>
      </c>
      <c r="I25" s="32" t="n">
        <v>374.9</v>
      </c>
      <c r="J25" s="32" t="n">
        <v>0.17</v>
      </c>
      <c r="K25" s="32" t="n">
        <v>4027680</v>
      </c>
      <c r="L25" s="31" t="n">
        <v>7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58.76</v>
      </c>
      <c r="P25" s="32" t="n">
        <v>7.94</v>
      </c>
      <c r="Q25" s="32" t="n">
        <v>316.15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2.75</v>
      </c>
      <c r="U25" s="32" t="n">
        <v>0.48</v>
      </c>
      <c r="V25" s="32" t="n">
        <v>-2.21</v>
      </c>
      <c r="W25" s="32" t="n">
        <v>1.31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BAJFINANCE</t>
        </is>
      </c>
      <c r="D26" s="31" t="inlineStr">
        <is>
          <t>Bajaj Finance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656464.62</v>
      </c>
      <c r="I26" s="32" t="n">
        <v>1053.5</v>
      </c>
      <c r="J26" s="32" t="n">
        <v>-0.09</v>
      </c>
      <c r="K26" s="32" t="n">
        <v>9866564</v>
      </c>
      <c r="L26" s="31" t="n">
        <v>34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61.46</v>
      </c>
      <c r="P26" s="32" t="n">
        <v>13.8</v>
      </c>
      <c r="Q26" s="32" t="n">
        <v>877.24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2.75</v>
      </c>
      <c r="U26" s="32" t="n">
        <v>21.06</v>
      </c>
      <c r="V26" s="32" t="n">
        <v>17.82</v>
      </c>
      <c r="W26" s="32" t="n">
        <v>7.14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IDFCFIRSTB</t>
        </is>
      </c>
      <c r="D27" s="31" t="inlineStr">
        <is>
          <t>IDFC First Bank Ltd</t>
        </is>
      </c>
      <c r="E27" s="31" t="inlineStr">
        <is>
          <t>bank</t>
        </is>
      </c>
      <c r="F27" s="31" t="inlineStr">
        <is>
          <t>banks - private sector</t>
        </is>
      </c>
      <c r="G27" s="31" t="inlineStr">
        <is>
          <t>largecap</t>
        </is>
      </c>
      <c r="H27" s="32" t="n">
        <v>73242.48</v>
      </c>
      <c r="I27" s="32" t="n">
        <v>84.76000000000001</v>
      </c>
      <c r="J27" s="32" t="n">
        <v>-0.31</v>
      </c>
      <c r="K27" s="32" t="n">
        <v>19103686</v>
      </c>
      <c r="L27" s="31" t="n">
        <v>45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66.75</v>
      </c>
      <c r="P27" s="32" t="n">
        <v>19.37</v>
      </c>
      <c r="Q27" s="32" t="n">
        <v>71.56999999999999</v>
      </c>
      <c r="R27" s="31" t="inlineStr">
        <is>
          <t>Volume Spike &amp; Near 52W High Breakout</t>
        </is>
      </c>
      <c r="S27" s="31" t="inlineStr">
        <is>
          <t>Nifty Bank</t>
        </is>
      </c>
      <c r="T27" s="32" t="n">
        <v>2.75</v>
      </c>
      <c r="U27" s="32" t="n">
        <v>25.42</v>
      </c>
      <c r="V27" s="32" t="n">
        <v>22.06</v>
      </c>
      <c r="W27" s="32" t="n">
        <v>9.93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POONAWALLA</t>
        </is>
      </c>
      <c r="D28" s="31" t="inlineStr">
        <is>
          <t>Poonawalla Fincorp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42404.82</v>
      </c>
      <c r="I28" s="32" t="n">
        <v>476.9</v>
      </c>
      <c r="J28" s="32" t="n">
        <v>-0.98</v>
      </c>
      <c r="K28" s="32" t="n">
        <v>823341</v>
      </c>
      <c r="L28" s="31" t="n">
        <v>29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59.22</v>
      </c>
      <c r="P28" s="32" t="n">
        <v>13.43</v>
      </c>
      <c r="Q28" s="32" t="n">
        <v>377.79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2.75</v>
      </c>
      <c r="U28" s="32" t="n">
        <v>13.72</v>
      </c>
      <c r="V28" s="32" t="n">
        <v>10.68</v>
      </c>
      <c r="W28" s="32" t="n">
        <v>6.29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CARERATING</t>
        </is>
      </c>
      <c r="D29" s="31" t="inlineStr">
        <is>
          <t>CARE Ratings Ltd</t>
        </is>
      </c>
      <c r="E29" s="31" t="inlineStr">
        <is>
          <t>financials</t>
        </is>
      </c>
      <c r="F29" s="31" t="inlineStr">
        <is>
          <t>miscellaneous</t>
        </is>
      </c>
      <c r="G29" s="31" t="inlineStr">
        <is>
          <t>midcap</t>
        </is>
      </c>
      <c r="H29" s="32" t="n">
        <v>5079.01</v>
      </c>
      <c r="I29" s="32" t="n">
        <v>1707.6</v>
      </c>
      <c r="J29" s="32" t="n">
        <v>1.07</v>
      </c>
      <c r="K29" s="32" t="n">
        <v>25345</v>
      </c>
      <c r="L29" s="31" t="n">
        <v>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57.65</v>
      </c>
      <c r="P29" s="32" t="n">
        <v>18.59</v>
      </c>
      <c r="Q29" s="32" t="n">
        <v>1459.14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2.75</v>
      </c>
      <c r="U29" s="32" t="n">
        <v>3.86</v>
      </c>
      <c r="V29" s="32" t="n">
        <v>1.08</v>
      </c>
      <c r="W29" s="32" t="n">
        <v>1.41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IF(B30=0,"",RANK(B30,$B$2:$B$37,0))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ICICIBANK</t>
        </is>
      </c>
      <c r="D30" s="33" t="inlineStr">
        <is>
          <t>Icici Bank Limited</t>
        </is>
      </c>
      <c r="E30" s="31" t="inlineStr">
        <is>
          <t>bank</t>
        </is>
      </c>
      <c r="F30" s="31" t="inlineStr">
        <is>
          <t>banks - private sector</t>
        </is>
      </c>
      <c r="G30" s="31" t="inlineStr">
        <is>
          <t>largecap</t>
        </is>
      </c>
      <c r="H30" s="32" t="n">
        <v>1031494.21</v>
      </c>
      <c r="I30" s="32" t="n">
        <v>1433.9</v>
      </c>
      <c r="J30" s="32" t="n">
        <v>-0.28</v>
      </c>
      <c r="K30" s="32" t="n">
        <v>14141173</v>
      </c>
      <c r="L30" s="31" t="n">
        <v>12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62.3</v>
      </c>
      <c r="P30" s="32" t="n">
        <v>17.06</v>
      </c>
      <c r="Q30" s="32" t="n">
        <v>1271.23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2.75</v>
      </c>
      <c r="U30" s="32" t="n">
        <v>-1.81</v>
      </c>
      <c r="V30" s="32" t="n">
        <v>-4.44</v>
      </c>
      <c r="W30" s="32" t="n">
        <v>2.6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360ONE</t>
        </is>
      </c>
      <c r="D31" s="31" t="inlineStr">
        <is>
          <t>360 ONE WAM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47228.33</v>
      </c>
      <c r="I31" s="32" t="n">
        <v>1142.9</v>
      </c>
      <c r="J31" s="32" t="n">
        <v>-1.58</v>
      </c>
      <c r="K31" s="32" t="n">
        <v>1268562</v>
      </c>
      <c r="L31" s="31" t="n">
        <v>18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55.39</v>
      </c>
      <c r="P31" s="32" t="n">
        <v>12.59</v>
      </c>
      <c r="Q31" s="32" t="n">
        <v>921.92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2.75</v>
      </c>
      <c r="U31" s="32" t="n">
        <v>9.77</v>
      </c>
      <c r="V31" s="32" t="n">
        <v>6.84</v>
      </c>
      <c r="W31" s="32" t="n">
        <v>4.11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PFC</t>
        </is>
      </c>
      <c r="D32" s="31" t="inlineStr">
        <is>
          <t>Power Finance Corporation Limited</t>
        </is>
      </c>
      <c r="E32" s="31" t="inlineStr">
        <is>
          <t>financials</t>
        </is>
      </c>
      <c r="F32" s="31" t="inlineStr">
        <is>
          <t>finance - term-lending institutions</t>
        </is>
      </c>
      <c r="G32" s="31" t="inlineStr">
        <is>
          <t>largecap</t>
        </is>
      </c>
      <c r="H32" s="32" t="n">
        <v>140947.35</v>
      </c>
      <c r="I32" s="32" t="n">
        <v>426.25</v>
      </c>
      <c r="J32" s="32" t="n">
        <v>-0.2</v>
      </c>
      <c r="K32" s="32" t="n">
        <v>7767894</v>
      </c>
      <c r="L32" s="31" t="n">
        <v>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53.2</v>
      </c>
      <c r="P32" s="32" t="n">
        <v>10.31</v>
      </c>
      <c r="Q32" s="32" t="n">
        <v>389.88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2.75</v>
      </c>
      <c r="U32" s="32" t="n">
        <v>9.5</v>
      </c>
      <c r="V32" s="32" t="n">
        <v>6.57</v>
      </c>
      <c r="W32" s="32" t="n">
        <v>1.22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1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CHOICEIN</t>
        </is>
      </c>
      <c r="D33" s="31" t="inlineStr">
        <is>
          <t>Choice International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midcap</t>
        </is>
      </c>
      <c r="H33" s="32" t="n">
        <v>17824.35</v>
      </c>
      <c r="I33" s="32" t="n">
        <v>798.7</v>
      </c>
      <c r="J33" s="32" t="n">
        <v>-0.18</v>
      </c>
      <c r="K33" s="32" t="n">
        <v>228721</v>
      </c>
      <c r="L33" s="31" t="n">
        <v>27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59.2</v>
      </c>
      <c r="P33" s="32" t="n">
        <v>21.1</v>
      </c>
      <c r="Q33" s="32" t="n">
        <v>690.12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2.75</v>
      </c>
      <c r="U33" s="32" t="n">
        <v>6.1</v>
      </c>
      <c r="V33" s="32" t="n">
        <v>3.26</v>
      </c>
      <c r="W33" s="32" t="n">
        <v>6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above 5x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IF(B34=0,"",RANK(B34,$B$2:$B$37,0))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BAJAJFINSV</t>
        </is>
      </c>
      <c r="D34" s="33" t="inlineStr">
        <is>
          <t>Bajaj Finserv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308009.84</v>
      </c>
      <c r="I34" s="32" t="n">
        <v>1909.4</v>
      </c>
      <c r="J34" s="32" t="n">
        <v>-0.78</v>
      </c>
      <c r="K34" s="32" t="n">
        <v>752615</v>
      </c>
      <c r="L34" s="31" t="n">
        <v>9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54.78</v>
      </c>
      <c r="P34" s="32" t="n">
        <v>14.08</v>
      </c>
      <c r="Q34" s="32" t="n">
        <v>1638.34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2.75</v>
      </c>
      <c r="U34" s="32" t="n">
        <v>-0.28</v>
      </c>
      <c r="V34" s="32" t="n">
        <v>-2.94</v>
      </c>
      <c r="W34" s="32" t="n">
        <v>2.13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IF(B35=0,"",RANK(B35,$B$2:$B$37,0))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PNB</t>
        </is>
      </c>
      <c r="D35" s="31" t="inlineStr">
        <is>
          <t>Punjab National Bank Ltd</t>
        </is>
      </c>
      <c r="E35" s="31" t="inlineStr">
        <is>
          <t>bank</t>
        </is>
      </c>
      <c r="F35" s="31" t="inlineStr">
        <is>
          <t>banks - public sector</t>
        </is>
      </c>
      <c r="G35" s="31" t="inlineStr">
        <is>
          <t>largecap</t>
        </is>
      </c>
      <c r="H35" s="32" t="n">
        <v>127663.61</v>
      </c>
      <c r="I35" s="32" t="n">
        <v>111.64</v>
      </c>
      <c r="J35" s="32" t="n">
        <v>0.5</v>
      </c>
      <c r="K35" s="32" t="n">
        <v>10292180</v>
      </c>
      <c r="L35" s="31" t="n">
        <v>16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54.44</v>
      </c>
      <c r="P35" s="32" t="n">
        <v>9.51</v>
      </c>
      <c r="Q35" s="32" t="n">
        <v>94.56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2.75</v>
      </c>
      <c r="U35" s="32" t="n">
        <v>11.35</v>
      </c>
      <c r="V35" s="32" t="n">
        <v>8.359999999999999</v>
      </c>
      <c r="W35" s="32" t="n">
        <v>3.62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1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IF(B36=0,"",RANK(B36,$B$2:$B$37,0))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CAMS</t>
        </is>
      </c>
      <c r="D36" s="31" t="inlineStr">
        <is>
          <t>Computer Age Management Services Ltd</t>
        </is>
      </c>
      <c r="E36" s="31" t="inlineStr">
        <is>
          <t>financials</t>
        </is>
      </c>
      <c r="F36" s="31" t="inlineStr">
        <is>
          <t>miscellaneous</t>
        </is>
      </c>
      <c r="G36" s="31" t="inlineStr">
        <is>
          <t>midcap</t>
        </is>
      </c>
      <c r="H36" s="32" t="n">
        <v>19667.74</v>
      </c>
      <c r="I36" s="32" t="n">
        <v>793.15</v>
      </c>
      <c r="J36" s="32" t="n">
        <v>0.09</v>
      </c>
      <c r="K36" s="32" t="n">
        <v>613918</v>
      </c>
      <c r="L36" s="31" t="n">
        <v>18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55.57</v>
      </c>
      <c r="P36" s="32" t="n">
        <v>15.94</v>
      </c>
      <c r="Q36" s="32" t="n">
        <v>680.0700000000001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2.75</v>
      </c>
      <c r="U36" s="32" t="n">
        <v>10.66</v>
      </c>
      <c r="V36" s="32" t="n">
        <v>7.69</v>
      </c>
      <c r="W36" s="32" t="n">
        <v>4.02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above 5x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IF(B37=0,"",RANK(B37,$B$2:$B$37,0))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SBILIFE</t>
        </is>
      </c>
      <c r="D37" s="31" t="inlineStr">
        <is>
          <t>SBI Life Insurance Company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190104.05</v>
      </c>
      <c r="I37" s="32" t="n">
        <v>1877.5</v>
      </c>
      <c r="J37" s="32" t="n">
        <v>-0.92</v>
      </c>
      <c r="K37" s="32" t="n">
        <v>1513264</v>
      </c>
      <c r="L37" s="31" t="n">
        <v>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51.53</v>
      </c>
      <c r="P37" s="32" t="n">
        <v>10.85</v>
      </c>
      <c r="Q37" s="32" t="n">
        <v>1607.75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2.75</v>
      </c>
      <c r="U37" s="32" t="n">
        <v>4.67</v>
      </c>
      <c r="V37" s="32" t="n">
        <v>1.87</v>
      </c>
      <c r="W37" s="32" t="n">
        <v>1.71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1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</sheetData>
  <autoFilter ref="A1:CA37"/>
  <conditionalFormatting sqref="B2:B3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7">
    <cfRule type="cellIs" priority="34" operator="equal" dxfId="3" stopIfTrue="1">
      <formula>"Underperforming"</formula>
    </cfRule>
  </conditionalFormatting>
  <conditionalFormatting sqref="N2:N37">
    <cfRule type="cellIs" priority="35" operator="equal" dxfId="3" stopIfTrue="1">
      <formula>-5</formula>
    </cfRule>
  </conditionalFormatting>
  <conditionalFormatting sqref="Q2:Q3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7" showDropDown="0" showInputMessage="0" showErrorMessage="0" allowBlank="1" type="list">
      <formula1>"Growing Industry,Stagnant Industry,Cyclical in an Upturn"</formula1>
    </dataValidation>
    <dataValidation sqref="Z2:Z37" showDropDown="0" showInputMessage="0" showErrorMessage="0" allowBlank="1" type="list">
      <formula1>"Fragmented with Low ROE,Fragmented with High ROE,Highly Cyclical"</formula1>
    </dataValidation>
    <dataValidation sqref="AB2:AB37" showDropDown="0" showInputMessage="0" showErrorMessage="0" allowBlank="1" type="list">
      <formula1>"Yes,No"</formula1>
    </dataValidation>
    <dataValidation sqref="AD2:AD37" showDropDown="0" showInputMessage="0" showErrorMessage="0" allowBlank="1" type="list">
      <formula1>"Tailwind,Headwind"</formula1>
    </dataValidation>
    <dataValidation sqref="AF2:AF3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7" showDropDown="0" showInputMessage="0" showErrorMessage="0" allowBlank="1" type="list">
      <formula1>"Yes,No"</formula1>
    </dataValidation>
    <dataValidation sqref="AJ2:AJ37" showDropDown="0" showInputMessage="0" showErrorMessage="0" allowBlank="1" type="list">
      <formula1>"Yes,No,Not Applicable"</formula1>
    </dataValidation>
    <dataValidation sqref="AL2:AL37" showDropDown="0" showInputMessage="0" showErrorMessage="0" allowBlank="1" type="list">
      <formula1>"Yes,No"</formula1>
    </dataValidation>
    <dataValidation sqref="AN2:AN37" showDropDown="0" showInputMessage="0" showErrorMessage="0" allowBlank="1" type="list">
      <formula1>"Yes,No"</formula1>
    </dataValidation>
    <dataValidation sqref="AP2:AP37" showDropDown="0" showInputMessage="0" showErrorMessage="0" allowBlank="1" type="list">
      <formula1>"Yes,No"</formula1>
    </dataValidation>
    <dataValidation sqref="AR2:AR37" showDropDown="0" showInputMessage="0" showErrorMessage="0" allowBlank="1" type="list">
      <formula1>"Yes,No"</formula1>
    </dataValidation>
    <dataValidation sqref="AT2:AT37" showDropDown="0" showInputMessage="0" showErrorMessage="0" allowBlank="1" type="list">
      <formula1>"No,Yes"</formula1>
    </dataValidation>
    <dataValidation sqref="AV2:AV37" showDropDown="0" showInputMessage="0" showErrorMessage="0" allowBlank="1" type="list">
      <formula1>"No,Yes"</formula1>
    </dataValidation>
    <dataValidation sqref="AX2:AX37" showDropDown="0" showInputMessage="0" showErrorMessage="0" allowBlank="1" type="list">
      <formula1>"No,Yes CEO Resignation,Yes CEO Retirement"</formula1>
    </dataValidation>
    <dataValidation sqref="AZ2:AZ37" showDropDown="0" showInputMessage="0" showErrorMessage="0" allowBlank="1" type="list">
      <formula1>"No,Yes"</formula1>
    </dataValidation>
    <dataValidation sqref="BB2:BB37" showDropDown="0" showInputMessage="0" showErrorMessage="0" allowBlank="1" type="list">
      <formula1>"No,Yes"</formula1>
    </dataValidation>
    <dataValidation sqref="BD2:BD37" showDropDown="0" showInputMessage="0" showErrorMessage="0" allowBlank="1" type="list">
      <formula1>"Yes,No"</formula1>
    </dataValidation>
    <dataValidation sqref="BF2:BF37" showDropDown="0" showInputMessage="0" showErrorMessage="0" allowBlank="1" type="list">
      <formula1>"Yes,No"</formula1>
    </dataValidation>
    <dataValidation sqref="BH2:BH37" showDropDown="0" showInputMessage="0" showErrorMessage="0" allowBlank="1" type="list">
      <formula1>"Yes,No"</formula1>
    </dataValidation>
    <dataValidation sqref="BJ2:BJ3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7" showDropDown="0" showInputMessage="0" showErrorMessage="0" allowBlank="1" type="list">
      <formula1>"Above 40,20 to 40,0 to 20"</formula1>
    </dataValidation>
    <dataValidation sqref="BN2:BN37" showDropDown="0" showInputMessage="0" showErrorMessage="0" allowBlank="1" type="list">
      <formula1>"Between 50 to 75,Above 75,Below 45"</formula1>
    </dataValidation>
    <dataValidation sqref="BP2:BP37" showDropDown="0" showInputMessage="0" showErrorMessage="0" allowBlank="1" type="list">
      <formula1>"Stage 1,Stage 2,Stage 3,Stage 4"</formula1>
    </dataValidation>
    <dataValidation sqref="BR2:BR37" showDropDown="0" showInputMessage="0" showErrorMessage="0" allowBlank="1" type="list">
      <formula1>"Positive Trend,Negative Trend"</formula1>
    </dataValidation>
    <dataValidation sqref="BT2:BT37" showDropDown="0" showInputMessage="0" showErrorMessage="0" allowBlank="1" type="list">
      <formula1>"Uptrend,Sideways,Downtrend"</formula1>
    </dataValidation>
    <dataValidation sqref="BV2:BV37" showDropDown="0" showInputMessage="0" showErrorMessage="0" allowBlank="1" type="list">
      <formula1>"Uptrend,Sideways,Downtrend"</formula1>
    </dataValidation>
    <dataValidation sqref="BX2:BX3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126.6</v>
      </c>
      <c r="E2" s="32" t="inlineStr">
        <is>
          <t>5%</t>
        </is>
      </c>
      <c r="F2" s="32" t="n">
        <v>50000</v>
      </c>
      <c r="G2" s="32" t="n">
        <v>165</v>
      </c>
      <c r="H2" s="31" t="inlineStr">
        <is>
          <t>ARTEMISMED</t>
        </is>
      </c>
      <c r="I2" s="31" t="inlineStr">
        <is>
          <t>Artemis Medicare Services Ltd</t>
        </is>
      </c>
      <c r="J2" s="31" t="inlineStr">
        <is>
          <t>healthcare</t>
        </is>
      </c>
      <c r="K2" s="31" t="inlineStr">
        <is>
          <t>healthcare</t>
        </is>
      </c>
      <c r="L2" s="31" t="inlineStr">
        <is>
          <t>smallcap</t>
        </is>
      </c>
      <c r="M2" s="32" t="n">
        <v>4727.02</v>
      </c>
      <c r="N2" s="32" t="n">
        <v>302.15</v>
      </c>
      <c r="O2" s="32" t="n">
        <v>1.19</v>
      </c>
      <c r="P2" s="32" t="n">
        <v>587420</v>
      </c>
      <c r="Q2" s="31" t="n">
        <v>43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67.7</v>
      </c>
      <c r="U2" s="32" t="n">
        <v>21.95</v>
      </c>
      <c r="V2" s="32" t="n">
        <v>244.63</v>
      </c>
      <c r="W2" s="31" t="inlineStr">
        <is>
          <t>Volume Spike &amp; Near 52W High Breakout</t>
        </is>
      </c>
      <c r="X2" s="31" t="inlineStr">
        <is>
          <t>Nifty Pharma</t>
        </is>
      </c>
      <c r="Y2" s="32" t="n">
        <v>19.69</v>
      </c>
      <c r="Z2" s="32" t="n">
        <v>23.57</v>
      </c>
      <c r="AA2" s="32" t="n">
        <v>3.24</v>
      </c>
      <c r="AB2" s="32" t="n">
        <v>9.529999999999999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</sheetData>
  <autoFilter ref="A1:CJ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">
    <cfRule type="cellIs" priority="36" operator="equal" dxfId="3" stopIfTrue="1">
      <formula>"Underperforming"</formula>
    </cfRule>
  </conditionalFormatting>
  <conditionalFormatting sqref="S2">
    <cfRule type="cellIs" priority="37" operator="equal" dxfId="3" stopIfTrue="1">
      <formula>-5</formula>
    </cfRule>
  </conditionalFormatting>
  <conditionalFormatting sqref="V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Growth),Cyclical"</formula1>
    </dataValidation>
    <dataValidation sqref="AM2" showDropDown="0" showInputMessage="0" showErrorMessage="0" allowBlank="1" type="list">
      <formula1>"Yes due to Product Mix change or Operating Leverage,Yes, these are peak margins,No"</formula1>
    </dataValidation>
    <dataValidation sqref="AO2" showDropDown="0" showInputMessage="0" showErrorMessage="0" allowBlank="1" type="list">
      <formula1>"Stable,Volatile"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"B2C,B2B,B2G"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"Fully Annuity,Higher Annuity, Lower One time,Higher One Time, Lower Annuity,Fully One Time"</formula1>
    </dataValidation>
    <dataValidation sqref="AY2" showDropDown="0" showInputMessage="0" showErrorMessage="0" allowBlank="1" type="list">
      <formula1>"Good,Allocated capital in Non-core Areas"</formula1>
    </dataValidation>
    <dataValidation sqref="BA2" showDropDown="0" showInputMessage="0" showErrorMessage="0" allowBlank="1" type="list">
      <formula1>"Yes for more than 2 years,Yes only for next 1 to 2 years,No"</formula1>
    </dataValidation>
    <dataValidation sqref="BC2" showDropDown="0" showInputMessage="0" showErrorMessage="0" allowBlank="1" type="list">
      <formula1>"Above 40,20 to 40,0 to 20"</formula1>
    </dataValidation>
    <dataValidation sqref="BE2" showDropDown="0" showInputMessage="0" showErrorMessage="0" allowBlank="1" type="list">
      <formula1>"Between 50 to 75,Above 75,Below 45"</formula1>
    </dataValidation>
    <dataValidation sqref="BG2" showDropDown="0" showInputMessage="0" showErrorMessage="0" allowBlank="1" type="list">
      <formula1>"Stage 1,Stage 2,Stage 3,Stage 4"</formula1>
    </dataValidation>
    <dataValidation sqref="BI2" showDropDown="0" showInputMessage="0" showErrorMessage="0" allowBlank="1" type="list">
      <formula1>"Positive Trend,Negative Trend"</formula1>
    </dataValidation>
    <dataValidation sqref="BK2" showDropDown="0" showInputMessage="0" showErrorMessage="0" allowBlank="1" type="list">
      <formula1>"Uptrend,Sideways,Downtrend"</formula1>
    </dataValidation>
    <dataValidation sqref="BM2" showDropDown="0" showInputMessage="0" showErrorMessage="0" allowBlank="1" type="list">
      <formula1>"Uptrend,Sideways,Downtrend"</formula1>
    </dataValidation>
    <dataValidation sqref="BO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" showDropDown="0" showInputMessage="0" showErrorMessage="0" allowBlank="1" type="list">
      <formula1>"Yes,No"</formula1>
    </dataValidation>
    <dataValidation sqref="BS2" showDropDown="0" showInputMessage="0" showErrorMessage="0" allowBlank="1" type="list">
      <formula1>"More than 20%,Between 12 to 20%,Less than 12%"</formula1>
    </dataValidation>
    <dataValidation sqref="BU2" showDropDown="0" showInputMessage="0" showErrorMessage="0" allowBlank="1" type="list">
      <formula1>"Yes,No"</formula1>
    </dataValidation>
    <dataValidation sqref="BW2" showDropDown="0" showInputMessage="0" showErrorMessage="0" allowBlank="1" type="list">
      <formula1>"Yes,No"</formula1>
    </dataValidation>
    <dataValidation sqref="BY2" showDropDown="0" showInputMessage="0" showErrorMessage="0" allowBlank="1" type="list">
      <formula1>"Above 2,Between 1.5 to 2,Less than 1.5"</formula1>
    </dataValidation>
    <dataValidation sqref="CA2" showDropDown="0" showInputMessage="0" showErrorMessage="0" allowBlank="1" type="list">
      <formula1>"Above 70%,Between 50% to 70%,Less than 50%,Less than 50% and Borrowings are increasing,Negative"</formula1>
    </dataValidation>
    <dataValidation sqref="CC2" showDropDown="0" showInputMessage="0" showErrorMessage="0" allowBlank="1" type="list">
      <formula1>"More than 1.2,Between 0.7 to 1.2,Less than 0.7"</formula1>
    </dataValidation>
    <dataValidation sqref="CE2" showDropDown="0" showInputMessage="0" showErrorMessage="0" allowBlank="1" type="list">
      <formula1>"Yes,No"</formula1>
    </dataValidation>
    <dataValidation sqref="CG2" showDropDown="0" showInputMessage="0" showErrorMessage="0" allowBlank="1" type="list">
      <formula1>"More than 15%,Less than 15%"</formula1>
    </dataValidation>
    <dataValidation sqref="CI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7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IF(B2=0,"",RANK(B2,$B$2:$B$95,0))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SYRMA</t>
        </is>
      </c>
      <c r="D2" s="34" t="inlineStr">
        <is>
          <t>Syrma SGS Technology Ltd</t>
        </is>
      </c>
      <c r="E2" s="31" t="inlineStr">
        <is>
          <t>Technology</t>
        </is>
      </c>
      <c r="F2" s="31" t="inlineStr">
        <is>
          <t>Consumer Electronics - EMS</t>
        </is>
      </c>
      <c r="G2" s="31" t="inlineStr">
        <is>
          <t>largecap</t>
        </is>
      </c>
      <c r="H2" s="32" t="n">
        <v>22499.46</v>
      </c>
      <c r="I2" s="32" t="n">
        <v>1166.8</v>
      </c>
      <c r="J2" s="32" t="n">
        <v>5.37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66.02</v>
      </c>
      <c r="P2" s="32" t="n">
        <v>57.88</v>
      </c>
      <c r="Q2" s="32" t="n">
        <v>1115.1</v>
      </c>
      <c r="R2" s="31" t="inlineStr">
        <is>
          <t>Volume Spike / Accumulation</t>
        </is>
      </c>
      <c r="S2" s="31" t="inlineStr">
        <is>
          <t>Nifty 50</t>
        </is>
      </c>
      <c r="T2" s="32" t="n">
        <v>-1.01</v>
      </c>
      <c r="U2" s="32" t="n">
        <v>84.48999999999999</v>
      </c>
      <c r="V2" s="32" t="n">
        <v>86.37</v>
      </c>
      <c r="W2" s="32" t="n">
        <v>23.12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IF(B3=0,"",RANK(B3,$B$2:$B$95,0))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services</t>
        </is>
      </c>
      <c r="F3" s="31" t="inlineStr">
        <is>
          <t>Trading</t>
        </is>
      </c>
      <c r="G3" s="31" t="inlineStr">
        <is>
          <t>smallcap</t>
        </is>
      </c>
      <c r="H3" s="32" t="n">
        <v>3652.16</v>
      </c>
      <c r="I3" s="32" t="n">
        <v>554.2</v>
      </c>
      <c r="J3" s="32" t="n">
        <v>-0.24</v>
      </c>
      <c r="K3" s="32" t="n">
        <v>0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79.67</v>
      </c>
      <c r="P3" s="32" t="n">
        <v>75.53</v>
      </c>
      <c r="Q3" s="32" t="n">
        <v>626.15</v>
      </c>
      <c r="R3" s="31" t="inlineStr">
        <is>
          <t>Near 52W High Breakout</t>
        </is>
      </c>
      <c r="S3" s="31" t="inlineStr">
        <is>
          <t>Nifty 50</t>
        </is>
      </c>
      <c r="T3" s="32" t="n">
        <v>-1.01</v>
      </c>
      <c r="U3" s="32" t="n">
        <v>182.99</v>
      </c>
      <c r="V3" s="32" t="n">
        <v>185.88</v>
      </c>
      <c r="W3" s="32" t="n">
        <v>41.17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Less than 50%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23</t>
        </is>
      </c>
      <c r="CG3" s="31">
        <f>IF(CF3&gt;20,10,IF(CF3&gt;=10,5,2))</f>
        <v/>
      </c>
    </row>
    <row r="4">
      <c r="A4" s="31">
        <f>IF(B4=0,"",RANK(B4,$B$2:$B$95,0))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PGHL</t>
        </is>
      </c>
      <c r="D4" s="34" t="inlineStr">
        <is>
          <t>Procter &amp; Gamble Health Ltd</t>
        </is>
      </c>
      <c r="E4" s="31" t="inlineStr">
        <is>
          <t>Healthcare</t>
        </is>
      </c>
      <c r="F4" s="31" t="inlineStr">
        <is>
          <t>Pharma - MNC bulk Drugs</t>
        </is>
      </c>
      <c r="G4" s="31" t="inlineStr">
        <is>
          <t>midcap</t>
        </is>
      </c>
      <c r="H4" s="32" t="n">
        <v>10010.26</v>
      </c>
      <c r="I4" s="32" t="n">
        <v>6030.5</v>
      </c>
      <c r="J4" s="32" t="n">
        <v>-0.54</v>
      </c>
      <c r="K4" s="32" t="n">
        <v>0</v>
      </c>
      <c r="L4" s="31" t="n">
        <v>34</v>
      </c>
      <c r="M4" s="31" t="inlineStr">
        <is>
          <t>Underperforming</t>
        </is>
      </c>
      <c r="N4" s="32">
        <f>IF(M4="Underperforming",-5,IF(L4&gt;=95,15,IF(L4&gt;=90,10,IF(L4&gt;=80,5,0))))</f>
        <v/>
      </c>
      <c r="O4" s="32" t="n">
        <v>67.73</v>
      </c>
      <c r="P4" s="32" t="n">
        <v>65.55</v>
      </c>
      <c r="Q4" s="32" t="n">
        <v>5824.02</v>
      </c>
      <c r="R4" s="31" t="inlineStr">
        <is>
          <t>Near 52W High Breakout</t>
        </is>
      </c>
      <c r="S4" s="31" t="inlineStr">
        <is>
          <t>Nifty Pharma</t>
        </is>
      </c>
      <c r="T4" s="32" t="n">
        <v>19.69</v>
      </c>
      <c r="U4" s="32" t="n">
        <v>8.5</v>
      </c>
      <c r="V4" s="32" t="n">
        <v>-9.35</v>
      </c>
      <c r="W4" s="32" t="n">
        <v>7.3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19</t>
        </is>
      </c>
      <c r="CG4" s="31">
        <f>IF(CF4&gt;20,10,IF(CF4&gt;=10,5,2))</f>
        <v/>
      </c>
    </row>
    <row r="5">
      <c r="A5" s="31">
        <f>IF(B5=0,"",RANK(B5,$B$2:$B$95,0))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UNIPARTS</t>
        </is>
      </c>
      <c r="D5" s="34" t="inlineStr">
        <is>
          <t>Uniparts India Ltd</t>
        </is>
      </c>
      <c r="E5" s="31" t="inlineStr">
        <is>
          <t>industrials</t>
        </is>
      </c>
      <c r="F5" s="31" t="inlineStr">
        <is>
          <t>Castings, Forgings &amp; Fastners</t>
        </is>
      </c>
      <c r="G5" s="31" t="inlineStr">
        <is>
          <t>smallcap</t>
        </is>
      </c>
      <c r="H5" s="32" t="n">
        <v>2704.98</v>
      </c>
      <c r="I5" s="32" t="n">
        <v>599.2</v>
      </c>
      <c r="J5" s="32" t="n">
        <v>1.06</v>
      </c>
      <c r="K5" s="32" t="n">
        <v>0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73.83</v>
      </c>
      <c r="P5" s="32" t="n">
        <v>57.26</v>
      </c>
      <c r="Q5" s="32" t="n">
        <v>586</v>
      </c>
      <c r="R5" s="31" t="inlineStr">
        <is>
          <t>Near 52W High Breakout</t>
        </is>
      </c>
      <c r="S5" s="31" t="inlineStr">
        <is>
          <t>Nifty 50</t>
        </is>
      </c>
      <c r="T5" s="32" t="n">
        <v>-1.01</v>
      </c>
      <c r="U5" s="32" t="n">
        <v>128.7</v>
      </c>
      <c r="V5" s="32" t="n">
        <v>131.04</v>
      </c>
      <c r="W5" s="32" t="n">
        <v>28.1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26</t>
        </is>
      </c>
      <c r="CG5" s="31">
        <f>IF(CF5&gt;20,10,IF(CF5&gt;=10,5,2))</f>
        <v/>
      </c>
    </row>
    <row r="6">
      <c r="A6" s="31">
        <f>IF(B6=0,"",RANK(B6,$B$2:$B$95,0))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RRKABEL</t>
        </is>
      </c>
      <c r="D6" s="31" t="inlineStr">
        <is>
          <t>R R Kabel Ltd</t>
        </is>
      </c>
      <c r="E6" s="31" t="inlineStr">
        <is>
          <t>industrials</t>
        </is>
      </c>
      <c r="F6" s="31" t="inlineStr">
        <is>
          <t>Cables - Power</t>
        </is>
      </c>
      <c r="G6" s="31" t="inlineStr">
        <is>
          <t>largecap</t>
        </is>
      </c>
      <c r="H6" s="32" t="n">
        <v>22890.29</v>
      </c>
      <c r="I6" s="32" t="n">
        <v>2023.8</v>
      </c>
      <c r="J6" s="32" t="n">
        <v>-0.2</v>
      </c>
      <c r="K6" s="32" t="n">
        <v>0</v>
      </c>
      <c r="L6" s="31" t="n">
        <v>91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73.52</v>
      </c>
      <c r="P6" s="32" t="n">
        <v>64.17</v>
      </c>
      <c r="Q6" s="32" t="n">
        <v>1993.34</v>
      </c>
      <c r="R6" s="31" t="inlineStr">
        <is>
          <t>Volume Spike &amp; Near 52W High Breakout</t>
        </is>
      </c>
      <c r="S6" s="31" t="inlineStr">
        <is>
          <t>Nifty Energy</t>
        </is>
      </c>
      <c r="T6" s="32" t="n">
        <v>8.69</v>
      </c>
      <c r="U6" s="32" t="n">
        <v>84.5</v>
      </c>
      <c r="V6" s="32" t="n">
        <v>69.75</v>
      </c>
      <c r="W6" s="32" t="n">
        <v>32.18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24</t>
        </is>
      </c>
      <c r="CG6" s="31">
        <f>IF(CF6&gt;20,10,IF(CF6&gt;=10,5,2))</f>
        <v/>
      </c>
    </row>
    <row r="7">
      <c r="A7" s="31">
        <f>IF(B7=0,"",RANK(B7,$B$2:$B$95,0))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GLAND</t>
        </is>
      </c>
      <c r="D7" s="34" t="inlineStr">
        <is>
          <t>Gland Pharma Ltd</t>
        </is>
      </c>
      <c r="E7" s="31" t="inlineStr">
        <is>
          <t>healthcare</t>
        </is>
      </c>
      <c r="F7" s="31" t="inlineStr">
        <is>
          <t>Pharma - API &amp; CRAMS</t>
        </is>
      </c>
      <c r="G7" s="31" t="inlineStr">
        <is>
          <t>largecap</t>
        </is>
      </c>
      <c r="H7" s="32" t="n">
        <v>37515.04</v>
      </c>
      <c r="I7" s="32" t="n">
        <v>2277</v>
      </c>
      <c r="J7" s="32" t="n">
        <v>-0.67</v>
      </c>
      <c r="K7" s="32" t="n">
        <v>0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69.95</v>
      </c>
      <c r="P7" s="32" t="n">
        <v>53.65</v>
      </c>
      <c r="Q7" s="32" t="n">
        <v>2031.84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19.69</v>
      </c>
      <c r="U7" s="32" t="n">
        <v>28.4</v>
      </c>
      <c r="V7" s="32" t="n">
        <v>7.28</v>
      </c>
      <c r="W7" s="32" t="n">
        <v>15.29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23</t>
        </is>
      </c>
      <c r="CG7" s="31">
        <f>IF(CF7&gt;20,10,IF(CF7&gt;=10,5,2))</f>
        <v/>
      </c>
    </row>
    <row r="8">
      <c r="A8" s="31">
        <f>IF(B8=0,"",RANK(B8,$B$2:$B$95,0))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CUPID</t>
        </is>
      </c>
      <c r="D8" s="31" t="inlineStr">
        <is>
          <t>Cupid Ltd</t>
        </is>
      </c>
      <c r="E8" s="31" t="inlineStr">
        <is>
          <t>fmcg</t>
        </is>
      </c>
      <c r="F8" s="31" t="inlineStr">
        <is>
          <t>Contraceptives/Protectives</t>
        </is>
      </c>
      <c r="G8" s="31" t="inlineStr">
        <is>
          <t>midcap</t>
        </is>
      </c>
      <c r="H8" s="32" t="n">
        <v>17258.72</v>
      </c>
      <c r="I8" s="32" t="n">
        <v>128.35</v>
      </c>
      <c r="J8" s="32" t="n">
        <v>-0.57</v>
      </c>
      <c r="K8" s="32" t="n">
        <v>0</v>
      </c>
      <c r="L8" s="31" t="n">
        <v>99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89.41</v>
      </c>
      <c r="P8" s="32" t="n">
        <v>67.45999999999999</v>
      </c>
      <c r="Q8" s="32" t="n">
        <v>180.54</v>
      </c>
      <c r="R8" s="31" t="inlineStr">
        <is>
          <t>Near 52W High Breakout</t>
        </is>
      </c>
      <c r="S8" s="31" t="inlineStr">
        <is>
          <t>Nifty FMCG</t>
        </is>
      </c>
      <c r="T8" s="32" t="n">
        <v>-9.050000000000001</v>
      </c>
      <c r="U8" s="32" t="n">
        <v>673.92</v>
      </c>
      <c r="V8" s="32" t="n">
        <v>750.9</v>
      </c>
      <c r="W8" s="32" t="n">
        <v>75.03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Less than 50%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IF(B9=0,"",RANK(B9,$B$2:$B$95,0))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SIGMAADV</t>
        </is>
      </c>
      <c r="D9" s="34" t="inlineStr">
        <is>
          <t>Sigma Advanced System Ltd</t>
        </is>
      </c>
      <c r="E9" s="31" t="inlineStr">
        <is>
          <t>aerospace &amp; defence</t>
        </is>
      </c>
      <c r="F9" s="31" t="inlineStr">
        <is>
          <t>Aerospace &amp; Defence - Equipments</t>
        </is>
      </c>
      <c r="G9" s="31" t="inlineStr">
        <is>
          <t>midcap</t>
        </is>
      </c>
      <c r="H9" s="32" t="n">
        <v>7333.33</v>
      </c>
      <c r="I9" s="32" t="n">
        <v>416.1</v>
      </c>
      <c r="J9" s="32" t="n">
        <v>-2.42</v>
      </c>
      <c r="K9" s="32" t="n">
        <v>0</v>
      </c>
      <c r="L9" s="31" t="n">
        <v>99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73.59999999999999</v>
      </c>
      <c r="P9" s="32" t="n">
        <v>66.70999999999999</v>
      </c>
      <c r="Q9" s="32" t="n">
        <v>441.03</v>
      </c>
      <c r="R9" s="31" t="inlineStr">
        <is>
          <t>Near 52W High Breakout</t>
        </is>
      </c>
      <c r="S9" s="31" t="inlineStr">
        <is>
          <t>Nifty 50</t>
        </is>
      </c>
      <c r="T9" s="32" t="n">
        <v>-1.01</v>
      </c>
      <c r="U9" s="32" t="n">
        <v>417.13</v>
      </c>
      <c r="V9" s="32" t="n">
        <v>422.4</v>
      </c>
      <c r="W9" s="32" t="n">
        <v>69.87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Negative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30</t>
        </is>
      </c>
      <c r="CG9" s="31">
        <f>IF(CF9&gt;20,10,IF(CF9&gt;=10,5,2))</f>
        <v/>
      </c>
    </row>
    <row r="10">
      <c r="A10" s="31">
        <f>IF(B10=0,"",RANK(B10,$B$2:$B$95,0))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RAIN</t>
        </is>
      </c>
      <c r="D10" s="31" t="inlineStr">
        <is>
          <t>Rain Industries Ltd</t>
        </is>
      </c>
      <c r="E10" s="31" t="inlineStr">
        <is>
          <t>miscellaneous</t>
        </is>
      </c>
      <c r="F10" s="31" t="inlineStr">
        <is>
          <t>Cement</t>
        </is>
      </c>
      <c r="G10" s="31" t="inlineStr">
        <is>
          <t>midcap</t>
        </is>
      </c>
      <c r="H10" s="32" t="n">
        <v>6656.28</v>
      </c>
      <c r="I10" s="32" t="n">
        <v>197.9</v>
      </c>
      <c r="J10" s="32" t="n">
        <v>3.78</v>
      </c>
      <c r="K10" s="32" t="n">
        <v>0</v>
      </c>
      <c r="L10" s="31" t="n">
        <v>85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73.38</v>
      </c>
      <c r="P10" s="32" t="n">
        <v>43.92</v>
      </c>
      <c r="Q10" s="32" t="n">
        <v>173.6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-1.01</v>
      </c>
      <c r="U10" s="32" t="n">
        <v>46.01</v>
      </c>
      <c r="V10" s="32" t="n">
        <v>47.5</v>
      </c>
      <c r="W10" s="32" t="n">
        <v>27.37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More than 1.2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25</t>
        </is>
      </c>
      <c r="CG10" s="31">
        <f>IF(CF10&gt;20,10,IF(CF10&gt;=10,5,2))</f>
        <v/>
      </c>
    </row>
    <row r="11">
      <c r="A11" s="31">
        <f>IF(B11=0,"",RANK(B11,$B$2:$B$95,0))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TIMEX</t>
        </is>
      </c>
      <c r="D11" s="31" t="inlineStr">
        <is>
          <t>Timex Group India Ltd</t>
        </is>
      </c>
      <c r="E11" s="31" t="inlineStr">
        <is>
          <t>Consumer Cyclical</t>
        </is>
      </c>
      <c r="F11" s="31" t="inlineStr">
        <is>
          <t>Watches</t>
        </is>
      </c>
      <c r="G11" s="31" t="inlineStr">
        <is>
          <t>smallcap</t>
        </is>
      </c>
      <c r="H11" s="32" t="n">
        <v>4395.36</v>
      </c>
      <c r="I11" s="32" t="n">
        <v>435.4</v>
      </c>
      <c r="J11" s="32" t="n">
        <v>-3.24</v>
      </c>
      <c r="K11" s="32" t="n">
        <v>0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64.89</v>
      </c>
      <c r="P11" s="32" t="n">
        <v>48.41</v>
      </c>
      <c r="Q11" s="32" t="n">
        <v>429.63</v>
      </c>
      <c r="R11" s="31" t="inlineStr">
        <is>
          <t>Earnings / Momentum Support</t>
        </is>
      </c>
      <c r="S11" s="31" t="inlineStr">
        <is>
          <t>Nifty 50</t>
        </is>
      </c>
      <c r="T11" s="32" t="n">
        <v>-1.01</v>
      </c>
      <c r="U11" s="32" t="n">
        <v>116.63</v>
      </c>
      <c r="V11" s="32" t="n">
        <v>118.84</v>
      </c>
      <c r="W11" s="32" t="n">
        <v>32.2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24</t>
        </is>
      </c>
      <c r="CG11" s="31">
        <f>IF(CF11&gt;20,10,IF(CF11&gt;=10,5,2))</f>
        <v/>
      </c>
    </row>
    <row r="12">
      <c r="A12" s="31">
        <f>IF(B12=0,"",RANK(B12,$B$2:$B$95,0))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MOTHERSON</t>
        </is>
      </c>
      <c r="D12" s="34" t="inlineStr">
        <is>
          <t>Samvardhana Motherson International Ltd</t>
        </is>
      </c>
      <c r="E12" s="31" t="inlineStr">
        <is>
          <t>auto</t>
        </is>
      </c>
      <c r="F12" s="31" t="inlineStr">
        <is>
          <t>Auto Ancillaries - Diversified</t>
        </is>
      </c>
      <c r="G12" s="31" t="inlineStr">
        <is>
          <t>largecap</t>
        </is>
      </c>
      <c r="H12" s="32" t="n">
        <v>152923.32</v>
      </c>
      <c r="I12" s="32" t="n">
        <v>144.89</v>
      </c>
      <c r="J12" s="32" t="n">
        <v>2.2</v>
      </c>
      <c r="K12" s="32" t="n">
        <v>0</v>
      </c>
      <c r="L12" s="31" t="n">
        <v>51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63.65</v>
      </c>
      <c r="P12" s="32" t="n">
        <v>32.27</v>
      </c>
      <c r="Q12" s="32" t="n">
        <v>124.18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18.91</v>
      </c>
      <c r="U12" s="32" t="n">
        <v>46.93</v>
      </c>
      <c r="V12" s="32" t="n">
        <v>23.56</v>
      </c>
      <c r="W12" s="32" t="n">
        <v>11.62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IF(B13=0,"",RANK(B13,$B$2:$B$95,0))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IOLCP</t>
        </is>
      </c>
      <c r="D13" s="34" t="inlineStr">
        <is>
          <t>IOL Chemicals &amp; Pharmaceuticals Ltd</t>
        </is>
      </c>
      <c r="E13" s="31" t="inlineStr">
        <is>
          <t>Healthcare</t>
        </is>
      </c>
      <c r="F13" s="31" t="inlineStr">
        <is>
          <t>Pharma - API &amp; CRAMS</t>
        </is>
      </c>
      <c r="G13" s="31" t="inlineStr">
        <is>
          <t>smallcap</t>
        </is>
      </c>
      <c r="H13" s="32" t="n">
        <v>3857.54</v>
      </c>
      <c r="I13" s="32" t="n">
        <v>131.42</v>
      </c>
      <c r="J13" s="32" t="n">
        <v>4.41</v>
      </c>
      <c r="K13" s="32" t="n">
        <v>0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65.36</v>
      </c>
      <c r="P13" s="32" t="n">
        <v>70.03</v>
      </c>
      <c r="Q13" s="32" t="n">
        <v>127.29</v>
      </c>
      <c r="R13" s="31" t="inlineStr">
        <is>
          <t>Earnings / Momentum Support</t>
        </is>
      </c>
      <c r="S13" s="31" t="inlineStr">
        <is>
          <t>Nifty Pharma</t>
        </is>
      </c>
      <c r="T13" s="32" t="n">
        <v>19.69</v>
      </c>
      <c r="U13" s="32" t="n">
        <v>46.36</v>
      </c>
      <c r="V13" s="32" t="n">
        <v>22.28</v>
      </c>
      <c r="W13" s="32" t="n">
        <v>21.75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INDNIPPON</t>
        </is>
      </c>
      <c r="D14" s="31" t="inlineStr">
        <is>
          <t>India Nippon Electricals Ltd</t>
        </is>
      </c>
      <c r="E14" s="31" t="inlineStr">
        <is>
          <t>auto</t>
        </is>
      </c>
      <c r="F14" s="31" t="inlineStr">
        <is>
          <t>Auto Ancillaries - Engine Parts</t>
        </is>
      </c>
      <c r="G14" s="31" t="inlineStr">
        <is>
          <t>smallcap</t>
        </is>
      </c>
      <c r="H14" s="32" t="n">
        <v>2026.2</v>
      </c>
      <c r="I14" s="32" t="n">
        <v>895.7</v>
      </c>
      <c r="J14" s="32" t="n">
        <v>0.41</v>
      </c>
      <c r="K14" s="32" t="n">
        <v>0</v>
      </c>
      <c r="L14" s="31" t="n">
        <v>78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71.04000000000001</v>
      </c>
      <c r="P14" s="32" t="n">
        <v>35.25</v>
      </c>
      <c r="Q14" s="32" t="n">
        <v>968.4</v>
      </c>
      <c r="R14" s="31" t="inlineStr">
        <is>
          <t>Near 52W High Breakout</t>
        </is>
      </c>
      <c r="S14" s="31" t="inlineStr">
        <is>
          <t>Nifty Auto</t>
        </is>
      </c>
      <c r="T14" s="32" t="n">
        <v>18.91</v>
      </c>
      <c r="U14" s="32" t="n">
        <v>52.72</v>
      </c>
      <c r="V14" s="32" t="n">
        <v>28.43</v>
      </c>
      <c r="W14" s="32" t="n">
        <v>21.97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23</t>
        </is>
      </c>
      <c r="CG14" s="31">
        <f>IF(CF14&gt;20,10,IF(CF14&gt;=10,5,2))</f>
        <v/>
      </c>
    </row>
    <row r="15">
      <c r="A15" s="31">
        <f>IF(B15=0,"",RANK(B15,$B$2:$B$95,0))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GVPIL</t>
        </is>
      </c>
      <c r="D15" s="34" t="inlineStr">
        <is>
          <t>GE Power India Ltd</t>
        </is>
      </c>
      <c r="E15" s="31" t="inlineStr">
        <is>
          <t>Industrials</t>
        </is>
      </c>
      <c r="F15" s="31" t="inlineStr">
        <is>
          <t>Infra - General</t>
        </is>
      </c>
      <c r="G15" s="31" t="inlineStr">
        <is>
          <t>midcap</t>
        </is>
      </c>
      <c r="H15" s="32" t="n">
        <v>5774.5</v>
      </c>
      <c r="I15" s="32" t="n">
        <v>858.95</v>
      </c>
      <c r="J15" s="32" t="n">
        <v>4.51</v>
      </c>
      <c r="K15" s="32" t="n">
        <v>0</v>
      </c>
      <c r="L15" s="31" t="n">
        <v>92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55.29</v>
      </c>
      <c r="P15" s="32" t="n">
        <v>62.71</v>
      </c>
      <c r="Q15" s="32" t="n">
        <v>791.45</v>
      </c>
      <c r="R15" s="31" t="inlineStr">
        <is>
          <t>Earnings / Momentum Support</t>
        </is>
      </c>
      <c r="S15" s="31" t="inlineStr">
        <is>
          <t>Nifty Infra</t>
        </is>
      </c>
      <c r="T15" s="32" t="n">
        <v>3.07</v>
      </c>
      <c r="U15" s="32" t="n">
        <v>159.89</v>
      </c>
      <c r="V15" s="32" t="n">
        <v>152.14</v>
      </c>
      <c r="W15" s="32" t="n">
        <v>33.37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Duopoly That Cooperate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Shallow Cyclical (2 to 3 Years Growth)</t>
        </is>
      </c>
      <c r="AG15" s="31">
        <f>IF(AF15="Structural (10 Years Consistency)",10,IF(AF15="Shallow Cyclical (2 to 3 years growth)",5,0))</f>
        <v/>
      </c>
      <c r="AH15" s="31" t="inlineStr">
        <is>
          <t>Yes due to Product Mix change or Operating Leverage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Fully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only for next 1 to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Between 0.7 to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22</t>
        </is>
      </c>
      <c r="CG15" s="31">
        <f>IF(CF15&gt;20,10,IF(CF15&gt;=10,5,2))</f>
        <v/>
      </c>
    </row>
    <row r="16">
      <c r="A16" s="31">
        <f>IF(B16=0,"",RANK(B16,$B$2:$B$95,0))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NGLFINE</t>
        </is>
      </c>
      <c r="D16" s="34" t="inlineStr">
        <is>
          <t>NGL Fine Chem Ltd</t>
        </is>
      </c>
      <c r="E16" s="31" t="inlineStr">
        <is>
          <t>healthcare</t>
        </is>
      </c>
      <c r="F16" s="31" t="inlineStr">
        <is>
          <t>Pharma - Animal</t>
        </is>
      </c>
      <c r="G16" s="31" t="inlineStr">
        <is>
          <t>smallcap</t>
        </is>
      </c>
      <c r="H16" s="32" t="n">
        <v>1639.96</v>
      </c>
      <c r="I16" s="32" t="n">
        <v>2654.5</v>
      </c>
      <c r="J16" s="32" t="n">
        <v>-3.12</v>
      </c>
      <c r="K16" s="32" t="n">
        <v>0</v>
      </c>
      <c r="L16" s="31" t="n">
        <v>90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77.77</v>
      </c>
      <c r="P16" s="32" t="n">
        <v>67.7</v>
      </c>
      <c r="Q16" s="32" t="n">
        <v>2317.7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19.69</v>
      </c>
      <c r="U16" s="32" t="n">
        <v>150.17</v>
      </c>
      <c r="V16" s="32" t="n">
        <v>109.01</v>
      </c>
      <c r="W16" s="32" t="n">
        <v>30.81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IF(B17=0,"",RANK(B17,$B$2:$B$95,0))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HESTERBIO</t>
        </is>
      </c>
      <c r="D17" s="34" t="inlineStr">
        <is>
          <t>Hester Biosciences Ltd</t>
        </is>
      </c>
      <c r="E17" s="31" t="inlineStr">
        <is>
          <t>healthcare</t>
        </is>
      </c>
      <c r="F17" s="31" t="inlineStr">
        <is>
          <t>Pharma - Animal</t>
        </is>
      </c>
      <c r="G17" s="31" t="inlineStr">
        <is>
          <t>smallcap</t>
        </is>
      </c>
      <c r="H17" s="32" t="n">
        <v>1714.47</v>
      </c>
      <c r="I17" s="32" t="n">
        <v>2015.4</v>
      </c>
      <c r="J17" s="32" t="n">
        <v>-0.08</v>
      </c>
      <c r="K17" s="32" t="n">
        <v>0</v>
      </c>
      <c r="L17" s="31" t="n">
        <v>64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73.63</v>
      </c>
      <c r="P17" s="32" t="n">
        <v>52.74</v>
      </c>
      <c r="Q17" s="32" t="n">
        <v>1853.18</v>
      </c>
      <c r="R17" s="31" t="inlineStr">
        <is>
          <t>Volume Spike &amp; Near 52W High Breakout</t>
        </is>
      </c>
      <c r="S17" s="31" t="inlineStr">
        <is>
          <t>Nifty Pharma</t>
        </is>
      </c>
      <c r="T17" s="32" t="n">
        <v>19.69</v>
      </c>
      <c r="U17" s="32" t="n">
        <v>13.85</v>
      </c>
      <c r="V17" s="32" t="n">
        <v>-4.88</v>
      </c>
      <c r="W17" s="32" t="n">
        <v>16.07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IF(B18=0,"",RANK(B18,$B$2:$B$95,0))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MINDACORP</t>
        </is>
      </c>
      <c r="D18" s="34" t="inlineStr">
        <is>
          <t>Minda Corporation Ltd</t>
        </is>
      </c>
      <c r="E18" s="31" t="inlineStr">
        <is>
          <t>auto</t>
        </is>
      </c>
      <c r="F18" s="31" t="inlineStr">
        <is>
          <t>Auto Ancillaries - Diversified</t>
        </is>
      </c>
      <c r="G18" s="31" t="inlineStr">
        <is>
          <t>midcap</t>
        </is>
      </c>
      <c r="H18" s="32" t="n">
        <v>15058.42</v>
      </c>
      <c r="I18" s="32" t="n">
        <v>629.85</v>
      </c>
      <c r="J18" s="32" t="n">
        <v>1.79</v>
      </c>
      <c r="K18" s="32" t="n">
        <v>0</v>
      </c>
      <c r="L18" s="31" t="n">
        <v>60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68.86</v>
      </c>
      <c r="P18" s="32" t="n">
        <v>30.04</v>
      </c>
      <c r="Q18" s="32" t="n">
        <v>581.48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18.91</v>
      </c>
      <c r="U18" s="32" t="n">
        <v>38.74</v>
      </c>
      <c r="V18" s="32" t="n">
        <v>16.68</v>
      </c>
      <c r="W18" s="32" t="n">
        <v>14.42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27</t>
        </is>
      </c>
      <c r="CG18" s="31">
        <f>IF(CF18&gt;20,10,IF(CF18&gt;=10,5,2))</f>
        <v/>
      </c>
    </row>
    <row r="19">
      <c r="A19" s="31">
        <f>IF(B19=0,"",RANK(B19,$B$2:$B$95,0))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VADILALIND</t>
        </is>
      </c>
      <c r="D19" s="31" t="inlineStr">
        <is>
          <t>Vadilal Industries Ltd</t>
        </is>
      </c>
      <c r="E19" s="31" t="inlineStr">
        <is>
          <t>fmcg</t>
        </is>
      </c>
      <c r="F19" s="31" t="inlineStr">
        <is>
          <t>FMCG - Dairy Products</t>
        </is>
      </c>
      <c r="G19" s="31" t="inlineStr">
        <is>
          <t>smallcap</t>
        </is>
      </c>
      <c r="H19" s="32" t="n">
        <v>3870.57</v>
      </c>
      <c r="I19" s="32" t="n">
        <v>5384.9</v>
      </c>
      <c r="J19" s="32" t="n">
        <v>2.39</v>
      </c>
      <c r="K19" s="32" t="n">
        <v>0</v>
      </c>
      <c r="L19" s="31" t="n">
        <v>78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77</v>
      </c>
      <c r="P19" s="32" t="n">
        <v>33.18</v>
      </c>
      <c r="Q19" s="32" t="n">
        <v>5839.32</v>
      </c>
      <c r="R19" s="31" t="inlineStr">
        <is>
          <t>Near 52W High Breakout</t>
        </is>
      </c>
      <c r="S19" s="31" t="inlineStr">
        <is>
          <t>Nifty FMCG</t>
        </is>
      </c>
      <c r="T19" s="32" t="n">
        <v>-9.050000000000001</v>
      </c>
      <c r="U19" s="32" t="n">
        <v>32.78</v>
      </c>
      <c r="V19" s="32" t="n">
        <v>45.99</v>
      </c>
      <c r="W19" s="32" t="n">
        <v>22.2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20</t>
        </is>
      </c>
      <c r="CG19" s="31">
        <f>IF(CF19&gt;20,10,IF(CF19&gt;=10,5,2))</f>
        <v/>
      </c>
    </row>
    <row r="20">
      <c r="A20" s="31">
        <f>IF(B20=0,"",RANK(B20,$B$2:$B$95,0))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NITTAGELA</t>
        </is>
      </c>
      <c r="D20" s="34" t="inlineStr">
        <is>
          <t>Nitta Gelatin India Ltd</t>
        </is>
      </c>
      <c r="E20" s="31" t="inlineStr">
        <is>
          <t>Basic Materials</t>
        </is>
      </c>
      <c r="F20" s="31" t="inlineStr">
        <is>
          <t>Chemicals - Organic</t>
        </is>
      </c>
      <c r="G20" s="31" t="inlineStr">
        <is>
          <t>smallcap</t>
        </is>
      </c>
      <c r="H20" s="32" t="n">
        <v>1489.71</v>
      </c>
      <c r="I20" s="32" t="n">
        <v>1640.8</v>
      </c>
      <c r="J20" s="32" t="n">
        <v>-0.63</v>
      </c>
      <c r="K20" s="32" t="n">
        <v>0</v>
      </c>
      <c r="L20" s="31" t="n">
        <v>94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67.76000000000001</v>
      </c>
      <c r="P20" s="32" t="n">
        <v>61.76</v>
      </c>
      <c r="Q20" s="32" t="n">
        <v>1525.63</v>
      </c>
      <c r="R20" s="31" t="inlineStr">
        <is>
          <t>Earnings / Momentum Support</t>
        </is>
      </c>
      <c r="S20" s="31" t="inlineStr">
        <is>
          <t>Nifty IT</t>
        </is>
      </c>
      <c r="T20" s="32" t="n">
        <v>-9.970000000000001</v>
      </c>
      <c r="U20" s="32" t="n">
        <v>94.95999999999999</v>
      </c>
      <c r="V20" s="32" t="n">
        <v>116.55</v>
      </c>
      <c r="W20" s="32" t="n">
        <v>35.97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Cyclical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Volatile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24</t>
        </is>
      </c>
      <c r="CG20" s="31">
        <f>IF(CF20&gt;20,10,IF(CF20&gt;=10,5,2))</f>
        <v/>
      </c>
    </row>
    <row r="21">
      <c r="A21" s="31">
        <f>IF(B21=0,"",RANK(B21,$B$2:$B$95,0))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KRISHANA</t>
        </is>
      </c>
      <c r="D21" s="31" t="inlineStr">
        <is>
          <t>Krishana Phoschem Ltd</t>
        </is>
      </c>
      <c r="E21" s="31" t="inlineStr">
        <is>
          <t>chemicals</t>
        </is>
      </c>
      <c r="F21" s="31" t="inlineStr">
        <is>
          <t>Fertilisers</t>
        </is>
      </c>
      <c r="G21" s="31" t="inlineStr">
        <is>
          <t>smallcap</t>
        </is>
      </c>
      <c r="H21" s="32" t="n">
        <v>4156.63</v>
      </c>
      <c r="I21" s="32" t="n">
        <v>686.45</v>
      </c>
      <c r="J21" s="32" t="n">
        <v>0.99</v>
      </c>
      <c r="K21" s="32" t="n">
        <v>0</v>
      </c>
      <c r="L21" s="31" t="n">
        <v>79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77.68000000000001</v>
      </c>
      <c r="P21" s="32" t="n">
        <v>44.93</v>
      </c>
      <c r="Q21" s="32" t="n">
        <v>138.39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-1.01</v>
      </c>
      <c r="U21" s="32" t="n">
        <v>67.8</v>
      </c>
      <c r="V21" s="32" t="n">
        <v>69.51000000000001</v>
      </c>
      <c r="W21" s="32" t="n">
        <v>23.04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More than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24</t>
        </is>
      </c>
      <c r="CG21" s="31">
        <f>IF(CF21&gt;20,10,IF(CF21&gt;=10,5,2))</f>
        <v/>
      </c>
    </row>
    <row r="22">
      <c r="A22" s="31">
        <f>IF(B22=0,"",RANK(B22,$B$2:$B$95,0))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YASHO</t>
        </is>
      </c>
      <c r="D22" s="34" t="inlineStr">
        <is>
          <t>Yasho Industries Ltd</t>
        </is>
      </c>
      <c r="E22" s="31" t="inlineStr">
        <is>
          <t>chemicals</t>
        </is>
      </c>
      <c r="F22" s="31" t="inlineStr">
        <is>
          <t>Speciality Chemicals</t>
        </is>
      </c>
      <c r="G22" s="31" t="inlineStr">
        <is>
          <t>smallcap</t>
        </is>
      </c>
      <c r="H22" s="32" t="n">
        <v>2613.98</v>
      </c>
      <c r="I22" s="32" t="n">
        <v>2168</v>
      </c>
      <c r="J22" s="32" t="n">
        <v>-1.01</v>
      </c>
      <c r="K22" s="32" t="n">
        <v>0</v>
      </c>
      <c r="L22" s="31" t="n">
        <v>97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85.65000000000001</v>
      </c>
      <c r="P22" s="32" t="n">
        <v>54.37</v>
      </c>
      <c r="Q22" s="32" t="n">
        <v>2421.97</v>
      </c>
      <c r="R22" s="31" t="inlineStr">
        <is>
          <t>Near 52W High Breakout</t>
        </is>
      </c>
      <c r="S22" s="31" t="inlineStr">
        <is>
          <t>Nifty 50</t>
        </is>
      </c>
      <c r="T22" s="32" t="n">
        <v>-1.01</v>
      </c>
      <c r="U22" s="32" t="n">
        <v>75.52</v>
      </c>
      <c r="V22" s="32" t="n">
        <v>77.31999999999999</v>
      </c>
      <c r="W22" s="32" t="n">
        <v>43.31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More than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IF(B23=0,"",RANK(B23,$B$2:$B$95,0))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SUNRAKSHAK</t>
        </is>
      </c>
      <c r="D23" s="31" t="inlineStr">
        <is>
          <t>Sunrakshakk Industries India Ltd</t>
        </is>
      </c>
      <c r="E23" s="31" t="inlineStr">
        <is>
          <t>Consumer Cyclical</t>
        </is>
      </c>
      <c r="F23" s="31" t="inlineStr">
        <is>
          <t>Textiles - Processing/Texturising</t>
        </is>
      </c>
      <c r="G23" s="31" t="inlineStr">
        <is>
          <t>smallcap</t>
        </is>
      </c>
      <c r="H23" s="32" t="n">
        <v>1065.7</v>
      </c>
      <c r="I23" s="32" t="n">
        <v>343.7</v>
      </c>
      <c r="J23" s="32" t="n">
        <v>-1.91</v>
      </c>
      <c r="K23" s="32" t="n">
        <v>0</v>
      </c>
      <c r="L23" s="31" t="n">
        <v>45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60.65</v>
      </c>
      <c r="P23" s="32" t="n">
        <v>47.76</v>
      </c>
      <c r="Q23" s="32" t="n">
        <v>287.41</v>
      </c>
      <c r="R23" s="31" t="inlineStr">
        <is>
          <t>Earnings / Momentum Support</t>
        </is>
      </c>
      <c r="S23" s="31" t="inlineStr">
        <is>
          <t>Nifty 50</t>
        </is>
      </c>
      <c r="T23" s="32" t="n">
        <v>-1.01</v>
      </c>
      <c r="U23" s="32" t="n">
        <v>46.72</v>
      </c>
      <c r="V23" s="32" t="n">
        <v>48.22</v>
      </c>
      <c r="W23" s="32" t="n">
        <v>9.800000000000001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Negative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IF(B24=0,"",RANK(B24,$B$2:$B$95,0))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POWERINDIA</t>
        </is>
      </c>
      <c r="D24" s="34" t="inlineStr">
        <is>
          <t>Hitachi Energy India Ltd</t>
        </is>
      </c>
      <c r="E24" s="31" t="inlineStr">
        <is>
          <t>Industrials</t>
        </is>
      </c>
      <c r="F24" s="31" t="inlineStr">
        <is>
          <t>Electrical Equipments/HVDC</t>
        </is>
      </c>
      <c r="G24" s="31" t="inlineStr">
        <is>
          <t>largecap</t>
        </is>
      </c>
      <c r="H24" s="32" t="n">
        <v>156471.28</v>
      </c>
      <c r="I24" s="32" t="n">
        <v>35105</v>
      </c>
      <c r="J24" s="32" t="n">
        <v>-3.5</v>
      </c>
      <c r="K24" s="32" t="n">
        <v>0</v>
      </c>
      <c r="L24" s="31" t="n">
        <v>53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53.63</v>
      </c>
      <c r="P24" s="32" t="n">
        <v>47.35</v>
      </c>
      <c r="Q24" s="32" t="n">
        <v>30328.9</v>
      </c>
      <c r="R24" s="31" t="inlineStr">
        <is>
          <t>Earnings / Momentum Support</t>
        </is>
      </c>
      <c r="S24" s="31" t="inlineStr">
        <is>
          <t>Nifty 50</t>
        </is>
      </c>
      <c r="T24" s="32" t="n">
        <v>-1.01</v>
      </c>
      <c r="U24" s="32" t="n">
        <v>52.11</v>
      </c>
      <c r="V24" s="32" t="n">
        <v>53.66</v>
      </c>
      <c r="W24" s="32" t="n">
        <v>11.99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Between 1.5 to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19</t>
        </is>
      </c>
      <c r="CG24" s="31">
        <f>IF(CF24&gt;20,10,IF(CF24&gt;=10,5,2))</f>
        <v/>
      </c>
    </row>
    <row r="25">
      <c r="A25" s="31">
        <f>IF(B25=0,"",RANK(B25,$B$2:$B$95,0))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CRAFTSMAN</t>
        </is>
      </c>
      <c r="D25" s="34" t="inlineStr">
        <is>
          <t>Craftsman Automation Ltd</t>
        </is>
      </c>
      <c r="E25" s="31" t="inlineStr">
        <is>
          <t>auto</t>
        </is>
      </c>
      <c r="F25" s="31" t="inlineStr">
        <is>
          <t>Auto &amp; Auto Ancl - CV</t>
        </is>
      </c>
      <c r="G25" s="31" t="inlineStr">
        <is>
          <t>largecap</t>
        </is>
      </c>
      <c r="H25" s="32" t="n">
        <v>21419.93</v>
      </c>
      <c r="I25" s="32" t="n">
        <v>8979</v>
      </c>
      <c r="J25" s="32" t="n">
        <v>2.37</v>
      </c>
      <c r="K25" s="32" t="n">
        <v>0</v>
      </c>
      <c r="L25" s="31" t="n">
        <v>68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67.88</v>
      </c>
      <c r="P25" s="32" t="n">
        <v>58.19</v>
      </c>
      <c r="Q25" s="32" t="n">
        <v>8096.18</v>
      </c>
      <c r="R25" s="31" t="inlineStr">
        <is>
          <t>Volume Spike &amp; Near 52W High Breakout</t>
        </is>
      </c>
      <c r="S25" s="31" t="inlineStr">
        <is>
          <t>Nifty Auto</t>
        </is>
      </c>
      <c r="T25" s="32" t="n">
        <v>18.91</v>
      </c>
      <c r="U25" s="32" t="n">
        <v>60.27</v>
      </c>
      <c r="V25" s="32" t="n">
        <v>34.78</v>
      </c>
      <c r="W25" s="32" t="n">
        <v>17.04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Less than 50% and Borrowings are increasing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Between 0.7 to 1.2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UNIVCABLES</t>
        </is>
      </c>
      <c r="D26" s="34" t="inlineStr">
        <is>
          <t>Universal Cables Ltd</t>
        </is>
      </c>
      <c r="E26" s="31" t="inlineStr">
        <is>
          <t>industrials</t>
        </is>
      </c>
      <c r="F26" s="31" t="inlineStr">
        <is>
          <t>Cables - Power</t>
        </is>
      </c>
      <c r="G26" s="31" t="inlineStr">
        <is>
          <t>smallcap</t>
        </is>
      </c>
      <c r="H26" s="32" t="n">
        <v>4299.45</v>
      </c>
      <c r="I26" s="32" t="n">
        <v>1239.2</v>
      </c>
      <c r="J26" s="32" t="n">
        <v>13.3</v>
      </c>
      <c r="K26" s="32" t="n">
        <v>0</v>
      </c>
      <c r="L26" s="31" t="n">
        <v>86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68.01000000000001</v>
      </c>
      <c r="P26" s="32" t="n">
        <v>55.57</v>
      </c>
      <c r="Q26" s="32" t="n">
        <v>929.15</v>
      </c>
      <c r="R26" s="31" t="inlineStr">
        <is>
          <t>Near 52W High Breakout</t>
        </is>
      </c>
      <c r="S26" s="31" t="inlineStr">
        <is>
          <t>Nifty Energy</t>
        </is>
      </c>
      <c r="T26" s="32" t="n">
        <v>8.69</v>
      </c>
      <c r="U26" s="32" t="n">
        <v>80.18000000000001</v>
      </c>
      <c r="V26" s="32" t="n">
        <v>65.78</v>
      </c>
      <c r="W26" s="32" t="n">
        <v>27.74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Less than 12%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IF(B27=0,"",RANK(B27,$B$2:$B$95,0))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BAJAJCON</t>
        </is>
      </c>
      <c r="D27" s="34" t="inlineStr">
        <is>
          <t>Bajaj Consumer Care Ltd</t>
        </is>
      </c>
      <c r="E27" s="31" t="inlineStr">
        <is>
          <t>Consumer Defensive</t>
        </is>
      </c>
      <c r="F27" s="31" t="inlineStr">
        <is>
          <t>FMCG - Personal Care</t>
        </is>
      </c>
      <c r="G27" s="31" t="inlineStr">
        <is>
          <t>midcap</t>
        </is>
      </c>
      <c r="H27" s="32" t="n">
        <v>7466.8</v>
      </c>
      <c r="I27" s="32" t="n">
        <v>571.65</v>
      </c>
      <c r="J27" s="32" t="n">
        <v>2.25</v>
      </c>
      <c r="K27" s="32" t="n">
        <v>0</v>
      </c>
      <c r="L27" s="31" t="n">
        <v>81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55.65</v>
      </c>
      <c r="P27" s="32" t="n">
        <v>57.42</v>
      </c>
      <c r="Q27" s="32" t="n">
        <v>507.74</v>
      </c>
      <c r="R27" s="31" t="inlineStr">
        <is>
          <t>Earnings / Momentum Support</t>
        </is>
      </c>
      <c r="S27" s="31" t="inlineStr">
        <is>
          <t>Nifty 50</t>
        </is>
      </c>
      <c r="T27" s="32" t="n">
        <v>-1.01</v>
      </c>
      <c r="U27" s="32" t="n">
        <v>139.5</v>
      </c>
      <c r="V27" s="32" t="n">
        <v>141.94</v>
      </c>
      <c r="W27" s="32" t="n">
        <v>23.81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25</t>
        </is>
      </c>
      <c r="CG27" s="31">
        <f>IF(CF27&gt;20,10,IF(CF27&gt;=10,5,2))</f>
        <v/>
      </c>
    </row>
    <row r="28">
      <c r="A28" s="31">
        <f>IF(B28=0,"",RANK(B28,$B$2:$B$95,0))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SKYGOLD</t>
        </is>
      </c>
      <c r="D28" s="31" t="inlineStr">
        <is>
          <t>Sky Gold &amp; Diamonds Ltd</t>
        </is>
      </c>
      <c r="E28" s="31" t="inlineStr">
        <is>
          <t>consumer discretionary</t>
        </is>
      </c>
      <c r="F28" s="31" t="inlineStr">
        <is>
          <t>Diamond, Gems &amp; Jewellery</t>
        </is>
      </c>
      <c r="G28" s="31" t="inlineStr">
        <is>
          <t>midcap</t>
        </is>
      </c>
      <c r="H28" s="32" t="n">
        <v>8668.290000000001</v>
      </c>
      <c r="I28" s="32" t="n">
        <v>559.7</v>
      </c>
      <c r="J28" s="32" t="n">
        <v>7.22</v>
      </c>
      <c r="K28" s="32" t="n">
        <v>0</v>
      </c>
      <c r="L28" s="31" t="n">
        <v>87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71.56999999999999</v>
      </c>
      <c r="P28" s="32" t="n">
        <v>57.95</v>
      </c>
      <c r="Q28" s="32" t="n">
        <v>485.2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-1.01</v>
      </c>
      <c r="U28" s="32" t="n">
        <v>132.6</v>
      </c>
      <c r="V28" s="32" t="n">
        <v>134.97</v>
      </c>
      <c r="W28" s="32" t="n">
        <v>28.92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Negative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Between 0.7 to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31</t>
        </is>
      </c>
      <c r="CG28" s="31">
        <f>IF(CF28&gt;20,10,IF(CF28&gt;=10,5,2))</f>
        <v/>
      </c>
    </row>
    <row r="29">
      <c r="A29" s="31">
        <f>IF(B29=0,"",RANK(B29,$B$2:$B$95,0))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THANGAMAYL</t>
        </is>
      </c>
      <c r="D29" s="31" t="inlineStr">
        <is>
          <t>Thangamayil Jewellery Ltd</t>
        </is>
      </c>
      <c r="E29" s="31" t="inlineStr">
        <is>
          <t>Consumer Cyclical</t>
        </is>
      </c>
      <c r="F29" s="31" t="inlineStr">
        <is>
          <t>Diamond, Gems &amp; Jewellery</t>
        </is>
      </c>
      <c r="G29" s="31" t="inlineStr">
        <is>
          <t>midcap</t>
        </is>
      </c>
      <c r="H29" s="32" t="n">
        <v>14268.82</v>
      </c>
      <c r="I29" s="32" t="n">
        <v>4590.7</v>
      </c>
      <c r="J29" s="32" t="n">
        <v>7.16</v>
      </c>
      <c r="K29" s="32" t="n">
        <v>0</v>
      </c>
      <c r="L29" s="31" t="n">
        <v>94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61.38</v>
      </c>
      <c r="P29" s="32" t="n">
        <v>50.15</v>
      </c>
      <c r="Q29" s="32" t="n">
        <v>4973.5</v>
      </c>
      <c r="R29" s="31" t="inlineStr">
        <is>
          <t>Earnings / Momentum Support</t>
        </is>
      </c>
      <c r="S29" s="31" t="inlineStr">
        <is>
          <t>Nifty 50</t>
        </is>
      </c>
      <c r="T29" s="32" t="n">
        <v>-1.01</v>
      </c>
      <c r="U29" s="32" t="n">
        <v>204.32</v>
      </c>
      <c r="V29" s="32" t="n">
        <v>207.43</v>
      </c>
      <c r="W29" s="32" t="n">
        <v>35.74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29</t>
        </is>
      </c>
      <c r="CG29" s="31">
        <f>IF(CF29&gt;20,10,IF(CF29&gt;=10,5,2))</f>
        <v/>
      </c>
    </row>
    <row r="30">
      <c r="A30" s="31">
        <f>IF(B30=0,"",RANK(B30,$B$2:$B$95,0))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DIACABS</t>
        </is>
      </c>
      <c r="D30" s="31" t="inlineStr">
        <is>
          <t>Diamond Power Infrastructure Ltd</t>
        </is>
      </c>
      <c r="E30" s="31" t="inlineStr">
        <is>
          <t>industrials</t>
        </is>
      </c>
      <c r="F30" s="31" t="inlineStr">
        <is>
          <t>Cables - Power</t>
        </is>
      </c>
      <c r="G30" s="31" t="inlineStr">
        <is>
          <t>midcap</t>
        </is>
      </c>
      <c r="H30" s="32" t="n">
        <v>10257.49</v>
      </c>
      <c r="I30" s="32" t="n">
        <v>194.65</v>
      </c>
      <c r="J30" s="32" t="n">
        <v>6.37</v>
      </c>
      <c r="K30" s="32" t="n">
        <v>0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86.36</v>
      </c>
      <c r="P30" s="32" t="n">
        <v>56.84</v>
      </c>
      <c r="Q30" s="32" t="n">
        <v>251.91</v>
      </c>
      <c r="R30" s="31" t="inlineStr">
        <is>
          <t>Near 52W High Breakout</t>
        </is>
      </c>
      <c r="S30" s="31" t="inlineStr">
        <is>
          <t>Nifty Energy</t>
        </is>
      </c>
      <c r="T30" s="32" t="n">
        <v>8.69</v>
      </c>
      <c r="U30" s="32" t="n">
        <v>101.69</v>
      </c>
      <c r="V30" s="32" t="n">
        <v>85.56999999999999</v>
      </c>
      <c r="W30" s="32" t="n">
        <v>42.28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Negative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21</t>
        </is>
      </c>
      <c r="CG30" s="31">
        <f>IF(CF30&gt;20,10,IF(CF30&gt;=10,5,2))</f>
        <v/>
      </c>
    </row>
    <row r="31">
      <c r="A31" s="31">
        <f>IF(B31=0,"",RANK(B31,$B$2:$B$95,0))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AVALON</t>
        </is>
      </c>
      <c r="D31" s="34" t="inlineStr">
        <is>
          <t>Avalon Technologies Ltd</t>
        </is>
      </c>
      <c r="E31" s="31" t="inlineStr">
        <is>
          <t>consumer discretionary</t>
        </is>
      </c>
      <c r="F31" s="31" t="inlineStr">
        <is>
          <t>Consumer Electronics - EMS</t>
        </is>
      </c>
      <c r="G31" s="31" t="inlineStr">
        <is>
          <t>midcap</t>
        </is>
      </c>
      <c r="H31" s="32" t="n">
        <v>10094.38</v>
      </c>
      <c r="I31" s="32" t="n">
        <v>1511.9</v>
      </c>
      <c r="J31" s="32" t="n">
        <v>4.14</v>
      </c>
      <c r="K31" s="32" t="n">
        <v>0</v>
      </c>
      <c r="L31" s="31" t="n">
        <v>92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74.16</v>
      </c>
      <c r="P31" s="32" t="n">
        <v>56.38</v>
      </c>
      <c r="Q31" s="32" t="n">
        <v>1345.05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-1.01</v>
      </c>
      <c r="U31" s="32" t="n">
        <v>105.56</v>
      </c>
      <c r="V31" s="32" t="n">
        <v>107.66</v>
      </c>
      <c r="W31" s="32" t="n">
        <v>33.29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Less than 50%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25</t>
        </is>
      </c>
      <c r="CG31" s="31">
        <f>IF(CF31&gt;20,10,IF(CF31&gt;=10,5,2))</f>
        <v/>
      </c>
    </row>
    <row r="32">
      <c r="A32" s="31">
        <f>IF(B32=0,"",RANK(B32,$B$2:$B$95,0))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IBULLSLTD</t>
        </is>
      </c>
      <c r="D32" s="31" t="inlineStr">
        <is>
          <t>Indiabulls Limited</t>
        </is>
      </c>
      <c r="E32" s="31" t="inlineStr">
        <is>
          <t>Real Estate</t>
        </is>
      </c>
      <c r="F32" s="31" t="inlineStr">
        <is>
          <t>Diversified</t>
        </is>
      </c>
      <c r="G32" s="31" t="inlineStr">
        <is>
          <t>midcap</t>
        </is>
      </c>
      <c r="H32" s="32" t="n">
        <v>5387.92</v>
      </c>
      <c r="I32" s="32" t="n">
        <v>23.18</v>
      </c>
      <c r="J32" s="32" t="n">
        <v>4.98</v>
      </c>
      <c r="K32" s="32" t="n">
        <v>0</v>
      </c>
      <c r="L32" s="31" t="n">
        <v>88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63.67</v>
      </c>
      <c r="P32" s="32" t="n">
        <v>47.13</v>
      </c>
      <c r="Q32" s="32" t="n">
        <v>21.73</v>
      </c>
      <c r="R32" s="31" t="inlineStr">
        <is>
          <t>Earnings / Momentum Support</t>
        </is>
      </c>
      <c r="S32" s="31" t="inlineStr">
        <is>
          <t>Nifty Realty</t>
        </is>
      </c>
      <c r="T32" s="32" t="n">
        <v>-5.38</v>
      </c>
      <c r="U32" s="32" t="n">
        <v>72.67</v>
      </c>
      <c r="V32" s="32" t="n">
        <v>82.48</v>
      </c>
      <c r="W32" s="32" t="n">
        <v>29.99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23</t>
        </is>
      </c>
      <c r="CG32" s="31">
        <f>IF(CF32&gt;20,10,IF(CF32&gt;=10,5,2))</f>
        <v/>
      </c>
    </row>
    <row r="33">
      <c r="A33" s="31">
        <f>IF(B33=0,"",RANK(B33,$B$2:$B$95,0))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INDOBORAX</t>
        </is>
      </c>
      <c r="D33" s="34" t="inlineStr">
        <is>
          <t>Indo Borax &amp; Chemicals Ltd</t>
        </is>
      </c>
      <c r="E33" s="31" t="inlineStr">
        <is>
          <t>Basic Materials</t>
        </is>
      </c>
      <c r="F33" s="31" t="inlineStr">
        <is>
          <t>Chemicals - Inorganic</t>
        </is>
      </c>
      <c r="G33" s="31" t="inlineStr">
        <is>
          <t>smallcap</t>
        </is>
      </c>
      <c r="H33" s="32" t="n">
        <v>1109.99</v>
      </c>
      <c r="I33" s="32" t="n">
        <v>345.9</v>
      </c>
      <c r="J33" s="32" t="n">
        <v>0.76</v>
      </c>
      <c r="K33" s="32" t="n">
        <v>0</v>
      </c>
      <c r="L33" s="31" t="n">
        <v>75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69.40000000000001</v>
      </c>
      <c r="P33" s="32" t="n">
        <v>71.04000000000001</v>
      </c>
      <c r="Q33" s="32" t="n">
        <v>309.39</v>
      </c>
      <c r="R33" s="31" t="inlineStr">
        <is>
          <t>Earnings / Momentum Support</t>
        </is>
      </c>
      <c r="S33" s="31" t="inlineStr">
        <is>
          <t>Nifty 50</t>
        </is>
      </c>
      <c r="T33" s="32" t="n">
        <v>-1.01</v>
      </c>
      <c r="U33" s="32" t="n">
        <v>48.74</v>
      </c>
      <c r="V33" s="32" t="n">
        <v>50.26</v>
      </c>
      <c r="W33" s="32" t="n">
        <v>20.29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Cyclical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Volatile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20</t>
        </is>
      </c>
      <c r="CG33" s="31">
        <f>IF(CF33&gt;20,10,IF(CF33&gt;=10,5,2))</f>
        <v/>
      </c>
    </row>
    <row r="34">
      <c r="A34" s="31">
        <f>IF(B34=0,"",RANK(B34,$B$2:$B$95,0))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4" t="inlineStr">
        <is>
          <t>APOLLO</t>
        </is>
      </c>
      <c r="D34" s="34" t="inlineStr">
        <is>
          <t>Apollo Micro Systems Ltd</t>
        </is>
      </c>
      <c r="E34" s="31" t="inlineStr">
        <is>
          <t>Industrials</t>
        </is>
      </c>
      <c r="F34" s="31" t="inlineStr">
        <is>
          <t>Aerospace &amp; Defence - Equipments</t>
        </is>
      </c>
      <c r="G34" s="31" t="inlineStr">
        <is>
          <t>midcap</t>
        </is>
      </c>
      <c r="H34" s="32" t="n">
        <v>15613.68</v>
      </c>
      <c r="I34" s="32" t="n">
        <v>437</v>
      </c>
      <c r="J34" s="32" t="n">
        <v>8.130000000000001</v>
      </c>
      <c r="K34" s="32" t="n">
        <v>0</v>
      </c>
      <c r="L34" s="31" t="n">
        <v>84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56.71</v>
      </c>
      <c r="P34" s="32" t="n">
        <v>46.94</v>
      </c>
      <c r="Q34" s="32" t="n">
        <v>322.64</v>
      </c>
      <c r="R34" s="31" t="inlineStr">
        <is>
          <t>Earnings / Momentum Support</t>
        </is>
      </c>
      <c r="S34" s="31" t="inlineStr">
        <is>
          <t>Nifty 50</t>
        </is>
      </c>
      <c r="T34" s="32" t="n">
        <v>-1.01</v>
      </c>
      <c r="U34" s="32" t="n">
        <v>122.67</v>
      </c>
      <c r="V34" s="32" t="n">
        <v>124.95</v>
      </c>
      <c r="W34" s="32" t="n">
        <v>25.39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Oligopoly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Cyclical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Fully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Yes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Between 1.5 to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30</t>
        </is>
      </c>
      <c r="CG34" s="31">
        <f>IF(CF34&gt;20,10,IF(CF34&gt;=10,5,2))</f>
        <v/>
      </c>
    </row>
    <row r="35">
      <c r="A35" s="31">
        <f>IF(B35=0,"",RANK(B35,$B$2:$B$95,0))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BLISSGVS</t>
        </is>
      </c>
      <c r="D35" s="34" t="inlineStr">
        <is>
          <t>Bliss GVS Pharma Ltd</t>
        </is>
      </c>
      <c r="E35" s="31" t="inlineStr">
        <is>
          <t>Healthcare</t>
        </is>
      </c>
      <c r="F35" s="31" t="inlineStr">
        <is>
          <t>Pharma - Formulators</t>
        </is>
      </c>
      <c r="G35" s="31" t="inlineStr">
        <is>
          <t>smallcap</t>
        </is>
      </c>
      <c r="H35" s="32" t="n">
        <v>4596</v>
      </c>
      <c r="I35" s="32" t="n">
        <v>434.45</v>
      </c>
      <c r="J35" s="32" t="n">
        <v>7.95</v>
      </c>
      <c r="K35" s="32" t="n">
        <v>0</v>
      </c>
      <c r="L35" s="31" t="n">
        <v>95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70.45999999999999</v>
      </c>
      <c r="P35" s="32" t="n">
        <v>74.48</v>
      </c>
      <c r="Q35" s="32" t="n">
        <v>399.12</v>
      </c>
      <c r="R35" s="31" t="inlineStr">
        <is>
          <t>Earnings / Momentum Support</t>
        </is>
      </c>
      <c r="S35" s="31" t="inlineStr">
        <is>
          <t>Nifty Pharma</t>
        </is>
      </c>
      <c r="T35" s="32" t="n">
        <v>19.69</v>
      </c>
      <c r="U35" s="32" t="n">
        <v>163.07</v>
      </c>
      <c r="V35" s="32" t="n">
        <v>119.79</v>
      </c>
      <c r="W35" s="32" t="n">
        <v>38.24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27</t>
        </is>
      </c>
      <c r="CG35" s="31">
        <f>IF(CF35&gt;20,10,IF(CF35&gt;=10,5,2))</f>
        <v/>
      </c>
    </row>
    <row r="36">
      <c r="A36" s="31">
        <f>IF(B36=0,"",RANK(B36,$B$2:$B$95,0))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VENUSREM</t>
        </is>
      </c>
      <c r="D36" s="34" t="inlineStr">
        <is>
          <t>Venus Remedies Ltd</t>
        </is>
      </c>
      <c r="E36" s="31" t="inlineStr">
        <is>
          <t>Healthcare</t>
        </is>
      </c>
      <c r="F36" s="31" t="inlineStr">
        <is>
          <t>Pharmaceuticals - I V Fluids</t>
        </is>
      </c>
      <c r="G36" s="31" t="inlineStr">
        <is>
          <t>smallcap</t>
        </is>
      </c>
      <c r="H36" s="32" t="n">
        <v>1886.48</v>
      </c>
      <c r="I36" s="32" t="n">
        <v>1411.3</v>
      </c>
      <c r="J36" s="32" t="n">
        <v>5</v>
      </c>
      <c r="K36" s="32" t="n">
        <v>0</v>
      </c>
      <c r="L36" s="31" t="n">
        <v>96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60.02</v>
      </c>
      <c r="P36" s="32" t="n">
        <v>58.79</v>
      </c>
      <c r="Q36" s="32" t="n">
        <v>1395.6</v>
      </c>
      <c r="R36" s="31" t="inlineStr">
        <is>
          <t>Earnings / Momentum Support</t>
        </is>
      </c>
      <c r="S36" s="31" t="inlineStr">
        <is>
          <t>Nifty Pharma</t>
        </is>
      </c>
      <c r="T36" s="32" t="n">
        <v>19.69</v>
      </c>
      <c r="U36" s="32" t="n">
        <v>190.43</v>
      </c>
      <c r="V36" s="32" t="n">
        <v>142.65</v>
      </c>
      <c r="W36" s="32" t="n">
        <v>41.27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26</t>
        </is>
      </c>
      <c r="CG36" s="31">
        <f>IF(CF36&gt;20,10,IF(CF36&gt;=10,5,2))</f>
        <v/>
      </c>
    </row>
    <row r="37">
      <c r="A37" s="31">
        <f>IF(B37=0,"",RANK(B37,$B$2:$B$95,0))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SAKAR</t>
        </is>
      </c>
      <c r="D37" s="31" t="inlineStr">
        <is>
          <t>Sakar Healthcare Ltd</t>
        </is>
      </c>
      <c r="E37" s="31" t="inlineStr">
        <is>
          <t>Healthcare</t>
        </is>
      </c>
      <c r="F37" s="31" t="inlineStr">
        <is>
          <t>Hospitals</t>
        </is>
      </c>
      <c r="G37" s="31" t="inlineStr">
        <is>
          <t>smallcap</t>
        </is>
      </c>
      <c r="H37" s="32" t="n">
        <v>1856.98</v>
      </c>
      <c r="I37" s="32" t="n">
        <v>834.6</v>
      </c>
      <c r="J37" s="32" t="n">
        <v>-0.13</v>
      </c>
      <c r="K37" s="32" t="n">
        <v>0</v>
      </c>
      <c r="L37" s="31" t="n">
        <v>87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66.95999999999999</v>
      </c>
      <c r="P37" s="32" t="n">
        <v>54.75</v>
      </c>
      <c r="Q37" s="32" t="n">
        <v>612.02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19.69</v>
      </c>
      <c r="U37" s="32" t="n">
        <v>146.25</v>
      </c>
      <c r="V37" s="32" t="n">
        <v>105.74</v>
      </c>
      <c r="W37" s="32" t="n">
        <v>28.79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20</t>
        </is>
      </c>
      <c r="CG37" s="31">
        <f>IF(CF37&gt;20,10,IF(CF37&gt;=10,5,2))</f>
        <v/>
      </c>
    </row>
    <row r="38">
      <c r="A38" s="31">
        <f>IF(B38=0,"",RANK(B38,$B$2:$B$95,0))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FREDUN</t>
        </is>
      </c>
      <c r="D38" s="34" t="inlineStr">
        <is>
          <t>Fredun Pharmaceuticals Ltd</t>
        </is>
      </c>
      <c r="E38" s="31" t="inlineStr">
        <is>
          <t>Healthcare</t>
        </is>
      </c>
      <c r="F38" s="31" t="inlineStr">
        <is>
          <t>Pharma - Formulators</t>
        </is>
      </c>
      <c r="G38" s="31" t="inlineStr">
        <is>
          <t>smallcap</t>
        </is>
      </c>
      <c r="H38" s="32" t="n">
        <v>1309.65</v>
      </c>
      <c r="I38" s="32" t="n">
        <v>2375.7</v>
      </c>
      <c r="J38" s="32" t="n">
        <v>-0.86</v>
      </c>
      <c r="K38" s="32" t="n">
        <v>0</v>
      </c>
      <c r="L38" s="31" t="n">
        <v>88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69.2</v>
      </c>
      <c r="P38" s="32" t="n">
        <v>59.39</v>
      </c>
      <c r="Q38" s="32" t="n">
        <v>682.67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19.69</v>
      </c>
      <c r="U38" s="32" t="n">
        <v>178.87</v>
      </c>
      <c r="V38" s="32" t="n">
        <v>132.99</v>
      </c>
      <c r="W38" s="32" t="n">
        <v>29.82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Less than 12%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Less than 50%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SANSERA</t>
        </is>
      </c>
      <c r="D39" s="34" t="inlineStr">
        <is>
          <t>Sansera Engineering Ltd</t>
        </is>
      </c>
      <c r="E39" s="31" t="inlineStr">
        <is>
          <t>auto</t>
        </is>
      </c>
      <c r="F39" s="31" t="inlineStr">
        <is>
          <t>Auto Ancillaries - Diversified</t>
        </is>
      </c>
      <c r="G39" s="31" t="inlineStr">
        <is>
          <t>midcap</t>
        </is>
      </c>
      <c r="H39" s="32" t="n">
        <v>18408.52</v>
      </c>
      <c r="I39" s="32" t="n">
        <v>2953.3</v>
      </c>
      <c r="J39" s="32" t="n">
        <v>5.24</v>
      </c>
      <c r="K39" s="32" t="n">
        <v>0</v>
      </c>
      <c r="L39" s="31" t="n">
        <v>84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74.01000000000001</v>
      </c>
      <c r="P39" s="32" t="n">
        <v>52.34</v>
      </c>
      <c r="Q39" s="32" t="n">
        <v>2629</v>
      </c>
      <c r="R39" s="31" t="inlineStr">
        <is>
          <t>Near 52W High Breakout</t>
        </is>
      </c>
      <c r="S39" s="31" t="inlineStr">
        <is>
          <t>Nifty Auto</t>
        </is>
      </c>
      <c r="T39" s="32" t="n">
        <v>18.91</v>
      </c>
      <c r="U39" s="32" t="n">
        <v>139.09</v>
      </c>
      <c r="V39" s="32" t="n">
        <v>101.07</v>
      </c>
      <c r="W39" s="32" t="n">
        <v>25.94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MAYURUNIQ</t>
        </is>
      </c>
      <c r="D40" s="34" t="inlineStr">
        <is>
          <t>Mayur Uniquoters Ltd</t>
        </is>
      </c>
      <c r="E40" s="31" t="inlineStr">
        <is>
          <t>Consumer Cyclical</t>
        </is>
      </c>
      <c r="F40" s="31" t="inlineStr">
        <is>
          <t>Plastics - Plastic &amp; Plastic Products</t>
        </is>
      </c>
      <c r="G40" s="31" t="inlineStr">
        <is>
          <t>smallcap</t>
        </is>
      </c>
      <c r="H40" s="32" t="n">
        <v>3238.31</v>
      </c>
      <c r="I40" s="32" t="n">
        <v>745.25</v>
      </c>
      <c r="J40" s="32" t="n">
        <v>1.43</v>
      </c>
      <c r="K40" s="32" t="n">
        <v>0</v>
      </c>
      <c r="L40" s="31" t="n">
        <v>69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60.48</v>
      </c>
      <c r="P40" s="32" t="n">
        <v>59.59</v>
      </c>
      <c r="Q40" s="32" t="n">
        <v>680.28</v>
      </c>
      <c r="R40" s="31" t="inlineStr">
        <is>
          <t>Earnings / Momentum Support</t>
        </is>
      </c>
      <c r="S40" s="31" t="inlineStr">
        <is>
          <t>Nifty 50</t>
        </is>
      </c>
      <c r="T40" s="32" t="n">
        <v>-1.01</v>
      </c>
      <c r="U40" s="32" t="n">
        <v>47.45</v>
      </c>
      <c r="V40" s="32" t="n">
        <v>48.95</v>
      </c>
      <c r="W40" s="32" t="n">
        <v>17.09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B2C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IF(B41=0,"",RANK(B41,$B$2:$B$95,0))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KPL</t>
        </is>
      </c>
      <c r="D41" s="31" t="inlineStr">
        <is>
          <t>Kwality Pharmaceuticals Ltd</t>
        </is>
      </c>
      <c r="E41" s="31" t="inlineStr">
        <is>
          <t>Healthcare</t>
        </is>
      </c>
      <c r="F41" s="31" t="inlineStr">
        <is>
          <t>Pharma - Formulators</t>
        </is>
      </c>
      <c r="G41" s="31" t="inlineStr">
        <is>
          <t>smallcap</t>
        </is>
      </c>
      <c r="H41" s="32" t="n">
        <v>2406.24</v>
      </c>
      <c r="I41" s="32" t="n">
        <v>2319</v>
      </c>
      <c r="J41" s="32" t="n">
        <v>4.49</v>
      </c>
      <c r="K41" s="32" t="n">
        <v>0</v>
      </c>
      <c r="L41" s="31" t="n">
        <v>93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67.27</v>
      </c>
      <c r="P41" s="32" t="n">
        <v>64.44</v>
      </c>
      <c r="Q41" s="32" t="n">
        <v>2050.88</v>
      </c>
      <c r="R41" s="31" t="inlineStr">
        <is>
          <t>Earnings / Momentum Support</t>
        </is>
      </c>
      <c r="S41" s="31" t="inlineStr">
        <is>
          <t>Nifty Pharma</t>
        </is>
      </c>
      <c r="T41" s="32" t="n">
        <v>19.69</v>
      </c>
      <c r="U41" s="32" t="n">
        <v>126.09</v>
      </c>
      <c r="V41" s="32" t="n">
        <v>88.90000000000001</v>
      </c>
      <c r="W41" s="32" t="n">
        <v>33.77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29</t>
        </is>
      </c>
      <c r="CG41" s="31">
        <f>IF(CF41&gt;20,10,IF(CF41&gt;=10,5,2))</f>
        <v/>
      </c>
    </row>
    <row r="42">
      <c r="A42" s="31">
        <f>IF(B42=0,"",RANK(B42,$B$2:$B$95,0))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MODINSU</t>
        </is>
      </c>
      <c r="D42" s="34" t="inlineStr">
        <is>
          <t>Modern Insulators Ltd</t>
        </is>
      </c>
      <c r="E42" s="31" t="inlineStr">
        <is>
          <t>Technology</t>
        </is>
      </c>
      <c r="F42" s="31" t="inlineStr">
        <is>
          <t>Capital Goods - Electric General</t>
        </is>
      </c>
      <c r="G42" s="31" t="inlineStr">
        <is>
          <t>smallcap</t>
        </is>
      </c>
      <c r="H42" s="32" t="n">
        <v>1921.35</v>
      </c>
      <c r="I42" s="32" t="n">
        <v>407.55</v>
      </c>
      <c r="J42" s="32" t="n">
        <v>-5</v>
      </c>
      <c r="K42" s="32" t="n">
        <v>0</v>
      </c>
      <c r="L42" s="31" t="n">
        <v>97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59.86</v>
      </c>
      <c r="P42" s="32" t="n">
        <v>50.55</v>
      </c>
      <c r="Q42" s="32" t="n">
        <v>386.17</v>
      </c>
      <c r="R42" s="31" t="inlineStr">
        <is>
          <t>Earnings / Momentum Support</t>
        </is>
      </c>
      <c r="S42" s="31" t="inlineStr">
        <is>
          <t>Nifty 50</t>
        </is>
      </c>
      <c r="T42" s="32" t="n">
        <v>-1.01</v>
      </c>
      <c r="U42" s="32" t="n">
        <v>342.43</v>
      </c>
      <c r="V42" s="32" t="n">
        <v>346.95</v>
      </c>
      <c r="W42" s="32" t="n">
        <v>42.74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SENORES</t>
        </is>
      </c>
      <c r="D43" s="31" t="inlineStr">
        <is>
          <t>Senores Pharmaceuticals Ltd</t>
        </is>
      </c>
      <c r="E43" s="31" t="inlineStr">
        <is>
          <t>Healthcare</t>
        </is>
      </c>
      <c r="F43" s="31" t="inlineStr">
        <is>
          <t>Pharma - API</t>
        </is>
      </c>
      <c r="G43" s="31" t="inlineStr">
        <is>
          <t>smallcap</t>
        </is>
      </c>
      <c r="H43" s="32" t="n">
        <v>4759.64</v>
      </c>
      <c r="I43" s="32" t="n">
        <v>1033.5</v>
      </c>
      <c r="J43" s="32" t="n">
        <v>-3.21</v>
      </c>
      <c r="K43" s="32" t="n">
        <v>0</v>
      </c>
      <c r="L43" s="31" t="n">
        <v>81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65.06999999999999</v>
      </c>
      <c r="P43" s="32" t="n">
        <v>62.15</v>
      </c>
      <c r="Q43" s="32" t="n">
        <v>1079.15</v>
      </c>
      <c r="R43" s="31" t="inlineStr">
        <is>
          <t>Earnings / Momentum Support</t>
        </is>
      </c>
      <c r="S43" s="31" t="inlineStr">
        <is>
          <t>Nifty Pharma</t>
        </is>
      </c>
      <c r="T43" s="32" t="n">
        <v>19.69</v>
      </c>
      <c r="U43" s="32" t="n">
        <v>94.23999999999999</v>
      </c>
      <c r="V43" s="32" t="n">
        <v>62.29</v>
      </c>
      <c r="W43" s="32" t="n">
        <v>23.94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SIS</t>
        </is>
      </c>
      <c r="D44" s="34" t="inlineStr">
        <is>
          <t>SIS Ltd</t>
        </is>
      </c>
      <c r="E44" s="31" t="inlineStr">
        <is>
          <t>Industrials</t>
        </is>
      </c>
      <c r="F44" s="31" t="inlineStr">
        <is>
          <t>Facility Management</t>
        </is>
      </c>
      <c r="G44" s="31" t="inlineStr">
        <is>
          <t>midcap</t>
        </is>
      </c>
      <c r="H44" s="32" t="n">
        <v>5828.43</v>
      </c>
      <c r="I44" s="32" t="n">
        <v>412.5</v>
      </c>
      <c r="J44" s="32" t="n">
        <v>1.2</v>
      </c>
      <c r="K44" s="32" t="n">
        <v>0</v>
      </c>
      <c r="L44" s="31" t="n">
        <v>33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66.67</v>
      </c>
      <c r="P44" s="32" t="n">
        <v>56.44</v>
      </c>
      <c r="Q44" s="32" t="n">
        <v>353.67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-1.01</v>
      </c>
      <c r="U44" s="32" t="n">
        <v>13.87</v>
      </c>
      <c r="V44" s="32" t="n">
        <v>15.04</v>
      </c>
      <c r="W44" s="32" t="n">
        <v>7.01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SKMEGGPROD</t>
        </is>
      </c>
      <c r="D45" s="34" t="inlineStr">
        <is>
          <t>SKM Egg Products Export (India) Ltd</t>
        </is>
      </c>
      <c r="E45" s="31" t="inlineStr">
        <is>
          <t>Consumer Defensive</t>
        </is>
      </c>
      <c r="F45" s="31" t="inlineStr">
        <is>
          <t>FMCG - Animal/Polutry</t>
        </is>
      </c>
      <c r="G45" s="31" t="inlineStr">
        <is>
          <t>smallcap</t>
        </is>
      </c>
      <c r="H45" s="32" t="n">
        <v>1225.77</v>
      </c>
      <c r="I45" s="32" t="n">
        <v>232.77</v>
      </c>
      <c r="J45" s="32" t="n">
        <v>12.9</v>
      </c>
      <c r="K45" s="32" t="n">
        <v>0</v>
      </c>
      <c r="L45" s="31" t="n">
        <v>81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54.72</v>
      </c>
      <c r="P45" s="32" t="n">
        <v>46.08</v>
      </c>
      <c r="Q45" s="32" t="n">
        <v>220.59</v>
      </c>
      <c r="R45" s="31" t="inlineStr">
        <is>
          <t>Earnings / Momentum Support</t>
        </is>
      </c>
      <c r="S45" s="31" t="inlineStr">
        <is>
          <t>Nifty 50</t>
        </is>
      </c>
      <c r="T45" s="32" t="n">
        <v>-1.01</v>
      </c>
      <c r="U45" s="32" t="n">
        <v>65.31</v>
      </c>
      <c r="V45" s="32" t="n">
        <v>66.98999999999999</v>
      </c>
      <c r="W45" s="32" t="n">
        <v>23.78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30</t>
        </is>
      </c>
      <c r="CG45" s="31">
        <f>IF(CF45&gt;20,10,IF(CF45&gt;=10,5,2))</f>
        <v/>
      </c>
    </row>
    <row r="46">
      <c r="A46" s="31">
        <f>IF(B46=0,"",RANK(B46,$B$2:$B$95,0))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HFCL</t>
        </is>
      </c>
      <c r="D46" s="31" t="inlineStr">
        <is>
          <t>HFCL Ltd</t>
        </is>
      </c>
      <c r="E46" s="31" t="inlineStr">
        <is>
          <t>Technology</t>
        </is>
      </c>
      <c r="F46" s="31" t="inlineStr">
        <is>
          <t>Telecom Services</t>
        </is>
      </c>
      <c r="G46" s="31" t="inlineStr">
        <is>
          <t>largecap</t>
        </is>
      </c>
      <c r="H46" s="32" t="n">
        <v>29072.26</v>
      </c>
      <c r="I46" s="32" t="n">
        <v>189.94</v>
      </c>
      <c r="J46" s="32" t="n">
        <v>4.2</v>
      </c>
      <c r="K46" s="32" t="n">
        <v>0</v>
      </c>
      <c r="L46" s="31" t="n">
        <v>94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65.03</v>
      </c>
      <c r="P46" s="32" t="n">
        <v>69.5</v>
      </c>
      <c r="Q46" s="32" t="n">
        <v>159.47</v>
      </c>
      <c r="R46" s="31" t="inlineStr">
        <is>
          <t>Earnings / Momentum Support</t>
        </is>
      </c>
      <c r="S46" s="31" t="inlineStr">
        <is>
          <t>Nifty 50</t>
        </is>
      </c>
      <c r="T46" s="32" t="n">
        <v>-1.01</v>
      </c>
      <c r="U46" s="32" t="n">
        <v>152.46</v>
      </c>
      <c r="V46" s="32" t="n">
        <v>155.04</v>
      </c>
      <c r="W46" s="32" t="n">
        <v>36.93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Oligopoly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27</t>
        </is>
      </c>
      <c r="CG46" s="31">
        <f>IF(CF46&gt;20,10,IF(CF46&gt;=10,5,2))</f>
        <v/>
      </c>
    </row>
    <row r="47">
      <c r="A47" s="31">
        <f>IF(B47=0,"",RANK(B47,$B$2:$B$95,0))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SUPRIYA</t>
        </is>
      </c>
      <c r="D47" s="34" t="inlineStr">
        <is>
          <t>Supriya Lifescience Ltd</t>
        </is>
      </c>
      <c r="E47" s="31" t="inlineStr">
        <is>
          <t>Healthcare</t>
        </is>
      </c>
      <c r="F47" s="31" t="inlineStr">
        <is>
          <t>Pharma - API &amp; CRAMS</t>
        </is>
      </c>
      <c r="G47" s="31" t="inlineStr">
        <is>
          <t>midcap</t>
        </is>
      </c>
      <c r="H47" s="32" t="n">
        <v>7382.28</v>
      </c>
      <c r="I47" s="32" t="n">
        <v>917.25</v>
      </c>
      <c r="J47" s="32" t="n">
        <v>-12.85</v>
      </c>
      <c r="K47" s="32" t="n">
        <v>0</v>
      </c>
      <c r="L47" s="31" t="n">
        <v>50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56.79</v>
      </c>
      <c r="P47" s="32" t="n">
        <v>41.74</v>
      </c>
      <c r="Q47" s="32" t="n">
        <v>734.6799999999999</v>
      </c>
      <c r="R47" s="31" t="inlineStr">
        <is>
          <t>Earnings / Momentum Support</t>
        </is>
      </c>
      <c r="S47" s="31" t="inlineStr">
        <is>
          <t>Nifty Pharma</t>
        </is>
      </c>
      <c r="T47" s="32" t="n">
        <v>19.69</v>
      </c>
      <c r="U47" s="32" t="n">
        <v>31.12</v>
      </c>
      <c r="V47" s="32" t="n">
        <v>9.550000000000001</v>
      </c>
      <c r="W47" s="32" t="n">
        <v>11.19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Between 50% to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25</t>
        </is>
      </c>
      <c r="CG47" s="31">
        <f>IF(CF47&gt;20,10,IF(CF47&gt;=10,5,2))</f>
        <v/>
      </c>
    </row>
    <row r="48">
      <c r="A48" s="31">
        <f>IF(B48=0,"",RANK(B48,$B$2:$B$95,0))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MARKSANS</t>
        </is>
      </c>
      <c r="D48" s="34" t="inlineStr">
        <is>
          <t>Marksans Pharma Ltd</t>
        </is>
      </c>
      <c r="E48" s="31" t="inlineStr">
        <is>
          <t>Healthcare</t>
        </is>
      </c>
      <c r="F48" s="31" t="inlineStr">
        <is>
          <t>Pharma - Formulators</t>
        </is>
      </c>
      <c r="G48" s="31" t="inlineStr">
        <is>
          <t>midcap</t>
        </is>
      </c>
      <c r="H48" s="32" t="n">
        <v>10929.86</v>
      </c>
      <c r="I48" s="32" t="n">
        <v>241.19</v>
      </c>
      <c r="J48" s="32" t="n">
        <v>1.05</v>
      </c>
      <c r="K48" s="32" t="n">
        <v>0</v>
      </c>
      <c r="L48" s="31" t="n">
        <v>57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64.06</v>
      </c>
      <c r="P48" s="32" t="n">
        <v>50.62</v>
      </c>
      <c r="Q48" s="32" t="n">
        <v>209.77</v>
      </c>
      <c r="R48" s="31" t="inlineStr">
        <is>
          <t>Earnings / Momentum Support</t>
        </is>
      </c>
      <c r="S48" s="31" t="inlineStr">
        <is>
          <t>Nifty Pharma</t>
        </is>
      </c>
      <c r="T48" s="32" t="n">
        <v>19.69</v>
      </c>
      <c r="U48" s="32" t="n">
        <v>15</v>
      </c>
      <c r="V48" s="32" t="n">
        <v>-3.92</v>
      </c>
      <c r="W48" s="32" t="n">
        <v>12.65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21</t>
        </is>
      </c>
      <c r="CG48" s="31">
        <f>IF(CF48&gt;20,10,IF(CF48&gt;=10,5,2))</f>
        <v/>
      </c>
    </row>
    <row r="49">
      <c r="A49" s="31">
        <f>IF(B49=0,"",RANK(B49,$B$2:$B$95,0))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CEMPRO</t>
        </is>
      </c>
      <c r="D49" s="34" t="inlineStr">
        <is>
          <t>Cemindia Projects Ltd</t>
        </is>
      </c>
      <c r="E49" s="31" t="inlineStr">
        <is>
          <t>Industrials</t>
        </is>
      </c>
      <c r="F49" s="31" t="inlineStr">
        <is>
          <t>Infra - Construction &amp; Contracting</t>
        </is>
      </c>
      <c r="G49" s="31" t="inlineStr">
        <is>
          <t>midcap</t>
        </is>
      </c>
      <c r="H49" s="32" t="n">
        <v>17895.11</v>
      </c>
      <c r="I49" s="32" t="n">
        <v>1041.7</v>
      </c>
      <c r="J49" s="32" t="n">
        <v>-2.99</v>
      </c>
      <c r="K49" s="32" t="n">
        <v>0</v>
      </c>
      <c r="L49" s="31" t="n">
        <v>96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65.52</v>
      </c>
      <c r="P49" s="32" t="n">
        <v>57.47</v>
      </c>
      <c r="Q49" s="32" t="n">
        <v>1245.13</v>
      </c>
      <c r="R49" s="31" t="inlineStr">
        <is>
          <t>Earnings / Momentum Support</t>
        </is>
      </c>
      <c r="S49" s="31" t="inlineStr">
        <is>
          <t>Nifty Infra</t>
        </is>
      </c>
      <c r="T49" s="32" t="n">
        <v>3.07</v>
      </c>
      <c r="U49" s="32" t="n">
        <v>77.14</v>
      </c>
      <c r="V49" s="32" t="n">
        <v>71.86</v>
      </c>
      <c r="W49" s="32" t="n">
        <v>41.19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24</t>
        </is>
      </c>
      <c r="CG49" s="31">
        <f>IF(CF49&gt;20,10,IF(CF49&gt;=10,5,2))</f>
        <v/>
      </c>
    </row>
    <row r="50">
      <c r="A50" s="31">
        <f>IF(B50=0,"",RANK(B50,$B$2:$B$95,0))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JAYBARMARU</t>
        </is>
      </c>
      <c r="D50" s="34" t="inlineStr">
        <is>
          <t>Jay Bharat Maruti Ltd</t>
        </is>
      </c>
      <c r="E50" s="31" t="inlineStr">
        <is>
          <t>Consumer Cyclical</t>
        </is>
      </c>
      <c r="F50" s="31" t="inlineStr">
        <is>
          <t>Auto Ancillaries - Diversified</t>
        </is>
      </c>
      <c r="G50" s="31" t="inlineStr">
        <is>
          <t>smallcap</t>
        </is>
      </c>
      <c r="H50" s="32" t="n">
        <v>1365.47</v>
      </c>
      <c r="I50" s="32" t="n">
        <v>126.14</v>
      </c>
      <c r="J50" s="32" t="n">
        <v>9.99</v>
      </c>
      <c r="K50" s="32" t="n">
        <v>0</v>
      </c>
      <c r="L50" s="31" t="n">
        <v>91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60.01</v>
      </c>
      <c r="P50" s="32" t="n">
        <v>43.38</v>
      </c>
      <c r="Q50" s="32" t="n">
        <v>133.46</v>
      </c>
      <c r="R50" s="31" t="inlineStr">
        <is>
          <t>Earnings / Momentum Support</t>
        </is>
      </c>
      <c r="S50" s="31" t="inlineStr">
        <is>
          <t>Nifty Auto</t>
        </is>
      </c>
      <c r="T50" s="32" t="n">
        <v>18.91</v>
      </c>
      <c r="U50" s="32" t="n">
        <v>112.5</v>
      </c>
      <c r="V50" s="32" t="n">
        <v>78.7</v>
      </c>
      <c r="W50" s="32" t="n">
        <v>31.82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24</t>
        </is>
      </c>
      <c r="CG50" s="31">
        <f>IF(CF50&gt;20,10,IF(CF50&gt;=10,5,2))</f>
        <v/>
      </c>
    </row>
    <row r="51">
      <c r="A51" s="31">
        <f>IF(B51=0,"",RANK(B51,$B$2:$B$95,0))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4" t="inlineStr">
        <is>
          <t>PRECWIRE</t>
        </is>
      </c>
      <c r="D51" s="34" t="inlineStr">
        <is>
          <t>Precision Wires India Ltd</t>
        </is>
      </c>
      <c r="E51" s="31" t="inlineStr">
        <is>
          <t>Industrials</t>
        </is>
      </c>
      <c r="F51" s="31" t="inlineStr">
        <is>
          <t>Copper Wires</t>
        </is>
      </c>
      <c r="G51" s="31" t="inlineStr">
        <is>
          <t>midcap</t>
        </is>
      </c>
      <c r="H51" s="32" t="n">
        <v>7832.41</v>
      </c>
      <c r="I51" s="32" t="n">
        <v>428.45</v>
      </c>
      <c r="J51" s="32" t="n">
        <v>-1.7</v>
      </c>
      <c r="K51" s="32" t="n">
        <v>0</v>
      </c>
      <c r="L51" s="31" t="n">
        <v>66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50.57</v>
      </c>
      <c r="P51" s="32" t="n">
        <v>49.68</v>
      </c>
      <c r="Q51" s="32" t="n">
        <v>312.32</v>
      </c>
      <c r="R51" s="31" t="inlineStr">
        <is>
          <t>Earnings / Momentum Support</t>
        </is>
      </c>
      <c r="S51" s="31" t="inlineStr">
        <is>
          <t>Nifty 50</t>
        </is>
      </c>
      <c r="T51" s="32" t="n">
        <v>-1.01</v>
      </c>
      <c r="U51" s="32" t="n">
        <v>102.75</v>
      </c>
      <c r="V51" s="32" t="n">
        <v>104.82</v>
      </c>
      <c r="W51" s="32" t="n">
        <v>16.54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22</t>
        </is>
      </c>
      <c r="CG51" s="31">
        <f>IF(CF51&gt;20,10,IF(CF51&gt;=10,5,2))</f>
        <v/>
      </c>
    </row>
    <row r="52">
      <c r="A52" s="31">
        <f>IF(B52=0,"",RANK(B52,$B$2:$B$95,0))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VERANDA</t>
        </is>
      </c>
      <c r="D52" s="34" t="inlineStr">
        <is>
          <t>Veranda Learning Solutions Ltd</t>
        </is>
      </c>
      <c r="E52" s="31" t="inlineStr">
        <is>
          <t>Consumer Defensive</t>
        </is>
      </c>
      <c r="F52" s="31" t="inlineStr">
        <is>
          <t>Computer Education</t>
        </is>
      </c>
      <c r="G52" s="31" t="inlineStr">
        <is>
          <t>smallcap</t>
        </is>
      </c>
      <c r="H52" s="32" t="n">
        <v>2256.7</v>
      </c>
      <c r="I52" s="32" t="n">
        <v>234.29</v>
      </c>
      <c r="J52" s="32" t="n">
        <v>1.13</v>
      </c>
      <c r="K52" s="32" t="n">
        <v>0</v>
      </c>
      <c r="L52" s="31" t="n">
        <v>22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56.58</v>
      </c>
      <c r="P52" s="32" t="n">
        <v>26.8</v>
      </c>
      <c r="Q52" s="32" t="n">
        <v>179.31</v>
      </c>
      <c r="R52" s="31" t="inlineStr">
        <is>
          <t>Earnings / Momentum Support</t>
        </is>
      </c>
      <c r="S52" s="31" t="inlineStr">
        <is>
          <t>Nifty 50</t>
        </is>
      </c>
      <c r="T52" s="32" t="n">
        <v>-1.01</v>
      </c>
      <c r="U52" s="32" t="n">
        <v>-0.02</v>
      </c>
      <c r="V52" s="32" t="n">
        <v>1</v>
      </c>
      <c r="W52" s="32" t="n">
        <v>5.11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20</t>
        </is>
      </c>
      <c r="CG52" s="31">
        <f>IF(CF52&gt;20,10,IF(CF52&gt;=10,5,2))</f>
        <v/>
      </c>
    </row>
    <row r="53">
      <c r="A53" s="31">
        <f>IF(B53=0,"",RANK(B53,$B$2:$B$95,0))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AEROFLEX</t>
        </is>
      </c>
      <c r="D53" s="34" t="inlineStr">
        <is>
          <t>Aeroflex Industries Ltd</t>
        </is>
      </c>
      <c r="E53" s="31" t="inlineStr">
        <is>
          <t>Industrials</t>
        </is>
      </c>
      <c r="F53" s="31" t="inlineStr">
        <is>
          <t>Stainless Steel</t>
        </is>
      </c>
      <c r="G53" s="31" t="inlineStr">
        <is>
          <t>midcap</t>
        </is>
      </c>
      <c r="H53" s="32" t="n">
        <v>5550.61</v>
      </c>
      <c r="I53" s="32" t="n">
        <v>419.45</v>
      </c>
      <c r="J53" s="32" t="n">
        <v>8.01</v>
      </c>
      <c r="K53" s="32" t="n">
        <v>0</v>
      </c>
      <c r="L53" s="31" t="n">
        <v>91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61.8</v>
      </c>
      <c r="P53" s="32" t="n">
        <v>67.90000000000001</v>
      </c>
      <c r="Q53" s="32" t="n">
        <v>358.53</v>
      </c>
      <c r="R53" s="31" t="inlineStr">
        <is>
          <t>Earnings / Momentum Support</t>
        </is>
      </c>
      <c r="S53" s="31" t="inlineStr">
        <is>
          <t>Nifty Metal</t>
        </is>
      </c>
      <c r="T53" s="32" t="n">
        <v>34.77</v>
      </c>
      <c r="U53" s="32" t="n">
        <v>107.66</v>
      </c>
      <c r="V53" s="32" t="n">
        <v>54.09</v>
      </c>
      <c r="W53" s="32" t="n">
        <v>31.66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IF(B54=0,"",RANK(B54,$B$2:$B$95,0))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KMCSHIL</t>
        </is>
      </c>
      <c r="D54" s="31" t="inlineStr">
        <is>
          <t>KMC Speciality Hospitals (India) Ltd</t>
        </is>
      </c>
      <c r="E54" s="31" t="inlineStr">
        <is>
          <t>Healthcare</t>
        </is>
      </c>
      <c r="F54" s="31" t="inlineStr">
        <is>
          <t>Hospitals</t>
        </is>
      </c>
      <c r="G54" s="31" t="inlineStr">
        <is>
          <t>smallcap</t>
        </is>
      </c>
      <c r="H54" s="32" t="n">
        <v>1939.08</v>
      </c>
      <c r="I54" s="32" t="n">
        <v>118.9</v>
      </c>
      <c r="J54" s="32" t="n">
        <v>3.39</v>
      </c>
      <c r="K54" s="32" t="n">
        <v>0</v>
      </c>
      <c r="L54" s="31" t="n">
        <v>83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73.38</v>
      </c>
      <c r="P54" s="32" t="n">
        <v>66.14</v>
      </c>
      <c r="Q54" s="32" t="n">
        <v>105.45</v>
      </c>
      <c r="R54" s="31" t="inlineStr">
        <is>
          <t>Earnings / Momentum Support</t>
        </is>
      </c>
      <c r="S54" s="31" t="inlineStr">
        <is>
          <t>Nifty Pharma</t>
        </is>
      </c>
      <c r="T54" s="32" t="n">
        <v>19.69</v>
      </c>
      <c r="U54" s="32" t="n">
        <v>98.62</v>
      </c>
      <c r="V54" s="32" t="n">
        <v>65.94</v>
      </c>
      <c r="W54" s="32" t="n">
        <v>24.85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29</t>
        </is>
      </c>
      <c r="CG54" s="31">
        <f>IF(CF54&gt;20,10,IF(CF54&gt;=10,5,2))</f>
        <v/>
      </c>
    </row>
    <row r="55">
      <c r="A55" s="31">
        <f>IF(B55=0,"",RANK(B55,$B$2:$B$95,0))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SHILPAMED</t>
        </is>
      </c>
      <c r="D55" s="34" t="inlineStr">
        <is>
          <t>Shilpa Medicare Ltd</t>
        </is>
      </c>
      <c r="E55" s="31" t="inlineStr">
        <is>
          <t>Healthcare</t>
        </is>
      </c>
      <c r="F55" s="31" t="inlineStr">
        <is>
          <t>Pharma - API &amp; CRAMS</t>
        </is>
      </c>
      <c r="G55" s="31" t="inlineStr">
        <is>
          <t>midcap</t>
        </is>
      </c>
      <c r="H55" s="32" t="n">
        <v>10118.43</v>
      </c>
      <c r="I55" s="32" t="n">
        <v>517.35</v>
      </c>
      <c r="J55" s="32" t="n">
        <v>3.63</v>
      </c>
      <c r="K55" s="32" t="n">
        <v>0</v>
      </c>
      <c r="L55" s="31" t="n">
        <v>76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77.09999999999999</v>
      </c>
      <c r="P55" s="32" t="n">
        <v>68.39</v>
      </c>
      <c r="Q55" s="32" t="n">
        <v>499.1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19.69</v>
      </c>
      <c r="U55" s="32" t="n">
        <v>40.84</v>
      </c>
      <c r="V55" s="32" t="n">
        <v>17.67</v>
      </c>
      <c r="W55" s="32" t="n">
        <v>20.35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NETWEB</t>
        </is>
      </c>
      <c r="D56" s="34" t="inlineStr">
        <is>
          <t>Netweb Technologies India Ltd</t>
        </is>
      </c>
      <c r="E56" s="31" t="inlineStr">
        <is>
          <t>Technology</t>
        </is>
      </c>
      <c r="F56" s="31" t="inlineStr">
        <is>
          <t>Data Centre</t>
        </is>
      </c>
      <c r="G56" s="31" t="inlineStr">
        <is>
          <t>largecap</t>
        </is>
      </c>
      <c r="H56" s="32" t="n">
        <v>27233.59</v>
      </c>
      <c r="I56" s="32" t="n">
        <v>4782.8</v>
      </c>
      <c r="J56" s="32" t="n">
        <v>3.52</v>
      </c>
      <c r="K56" s="32" t="n">
        <v>0</v>
      </c>
      <c r="L56" s="31" t="n">
        <v>75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53.53</v>
      </c>
      <c r="P56" s="32" t="n">
        <v>42.21</v>
      </c>
      <c r="Q56" s="32" t="n">
        <v>3731.74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-1.01</v>
      </c>
      <c r="U56" s="32" t="n">
        <v>96.72</v>
      </c>
      <c r="V56" s="32" t="n">
        <v>98.72</v>
      </c>
      <c r="W56" s="32" t="n">
        <v>20.12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21</t>
        </is>
      </c>
      <c r="CG56" s="31">
        <f>IF(CF56&gt;20,10,IF(CF56&gt;=10,5,2))</f>
        <v/>
      </c>
    </row>
    <row r="57">
      <c r="A57" s="31">
        <f>IF(B57=0,"",RANK(B57,$B$2:$B$95,0))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STLTECH</t>
        </is>
      </c>
      <c r="D57" s="34" t="inlineStr">
        <is>
          <t>Sterlite Technologies Ltd</t>
        </is>
      </c>
      <c r="E57" s="31" t="inlineStr">
        <is>
          <t>Technology</t>
        </is>
      </c>
      <c r="F57" s="31" t="inlineStr">
        <is>
          <t>Cables - Telecom</t>
        </is>
      </c>
      <c r="G57" s="31" t="inlineStr">
        <is>
          <t>largecap</t>
        </is>
      </c>
      <c r="H57" s="32" t="n">
        <v>28853.15</v>
      </c>
      <c r="I57" s="32" t="n">
        <v>591.05</v>
      </c>
      <c r="J57" s="32" t="n">
        <v>4.99</v>
      </c>
      <c r="K57" s="32" t="n">
        <v>0</v>
      </c>
      <c r="L57" s="31" t="n">
        <v>98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64.67</v>
      </c>
      <c r="P57" s="32" t="n">
        <v>82.34</v>
      </c>
      <c r="Q57" s="32" t="n">
        <v>463.45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-1.01</v>
      </c>
      <c r="U57" s="32" t="n">
        <v>357.8</v>
      </c>
      <c r="V57" s="32" t="n">
        <v>362.48</v>
      </c>
      <c r="W57" s="32" t="n">
        <v>63.58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Oligopoly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20</t>
        </is>
      </c>
      <c r="CG57" s="31">
        <f>IF(CF57&gt;20,10,IF(CF57&gt;=10,5,2))</f>
        <v/>
      </c>
    </row>
    <row r="58">
      <c r="A58" s="31">
        <f>IF(B58=0,"",RANK(B58,$B$2:$B$95,0))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WHEELS</t>
        </is>
      </c>
      <c r="D58" s="34" t="inlineStr">
        <is>
          <t>Wheels India Ltd</t>
        </is>
      </c>
      <c r="E58" s="31" t="inlineStr">
        <is>
          <t>Consumer Cyclical</t>
        </is>
      </c>
      <c r="F58" s="31" t="inlineStr">
        <is>
          <t>Auto Ancillaries - Wheels</t>
        </is>
      </c>
      <c r="G58" s="31" t="inlineStr">
        <is>
          <t>smallcap</t>
        </is>
      </c>
      <c r="H58" s="32" t="n">
        <v>3708.69</v>
      </c>
      <c r="I58" s="32" t="n">
        <v>1517.9</v>
      </c>
      <c r="J58" s="32" t="n">
        <v>-2.49</v>
      </c>
      <c r="K58" s="32" t="n">
        <v>0</v>
      </c>
      <c r="L58" s="31" t="n">
        <v>79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56.42</v>
      </c>
      <c r="P58" s="32" t="n">
        <v>62.67</v>
      </c>
      <c r="Q58" s="32" t="n">
        <v>1247.2</v>
      </c>
      <c r="R58" s="31" t="inlineStr">
        <is>
          <t>Earnings / Momentum Support</t>
        </is>
      </c>
      <c r="S58" s="31" t="inlineStr">
        <is>
          <t>Nifty Auto</t>
        </is>
      </c>
      <c r="T58" s="32" t="n">
        <v>18.91</v>
      </c>
      <c r="U58" s="32" t="n">
        <v>79.17</v>
      </c>
      <c r="V58" s="32" t="n">
        <v>50.67</v>
      </c>
      <c r="W58" s="32" t="n">
        <v>22.23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23</t>
        </is>
      </c>
      <c r="CG58" s="31">
        <f>IF(CF58&gt;20,10,IF(CF58&gt;=10,5,2))</f>
        <v/>
      </c>
    </row>
    <row r="59">
      <c r="A59" s="31">
        <f>IF(B59=0,"",RANK(B59,$B$2:$B$95,0))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HONASA</t>
        </is>
      </c>
      <c r="D59" s="34" t="inlineStr">
        <is>
          <t>Honasa Consumer Ltd</t>
        </is>
      </c>
      <c r="E59" s="31" t="inlineStr">
        <is>
          <t>Consumer Defensive</t>
        </is>
      </c>
      <c r="F59" s="31" t="inlineStr">
        <is>
          <t>New age - Platform - E-Retail</t>
        </is>
      </c>
      <c r="G59" s="31" t="inlineStr">
        <is>
          <t>midcap</t>
        </is>
      </c>
      <c r="H59" s="32" t="n">
        <v>13244.18</v>
      </c>
      <c r="I59" s="32" t="n">
        <v>407.05</v>
      </c>
      <c r="J59" s="32" t="n">
        <v>1.04</v>
      </c>
      <c r="K59" s="32" t="n">
        <v>0</v>
      </c>
      <c r="L59" s="31" t="n">
        <v>70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70.93000000000001</v>
      </c>
      <c r="P59" s="32" t="n">
        <v>53.92</v>
      </c>
      <c r="Q59" s="32" t="n">
        <v>386.31</v>
      </c>
      <c r="R59" s="31" t="inlineStr">
        <is>
          <t>Earnings / Momentum Support</t>
        </is>
      </c>
      <c r="S59" s="31" t="inlineStr">
        <is>
          <t>Nifty 50</t>
        </is>
      </c>
      <c r="T59" s="32" t="n">
        <v>-1.01</v>
      </c>
      <c r="U59" s="32" t="n">
        <v>64.25</v>
      </c>
      <c r="V59" s="32" t="n">
        <v>65.93000000000001</v>
      </c>
      <c r="W59" s="32" t="n">
        <v>17.41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22</t>
        </is>
      </c>
      <c r="CG59" s="31">
        <f>IF(CF59&gt;20,10,IF(CF59&gt;=10,5,2))</f>
        <v/>
      </c>
    </row>
    <row r="60">
      <c r="A60" s="31">
        <f>IF(B60=0,"",RANK(B60,$B$2:$B$95,0))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SEKURITIND</t>
        </is>
      </c>
      <c r="D60" s="34" t="inlineStr">
        <is>
          <t>Saint-Gobain Sekurit India Ltd</t>
        </is>
      </c>
      <c r="E60" s="31" t="inlineStr">
        <is>
          <t>Consumer Cyclical</t>
        </is>
      </c>
      <c r="F60" s="31" t="inlineStr">
        <is>
          <t>Glass &amp; Glass Products</t>
        </is>
      </c>
      <c r="G60" s="31" t="inlineStr">
        <is>
          <t>smallcap</t>
        </is>
      </c>
      <c r="H60" s="32" t="n">
        <v>1087.35</v>
      </c>
      <c r="I60" s="32" t="n">
        <v>119.35</v>
      </c>
      <c r="J60" s="32" t="n">
        <v>1.4</v>
      </c>
      <c r="K60" s="32" t="n">
        <v>0</v>
      </c>
      <c r="L60" s="31" t="n">
        <v>45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58.64</v>
      </c>
      <c r="P60" s="32" t="n">
        <v>36.46</v>
      </c>
      <c r="Q60" s="32" t="n">
        <v>105.9</v>
      </c>
      <c r="R60" s="31" t="inlineStr">
        <is>
          <t>Earnings / Momentum Support</t>
        </is>
      </c>
      <c r="S60" s="31" t="inlineStr">
        <is>
          <t>Nifty Auto</t>
        </is>
      </c>
      <c r="T60" s="32" t="n">
        <v>18.91</v>
      </c>
      <c r="U60" s="32" t="n">
        <v>15.03</v>
      </c>
      <c r="V60" s="32" t="n">
        <v>-3.27</v>
      </c>
      <c r="W60" s="32" t="n">
        <v>9.789999999999999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20</t>
        </is>
      </c>
      <c r="CG60" s="31">
        <f>IF(CF60&gt;20,10,IF(CF60&gt;=10,5,2))</f>
        <v/>
      </c>
    </row>
    <row r="61">
      <c r="A61" s="31">
        <f>IF(B61=0,"",RANK(B61,$B$2:$B$95,0))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COCKERILL</t>
        </is>
      </c>
      <c r="D61" s="34" t="inlineStr">
        <is>
          <t>John Cockerill India Ltd</t>
        </is>
      </c>
      <c r="E61" s="31" t="inlineStr">
        <is>
          <t>Industrials</t>
        </is>
      </c>
      <c r="F61" s="31" t="inlineStr">
        <is>
          <t>Capital Goods - Engineering Heavy</t>
        </is>
      </c>
      <c r="G61" s="31" t="inlineStr">
        <is>
          <t>smallcap</t>
        </is>
      </c>
      <c r="H61" s="32" t="n">
        <v>3749.97</v>
      </c>
      <c r="I61" s="32" t="n">
        <v>7594.4</v>
      </c>
      <c r="J61" s="32" t="n">
        <v>0.5</v>
      </c>
      <c r="K61" s="32" t="n">
        <v>0</v>
      </c>
      <c r="L61" s="31" t="n">
        <v>89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62.23</v>
      </c>
      <c r="P61" s="32" t="n">
        <v>62.46</v>
      </c>
      <c r="Q61" s="32" t="n">
        <v>7356.24</v>
      </c>
      <c r="R61" s="31" t="inlineStr">
        <is>
          <t>Earnings / Momentum Support</t>
        </is>
      </c>
      <c r="S61" s="31" t="inlineStr">
        <is>
          <t>Nifty Metal</t>
        </is>
      </c>
      <c r="T61" s="32" t="n">
        <v>34.77</v>
      </c>
      <c r="U61" s="32" t="n">
        <v>96.67</v>
      </c>
      <c r="V61" s="32" t="n">
        <v>45.94</v>
      </c>
      <c r="W61" s="32" t="n">
        <v>30.35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IF(B62=0,"",RANK(B62,$B$2:$B$95,0))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MODISONLTD</t>
        </is>
      </c>
      <c r="D62" s="34" t="inlineStr">
        <is>
          <t>Modison Ltd</t>
        </is>
      </c>
      <c r="E62" s="31" t="inlineStr">
        <is>
          <t>Industrials</t>
        </is>
      </c>
      <c r="F62" s="31" t="inlineStr">
        <is>
          <t>Capital Goods - Electric General</t>
        </is>
      </c>
      <c r="G62" s="31" t="inlineStr">
        <is>
          <t>smallcap</t>
        </is>
      </c>
      <c r="H62" s="32" t="n">
        <v>1017.96</v>
      </c>
      <c r="I62" s="32" t="n">
        <v>313.7</v>
      </c>
      <c r="J62" s="32" t="n">
        <v>4.99</v>
      </c>
      <c r="K62" s="32" t="n">
        <v>0</v>
      </c>
      <c r="L62" s="31" t="n">
        <v>83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58.35</v>
      </c>
      <c r="P62" s="32" t="n">
        <v>55.37</v>
      </c>
      <c r="Q62" s="32" t="n">
        <v>267.84</v>
      </c>
      <c r="R62" s="31" t="inlineStr">
        <is>
          <t>Earnings / Momentum Support</t>
        </is>
      </c>
      <c r="S62" s="31" t="inlineStr">
        <is>
          <t>Nifty 50</t>
        </is>
      </c>
      <c r="T62" s="32" t="n">
        <v>-1.01</v>
      </c>
      <c r="U62" s="32" t="n">
        <v>63.69</v>
      </c>
      <c r="V62" s="32" t="n">
        <v>65.36</v>
      </c>
      <c r="W62" s="32" t="n">
        <v>24.77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No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28</t>
        </is>
      </c>
      <c r="CG62" s="31">
        <f>IF(CF62&gt;20,10,IF(CF62&gt;=10,5,2))</f>
        <v/>
      </c>
    </row>
    <row r="63">
      <c r="A63" s="31">
        <f>IF(B63=0,"",RANK(B63,$B$2:$B$95,0))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GVT&amp;D</t>
        </is>
      </c>
      <c r="D63" s="34" t="inlineStr">
        <is>
          <t>GE Vernova T&amp;D India Ltd</t>
        </is>
      </c>
      <c r="E63" s="31" t="inlineStr">
        <is>
          <t>Industrials</t>
        </is>
      </c>
      <c r="F63" s="31" t="inlineStr">
        <is>
          <t>Electrical Equipments/HVDC</t>
        </is>
      </c>
      <c r="G63" s="31" t="inlineStr">
        <is>
          <t>largecap</t>
        </is>
      </c>
      <c r="H63" s="32" t="n">
        <v>122415.85</v>
      </c>
      <c r="I63" s="32" t="n">
        <v>4781</v>
      </c>
      <c r="J63" s="32" t="n">
        <v>0.55</v>
      </c>
      <c r="K63" s="32" t="n">
        <v>0</v>
      </c>
      <c r="L63" s="31" t="n">
        <v>36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49.54</v>
      </c>
      <c r="P63" s="32" t="n">
        <v>45.05</v>
      </c>
      <c r="Q63" s="32" t="n">
        <v>4134.09</v>
      </c>
      <c r="R63" s="31" t="inlineStr">
        <is>
          <t>Earnings / Momentum Support</t>
        </is>
      </c>
      <c r="S63" s="31" t="inlineStr">
        <is>
          <t>Nifty 500</t>
        </is>
      </c>
      <c r="T63" s="32" t="n">
        <v>3</v>
      </c>
      <c r="U63" s="32" t="n">
        <v>47.04</v>
      </c>
      <c r="V63" s="32" t="n">
        <v>42.76</v>
      </c>
      <c r="W63" s="32" t="n">
        <v>7.79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Below 45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IF(B64=0,"",RANK(B64,$B$2:$B$95,0))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CPPLUS</t>
        </is>
      </c>
      <c r="D64" s="34" t="inlineStr">
        <is>
          <t>Aditya Infotech Ltd</t>
        </is>
      </c>
      <c r="E64" s="31" t="inlineStr">
        <is>
          <t>Industrials</t>
        </is>
      </c>
      <c r="F64" s="31" t="inlineStr">
        <is>
          <t>CCTV Camera</t>
        </is>
      </c>
      <c r="G64" s="31" t="inlineStr">
        <is>
          <t>largecap</t>
        </is>
      </c>
      <c r="H64" s="32" t="n">
        <v>37873.61</v>
      </c>
      <c r="I64" s="32" t="n">
        <v>3213.7</v>
      </c>
      <c r="J64" s="32" t="n">
        <v>2.81</v>
      </c>
      <c r="K64" s="32" t="n">
        <v>0</v>
      </c>
      <c r="L64" s="31" t="n">
        <v>92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65.51000000000001</v>
      </c>
      <c r="P64" s="32" t="n">
        <v>72.86</v>
      </c>
      <c r="Q64" s="32" t="n">
        <v>2810.79</v>
      </c>
      <c r="R64" s="31" t="inlineStr">
        <is>
          <t>Earnings / Momentum Support</t>
        </is>
      </c>
      <c r="S64" s="31" t="inlineStr">
        <is>
          <t>Nifty 50</t>
        </is>
      </c>
      <c r="T64" s="32" t="n">
        <v>-0.19</v>
      </c>
      <c r="U64" s="32" t="n">
        <v>198.97</v>
      </c>
      <c r="V64" s="32" t="n">
        <v>199.53</v>
      </c>
      <c r="W64" s="32" t="n">
        <v>33.25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SANGHVIMOV</t>
        </is>
      </c>
      <c r="D65" s="34" t="inlineStr">
        <is>
          <t>Sanghvi Movers Ltd</t>
        </is>
      </c>
      <c r="E65" s="31" t="inlineStr">
        <is>
          <t>Industrials</t>
        </is>
      </c>
      <c r="F65" s="31" t="inlineStr">
        <is>
          <t>Capital Goods - EPC/Cranes</t>
        </is>
      </c>
      <c r="G65" s="31" t="inlineStr">
        <is>
          <t>smallcap</t>
        </is>
      </c>
      <c r="H65" s="32" t="n">
        <v>3094.66</v>
      </c>
      <c r="I65" s="32" t="n">
        <v>357.45</v>
      </c>
      <c r="J65" s="32" t="n">
        <v>2.61</v>
      </c>
      <c r="K65" s="32" t="n">
        <v>0</v>
      </c>
      <c r="L65" s="31" t="n">
        <v>77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61.7</v>
      </c>
      <c r="P65" s="32" t="n">
        <v>36.05</v>
      </c>
      <c r="Q65" s="32" t="n">
        <v>344.05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-1.01</v>
      </c>
      <c r="U65" s="32" t="n">
        <v>66.68000000000001</v>
      </c>
      <c r="V65" s="32" t="n">
        <v>68.38</v>
      </c>
      <c r="W65" s="32" t="n">
        <v>21.2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18</t>
        </is>
      </c>
      <c r="CG65" s="31">
        <f>IF(CF65&gt;20,10,IF(CF65&gt;=10,5,2))</f>
        <v/>
      </c>
    </row>
    <row r="66">
      <c r="A66" s="31">
        <f>IF(B66=0,"",RANK(B66,$B$2:$B$95,0))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DIVGIITTS</t>
        </is>
      </c>
      <c r="D66" s="34" t="inlineStr">
        <is>
          <t>Divgi Torqtransfer Systems Ltd</t>
        </is>
      </c>
      <c r="E66" s="31" t="inlineStr">
        <is>
          <t>auto</t>
        </is>
      </c>
      <c r="F66" s="31" t="inlineStr">
        <is>
          <t>Auto Ancillaries - Transmission</t>
        </is>
      </c>
      <c r="G66" s="31" t="inlineStr">
        <is>
          <t>smallcap</t>
        </is>
      </c>
      <c r="H66" s="32" t="n">
        <v>2414.37</v>
      </c>
      <c r="I66" s="32" t="n">
        <v>789.45</v>
      </c>
      <c r="J66" s="32" t="n">
        <v>-2.1</v>
      </c>
      <c r="K66" s="32" t="n">
        <v>0</v>
      </c>
      <c r="L66" s="31" t="n">
        <v>60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63.91</v>
      </c>
      <c r="P66" s="32" t="n">
        <v>40.95</v>
      </c>
      <c r="Q66" s="32" t="n">
        <v>769.0700000000001</v>
      </c>
      <c r="R66" s="31" t="inlineStr">
        <is>
          <t>Earnings / Momentum Support</t>
        </is>
      </c>
      <c r="S66" s="31" t="inlineStr">
        <is>
          <t>Nifty Auto</t>
        </is>
      </c>
      <c r="T66" s="32" t="n">
        <v>18.91</v>
      </c>
      <c r="U66" s="32" t="n">
        <v>48.49</v>
      </c>
      <c r="V66" s="32" t="n">
        <v>24.87</v>
      </c>
      <c r="W66" s="32" t="n">
        <v>14.5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RATEGAIN</t>
        </is>
      </c>
      <c r="D67" s="34" t="inlineStr">
        <is>
          <t>Rategain Travel Technologies Ltd</t>
        </is>
      </c>
      <c r="E67" s="31" t="inlineStr">
        <is>
          <t>Technology</t>
        </is>
      </c>
      <c r="F67" s="31" t="inlineStr">
        <is>
          <t>IT Product Companies</t>
        </is>
      </c>
      <c r="G67" s="31" t="inlineStr">
        <is>
          <t>midcap</t>
        </is>
      </c>
      <c r="H67" s="32" t="n">
        <v>9155.459999999999</v>
      </c>
      <c r="I67" s="32" t="n">
        <v>774.8</v>
      </c>
      <c r="J67" s="32" t="n">
        <v>-0.3</v>
      </c>
      <c r="K67" s="32" t="n">
        <v>0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69.55</v>
      </c>
      <c r="P67" s="32" t="n">
        <v>38.25</v>
      </c>
      <c r="Q67" s="32" t="n">
        <v>739.46</v>
      </c>
      <c r="R67" s="31" t="inlineStr">
        <is>
          <t>Earnings / Momentum Support</t>
        </is>
      </c>
      <c r="S67" s="31" t="inlineStr">
        <is>
          <t>Nifty IT</t>
        </is>
      </c>
      <c r="T67" s="32" t="n">
        <v>-9.970000000000001</v>
      </c>
      <c r="U67" s="32" t="n">
        <v>107.2</v>
      </c>
      <c r="V67" s="32" t="n">
        <v>130.15</v>
      </c>
      <c r="W67" s="32" t="n">
        <v>27.88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29</t>
        </is>
      </c>
      <c r="CG67" s="31">
        <f>IF(CF67&gt;20,10,IF(CF67&gt;=10,5,2))</f>
        <v/>
      </c>
    </row>
    <row r="68">
      <c r="A68" s="31">
        <f>IF(B68=0,"",RANK(B68,$B$2:$B$95,0))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VIYASH</t>
        </is>
      </c>
      <c r="D68" s="34" t="inlineStr">
        <is>
          <t>Viyash Scientific Ltd</t>
        </is>
      </c>
      <c r="E68" s="31" t="inlineStr">
        <is>
          <t>Healthcare</t>
        </is>
      </c>
      <c r="F68" s="31" t="inlineStr">
        <is>
          <t>Pharma - Animal</t>
        </is>
      </c>
      <c r="G68" s="31" t="inlineStr">
        <is>
          <t>midcap</t>
        </is>
      </c>
      <c r="H68" s="32" t="n">
        <v>10919.7</v>
      </c>
      <c r="I68" s="32" t="n">
        <v>249.95</v>
      </c>
      <c r="J68" s="32" t="n">
        <v>-0.18</v>
      </c>
      <c r="K68" s="32" t="n">
        <v>0</v>
      </c>
      <c r="L68" s="31" t="n">
        <v>59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55.78</v>
      </c>
      <c r="P68" s="32" t="n">
        <v>45.98</v>
      </c>
      <c r="Q68" s="32" t="n">
        <v>228.59</v>
      </c>
      <c r="R68" s="31" t="inlineStr">
        <is>
          <t>Earnings / Momentum Support</t>
        </is>
      </c>
      <c r="S68" s="31" t="inlineStr">
        <is>
          <t>Nifty Pharma</t>
        </is>
      </c>
      <c r="T68" s="32" t="n">
        <v>19.69</v>
      </c>
      <c r="U68" s="32" t="n">
        <v>49.4</v>
      </c>
      <c r="V68" s="32" t="n">
        <v>24.82</v>
      </c>
      <c r="W68" s="32" t="n">
        <v>13.91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IF(B69=0,"",RANK(B69,$B$2:$B$95,0))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SPARC</t>
        </is>
      </c>
      <c r="D69" s="34" t="inlineStr">
        <is>
          <t>Sun Pharma Advanced Research Company Ltd</t>
        </is>
      </c>
      <c r="E69" s="31" t="inlineStr">
        <is>
          <t>Healthcare</t>
        </is>
      </c>
      <c r="F69" s="31" t="inlineStr">
        <is>
          <t>Pharma - Others</t>
        </is>
      </c>
      <c r="G69" s="31" t="inlineStr">
        <is>
          <t>midcap</t>
        </is>
      </c>
      <c r="H69" s="32" t="n">
        <v>6628.03</v>
      </c>
      <c r="I69" s="32" t="n">
        <v>204.24</v>
      </c>
      <c r="J69" s="32" t="n">
        <v>4.01</v>
      </c>
      <c r="K69" s="32" t="n">
        <v>0</v>
      </c>
      <c r="L69" s="31" t="n">
        <v>70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56.06</v>
      </c>
      <c r="P69" s="32" t="n">
        <v>63.15</v>
      </c>
      <c r="Q69" s="32" t="n">
        <v>188.44</v>
      </c>
      <c r="R69" s="31" t="inlineStr">
        <is>
          <t>Earnings / Momentum Support</t>
        </is>
      </c>
      <c r="S69" s="31" t="inlineStr">
        <is>
          <t>Nifty Pharma</t>
        </is>
      </c>
      <c r="T69" s="32" t="n">
        <v>19.69</v>
      </c>
      <c r="U69" s="32" t="n">
        <v>39.1</v>
      </c>
      <c r="V69" s="32" t="n">
        <v>16.22</v>
      </c>
      <c r="W69" s="32" t="n">
        <v>17.51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IF(B70=0,"",RANK(B70,$B$2:$B$95,0))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SKIPPER</t>
        </is>
      </c>
      <c r="D70" s="34" t="inlineStr">
        <is>
          <t>Skipper Ltd</t>
        </is>
      </c>
      <c r="E70" s="31" t="inlineStr">
        <is>
          <t>Industrials</t>
        </is>
      </c>
      <c r="F70" s="31" t="inlineStr">
        <is>
          <t>Electrical Equipments/HVDC</t>
        </is>
      </c>
      <c r="G70" s="31" t="inlineStr">
        <is>
          <t>midcap</t>
        </is>
      </c>
      <c r="H70" s="32" t="n">
        <v>6464.53</v>
      </c>
      <c r="I70" s="32" t="n">
        <v>572.4</v>
      </c>
      <c r="J70" s="32" t="n">
        <v>4.58</v>
      </c>
      <c r="K70" s="32" t="n">
        <v>0</v>
      </c>
      <c r="L70" s="31" t="n">
        <v>41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58.79</v>
      </c>
      <c r="P70" s="32" t="n">
        <v>36.6</v>
      </c>
      <c r="Q70" s="32" t="n">
        <v>437.29</v>
      </c>
      <c r="R70" s="31" t="inlineStr">
        <is>
          <t>Earnings / Momentum Support</t>
        </is>
      </c>
      <c r="S70" s="31" t="inlineStr">
        <is>
          <t>Nifty Infra</t>
        </is>
      </c>
      <c r="T70" s="32" t="n">
        <v>3.07</v>
      </c>
      <c r="U70" s="32" t="n">
        <v>15.07</v>
      </c>
      <c r="V70" s="32" t="n">
        <v>11.64</v>
      </c>
      <c r="W70" s="32" t="n">
        <v>9.08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32</t>
        </is>
      </c>
      <c r="CG70" s="31">
        <f>IF(CF70&gt;20,10,IF(CF70&gt;=10,5,2))</f>
        <v/>
      </c>
    </row>
    <row r="71">
      <c r="A71" s="31">
        <f>IF(B71=0,"",RANK(B71,$B$2:$B$95,0))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FCL</t>
        </is>
      </c>
      <c r="D71" s="34" t="inlineStr">
        <is>
          <t>Fineotex Chemical Ltd</t>
        </is>
      </c>
      <c r="E71" s="31" t="inlineStr">
        <is>
          <t>Basic Materials</t>
        </is>
      </c>
      <c r="F71" s="31" t="inlineStr">
        <is>
          <t>Speciality Chemicals</t>
        </is>
      </c>
      <c r="G71" s="31" t="inlineStr">
        <is>
          <t>smallcap</t>
        </is>
      </c>
      <c r="H71" s="32" t="n">
        <v>4932.83</v>
      </c>
      <c r="I71" s="32" t="n">
        <v>42.36</v>
      </c>
      <c r="J71" s="32" t="n">
        <v>3.6</v>
      </c>
      <c r="K71" s="32" t="n">
        <v>0</v>
      </c>
      <c r="L71" s="31" t="n">
        <v>83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60.25</v>
      </c>
      <c r="P71" s="32" t="n">
        <v>48.01</v>
      </c>
      <c r="Q71" s="32" t="n">
        <v>31.1</v>
      </c>
      <c r="R71" s="31" t="inlineStr">
        <is>
          <t>Earnings / Momentum Support</t>
        </is>
      </c>
      <c r="S71" s="31" t="inlineStr">
        <is>
          <t>Nifty 50</t>
        </is>
      </c>
      <c r="T71" s="32" t="n">
        <v>-1.01</v>
      </c>
      <c r="U71" s="32" t="n">
        <v>48.57</v>
      </c>
      <c r="V71" s="32" t="n">
        <v>50.08</v>
      </c>
      <c r="W71" s="32" t="n">
        <v>24.73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30</t>
        </is>
      </c>
      <c r="CG71" s="31">
        <f>IF(CF71&gt;20,10,IF(CF71&gt;=10,5,2))</f>
        <v/>
      </c>
    </row>
    <row r="72">
      <c r="A72" s="31">
        <f>IF(B72=0,"",RANK(B72,$B$2:$B$95,0))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ACUTAAS</t>
        </is>
      </c>
      <c r="D72" s="31" t="inlineStr">
        <is>
          <t>Acutaas Chemicals Ltd</t>
        </is>
      </c>
      <c r="E72" s="31" t="inlineStr">
        <is>
          <t>Basic Materials</t>
        </is>
      </c>
      <c r="F72" s="31" t="inlineStr">
        <is>
          <t>Pharma - API &amp; CRAMS</t>
        </is>
      </c>
      <c r="G72" s="31" t="inlineStr">
        <is>
          <t>largecap</t>
        </is>
      </c>
      <c r="H72" s="32" t="n">
        <v>24869.17</v>
      </c>
      <c r="I72" s="32" t="n">
        <v>3037.6</v>
      </c>
      <c r="J72" s="32" t="n">
        <v>0.62</v>
      </c>
      <c r="K72" s="32" t="n">
        <v>0</v>
      </c>
      <c r="L72" s="31" t="n">
        <v>85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60.34</v>
      </c>
      <c r="P72" s="32" t="n">
        <v>68.41</v>
      </c>
      <c r="Q72" s="32" t="n">
        <v>2810.04</v>
      </c>
      <c r="R72" s="31" t="inlineStr">
        <is>
          <t>Earnings / Momentum Support</t>
        </is>
      </c>
      <c r="S72" s="31" t="inlineStr">
        <is>
          <t>Nifty 50</t>
        </is>
      </c>
      <c r="T72" s="32" t="n">
        <v>-1.01</v>
      </c>
      <c r="U72" s="32" t="n">
        <v>149.68</v>
      </c>
      <c r="V72" s="32" t="n">
        <v>152.23</v>
      </c>
      <c r="W72" s="32" t="n">
        <v>26.1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27</t>
        </is>
      </c>
      <c r="CG72" s="31">
        <f>IF(CF72&gt;20,10,IF(CF72&gt;=10,5,2))</f>
        <v/>
      </c>
    </row>
    <row r="73">
      <c r="A73" s="31">
        <f>IF(B73=0,"",RANK(B73,$B$2:$B$95,0))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SEAMECLTD</t>
        </is>
      </c>
      <c r="D73" s="34" t="inlineStr">
        <is>
          <t>SEAMEC Ltd</t>
        </is>
      </c>
      <c r="E73" s="31" t="inlineStr">
        <is>
          <t>Industrials</t>
        </is>
      </c>
      <c r="F73" s="31" t="inlineStr">
        <is>
          <t>Shipping</t>
        </is>
      </c>
      <c r="G73" s="31" t="inlineStr">
        <is>
          <t>smallcap</t>
        </is>
      </c>
      <c r="H73" s="32" t="n">
        <v>4178.09</v>
      </c>
      <c r="I73" s="32" t="n">
        <v>1643.3</v>
      </c>
      <c r="J73" s="32" t="n">
        <v>1.16</v>
      </c>
      <c r="K73" s="32" t="n">
        <v>0</v>
      </c>
      <c r="L73" s="31" t="n">
        <v>52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52.56</v>
      </c>
      <c r="P73" s="32" t="n">
        <v>30.65</v>
      </c>
      <c r="Q73" s="32" t="n">
        <v>1234.73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-1.01</v>
      </c>
      <c r="U73" s="32" t="n">
        <v>80.29000000000001</v>
      </c>
      <c r="V73" s="32" t="n">
        <v>82.13</v>
      </c>
      <c r="W73" s="32" t="n">
        <v>11.89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25</t>
        </is>
      </c>
      <c r="CG73" s="31">
        <f>IF(CF73&gt;20,10,IF(CF73&gt;=10,5,2))</f>
        <v/>
      </c>
    </row>
    <row r="74">
      <c r="A74" s="31">
        <f>IF(B74=0,"",RANK(B74,$B$2:$B$95,0))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SANDHAR</t>
        </is>
      </c>
      <c r="D74" s="34" t="inlineStr">
        <is>
          <t>Sandhar Technologies Limited</t>
        </is>
      </c>
      <c r="E74" s="31" t="inlineStr">
        <is>
          <t>Consumer Cyclical</t>
        </is>
      </c>
      <c r="F74" s="31" t="inlineStr">
        <is>
          <t>Auto Ancillaries - 2&amp;3 Wheelers</t>
        </is>
      </c>
      <c r="G74" s="31" t="inlineStr">
        <is>
          <t>smallcap</t>
        </is>
      </c>
      <c r="H74" s="32" t="n">
        <v>4196.2</v>
      </c>
      <c r="I74" s="32" t="n">
        <v>697.15</v>
      </c>
      <c r="J74" s="32" t="n">
        <v>3.05</v>
      </c>
      <c r="K74" s="32" t="n">
        <v>0</v>
      </c>
      <c r="L74" s="31" t="n">
        <v>46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51.77</v>
      </c>
      <c r="P74" s="32" t="n">
        <v>33.68</v>
      </c>
      <c r="Q74" s="32" t="n">
        <v>537.28</v>
      </c>
      <c r="R74" s="31" t="inlineStr">
        <is>
          <t>Earnings / Momentum Support</t>
        </is>
      </c>
      <c r="S74" s="31" t="inlineStr">
        <is>
          <t>Nifty Auto</t>
        </is>
      </c>
      <c r="T74" s="32" t="n">
        <v>18.91</v>
      </c>
      <c r="U74" s="32" t="n">
        <v>21.67</v>
      </c>
      <c r="V74" s="32" t="n">
        <v>2.32</v>
      </c>
      <c r="W74" s="32" t="n">
        <v>10.1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B2C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24</t>
        </is>
      </c>
      <c r="CG74" s="31">
        <f>IF(CF74&gt;20,10,IF(CF74&gt;=10,5,2))</f>
        <v/>
      </c>
    </row>
    <row r="75">
      <c r="A75" s="31">
        <f>IF(B75=0,"",RANK(B75,$B$2:$B$95,0))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ASHAPURMIN</t>
        </is>
      </c>
      <c r="D75" s="34" t="inlineStr">
        <is>
          <t>Ashapura Minechem Ltd</t>
        </is>
      </c>
      <c r="E75" s="31" t="inlineStr">
        <is>
          <t>Basic Materials</t>
        </is>
      </c>
      <c r="F75" s="31" t="inlineStr">
        <is>
          <t>Mining/Minerals</t>
        </is>
      </c>
      <c r="G75" s="31" t="inlineStr">
        <is>
          <t>midcap</t>
        </is>
      </c>
      <c r="H75" s="32" t="n">
        <v>6939.97</v>
      </c>
      <c r="I75" s="32" t="n">
        <v>726.5</v>
      </c>
      <c r="J75" s="32" t="n">
        <v>1.42</v>
      </c>
      <c r="K75" s="32" t="n">
        <v>0</v>
      </c>
      <c r="L75" s="31" t="n">
        <v>40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57.32</v>
      </c>
      <c r="P75" s="32" t="n">
        <v>21.52</v>
      </c>
      <c r="Q75" s="32" t="n">
        <v>556.09</v>
      </c>
      <c r="R75" s="31" t="inlineStr">
        <is>
          <t>Earnings / Momentum Support</t>
        </is>
      </c>
      <c r="S75" s="31" t="inlineStr">
        <is>
          <t>Nifty Metal</t>
        </is>
      </c>
      <c r="T75" s="32" t="n">
        <v>34.77</v>
      </c>
      <c r="U75" s="32" t="n">
        <v>29.31</v>
      </c>
      <c r="V75" s="32" t="n">
        <v>-4.05</v>
      </c>
      <c r="W75" s="32" t="n">
        <v>8.82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VMARCIND</t>
        </is>
      </c>
      <c r="D76" s="34" t="inlineStr">
        <is>
          <t>V-Marc India Ltd</t>
        </is>
      </c>
      <c r="E76" s="31" t="inlineStr">
        <is>
          <t>unknown</t>
        </is>
      </c>
      <c r="F76" s="31" t="inlineStr">
        <is>
          <t>Cables - Power</t>
        </is>
      </c>
      <c r="G76" s="31" t="inlineStr">
        <is>
          <t>smallcap</t>
        </is>
      </c>
      <c r="H76" s="32" t="n">
        <v>3508.4</v>
      </c>
      <c r="I76" s="32" t="n">
        <v>1436.65</v>
      </c>
      <c r="J76" s="32" t="n">
        <v>2.26</v>
      </c>
      <c r="K76" s="32" t="n">
        <v>0</v>
      </c>
      <c r="L76" s="31" t="n">
        <v>1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34.8</v>
      </c>
      <c r="P76" s="32" t="n">
        <v>48.82</v>
      </c>
      <c r="Q76" s="32" t="n">
        <v>1074.14</v>
      </c>
      <c r="R76" s="31" t="inlineStr">
        <is>
          <t>Earnings / Momentum Support</t>
        </is>
      </c>
      <c r="S76" s="31" t="inlineStr">
        <is>
          <t>Nifty 50</t>
        </is>
      </c>
      <c r="T76" s="32" t="n">
        <v>-1.01</v>
      </c>
      <c r="U76" s="32" t="n">
        <v>-39.38</v>
      </c>
      <c r="V76" s="32" t="n">
        <v>-38.76</v>
      </c>
      <c r="W76" s="32" t="n">
        <v>-9.9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Below 45</t>
        </is>
      </c>
      <c r="BA76" s="31">
        <f>IF(AZ76="Between 50 to 75",10,IF(AZ76="Above 75",0,0))</f>
        <v/>
      </c>
      <c r="BB76" s="31" t="inlineStr">
        <is>
          <t>Stage 4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No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25</t>
        </is>
      </c>
      <c r="CG76" s="31">
        <f>IF(CF76&gt;20,10,IF(CF76&gt;=10,5,2))</f>
        <v/>
      </c>
    </row>
    <row r="77">
      <c r="A77" s="31">
        <f>IF(B77=0,"",RANK(B77,$B$2:$B$95,0))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KERNEX</t>
        </is>
      </c>
      <c r="D77" s="31" t="inlineStr">
        <is>
          <t>Kernex Microsystems (India) Ltd</t>
        </is>
      </c>
      <c r="E77" s="31" t="inlineStr">
        <is>
          <t>consumer discretionary</t>
        </is>
      </c>
      <c r="F77" s="31" t="inlineStr">
        <is>
          <t>Railways - Kavach/Springs</t>
        </is>
      </c>
      <c r="G77" s="31" t="inlineStr">
        <is>
          <t>smallcap</t>
        </is>
      </c>
      <c r="H77" s="32" t="n">
        <v>3032.33</v>
      </c>
      <c r="I77" s="32" t="n">
        <v>1804.7</v>
      </c>
      <c r="J77" s="32" t="n">
        <v>-1.74</v>
      </c>
      <c r="K77" s="32" t="n">
        <v>0</v>
      </c>
      <c r="L77" s="31" t="n">
        <v>89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68.14</v>
      </c>
      <c r="P77" s="32" t="n">
        <v>56.59</v>
      </c>
      <c r="Q77" s="32" t="n">
        <v>1729.95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-1.01</v>
      </c>
      <c r="U77" s="32" t="n">
        <v>99.94</v>
      </c>
      <c r="V77" s="32" t="n">
        <v>101.98</v>
      </c>
      <c r="W77" s="32" t="n">
        <v>30.09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25</t>
        </is>
      </c>
      <c r="CG77" s="31">
        <f>IF(CF77&gt;20,10,IF(CF77&gt;=10,5,2))</f>
        <v/>
      </c>
    </row>
    <row r="78">
      <c r="A78" s="31">
        <f>IF(B78=0,"",RANK(B78,$B$2:$B$95,0))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ANTELOPUS</t>
        </is>
      </c>
      <c r="D78" s="34" t="inlineStr">
        <is>
          <t>Antelopus Selan Energy Ltd</t>
        </is>
      </c>
      <c r="E78" s="31" t="inlineStr">
        <is>
          <t>Energy</t>
        </is>
      </c>
      <c r="F78" s="31" t="inlineStr">
        <is>
          <t>Oil Drilling &amp; Exploration</t>
        </is>
      </c>
      <c r="G78" s="31" t="inlineStr">
        <is>
          <t>smallcap</t>
        </is>
      </c>
      <c r="H78" s="32" t="n">
        <v>3003.57</v>
      </c>
      <c r="I78" s="32" t="n">
        <v>854.2</v>
      </c>
      <c r="J78" s="32" t="n">
        <v>5</v>
      </c>
      <c r="K78" s="32" t="n">
        <v>0</v>
      </c>
      <c r="L78" s="31" t="n">
        <v>54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57.03</v>
      </c>
      <c r="P78" s="32" t="n">
        <v>50.95</v>
      </c>
      <c r="Q78" s="32" t="n">
        <v>622.54</v>
      </c>
      <c r="R78" s="31" t="inlineStr">
        <is>
          <t>Volume Spike / Accumulation</t>
        </is>
      </c>
      <c r="S78" s="31" t="inlineStr">
        <is>
          <t>Nifty Energy</t>
        </is>
      </c>
      <c r="T78" s="32" t="n">
        <v>8.69</v>
      </c>
      <c r="U78" s="32" t="n">
        <v>27.93</v>
      </c>
      <c r="V78" s="32" t="n">
        <v>17.71</v>
      </c>
      <c r="W78" s="32" t="n">
        <v>12.17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BHAGYANGR</t>
        </is>
      </c>
      <c r="D79" s="31" t="inlineStr">
        <is>
          <t>Bhagyanagar India Ltd</t>
        </is>
      </c>
      <c r="E79" s="31" t="inlineStr">
        <is>
          <t>Basic Materials</t>
        </is>
      </c>
      <c r="F79" s="31" t="inlineStr">
        <is>
          <t>Recycling</t>
        </is>
      </c>
      <c r="G79" s="31" t="inlineStr">
        <is>
          <t>smallcap</t>
        </is>
      </c>
      <c r="H79" s="32" t="n">
        <v>1034.08</v>
      </c>
      <c r="I79" s="32" t="n">
        <v>323.2</v>
      </c>
      <c r="J79" s="32" t="n">
        <v>4.99</v>
      </c>
      <c r="K79" s="32" t="n">
        <v>0</v>
      </c>
      <c r="L79" s="31" t="n">
        <v>96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66.90000000000001</v>
      </c>
      <c r="P79" s="32" t="n">
        <v>71.33</v>
      </c>
      <c r="Q79" s="32" t="n">
        <v>281.83</v>
      </c>
      <c r="R79" s="31" t="inlineStr">
        <is>
          <t>Earnings / Momentum Support</t>
        </is>
      </c>
      <c r="S79" s="31" t="inlineStr">
        <is>
          <t>Nifty 50</t>
        </is>
      </c>
      <c r="T79" s="32" t="n">
        <v>-1.01</v>
      </c>
      <c r="U79" s="32" t="n">
        <v>298.91</v>
      </c>
      <c r="V79" s="32" t="n">
        <v>302.98</v>
      </c>
      <c r="W79" s="32" t="n">
        <v>40.95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JNKINDIA</t>
        </is>
      </c>
      <c r="D80" s="34" t="inlineStr">
        <is>
          <t>JNK India Ltd</t>
        </is>
      </c>
      <c r="E80" s="31" t="inlineStr">
        <is>
          <t>Industrials</t>
        </is>
      </c>
      <c r="F80" s="31" t="inlineStr">
        <is>
          <t>Capital Goods - Engineering Heavy</t>
        </is>
      </c>
      <c r="G80" s="31" t="inlineStr">
        <is>
          <t>smallcap</t>
        </is>
      </c>
      <c r="H80" s="32" t="n">
        <v>2022.17</v>
      </c>
      <c r="I80" s="32" t="n">
        <v>361.4</v>
      </c>
      <c r="J80" s="32" t="n">
        <v>1.32</v>
      </c>
      <c r="K80" s="32" t="n">
        <v>0</v>
      </c>
      <c r="L80" s="31" t="n">
        <v>69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63.03</v>
      </c>
      <c r="P80" s="32" t="n">
        <v>48.59</v>
      </c>
      <c r="Q80" s="32" t="n">
        <v>357.91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-1.01</v>
      </c>
      <c r="U80" s="32" t="n">
        <v>42.33</v>
      </c>
      <c r="V80" s="32" t="n">
        <v>43.78</v>
      </c>
      <c r="W80" s="32" t="n">
        <v>17.08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22</t>
        </is>
      </c>
      <c r="CG80" s="31">
        <f>IF(CF80&gt;20,10,IF(CF80&gt;=10,5,2))</f>
        <v/>
      </c>
    </row>
    <row r="81">
      <c r="A81" s="31">
        <f>IF(B81=0,"",RANK(B81,$B$2:$B$95,0))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GOCLCORP</t>
        </is>
      </c>
      <c r="D81" s="34" t="inlineStr">
        <is>
          <t>GOCL Corporation Ltd</t>
        </is>
      </c>
      <c r="E81" s="31" t="inlineStr">
        <is>
          <t>Basic Materials</t>
        </is>
      </c>
      <c r="F81" s="31" t="inlineStr">
        <is>
          <t>Lubricants</t>
        </is>
      </c>
      <c r="G81" s="31" t="inlineStr">
        <is>
          <t>smallcap</t>
        </is>
      </c>
      <c r="H81" s="32" t="n">
        <v>1986.87</v>
      </c>
      <c r="I81" s="32" t="n">
        <v>400.8</v>
      </c>
      <c r="J81" s="32" t="n">
        <v>2.65</v>
      </c>
      <c r="K81" s="32" t="n">
        <v>0</v>
      </c>
      <c r="L81" s="31" t="n">
        <v>35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59.05</v>
      </c>
      <c r="P81" s="32" t="n">
        <v>40.89</v>
      </c>
      <c r="Q81" s="32" t="n">
        <v>336.43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-1.01</v>
      </c>
      <c r="U81" s="32" t="n">
        <v>10.71</v>
      </c>
      <c r="V81" s="32" t="n">
        <v>11.84</v>
      </c>
      <c r="W81" s="32" t="n">
        <v>7.68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IF(B82=0,"",RANK(B82,$B$2:$B$95,0))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ROBU</t>
        </is>
      </c>
      <c r="D82" s="34" t="inlineStr">
        <is>
          <t>Macfos Ltd</t>
        </is>
      </c>
      <c r="E82" s="31" t="inlineStr">
        <is>
          <t>Technology</t>
        </is>
      </c>
      <c r="F82" s="31" t="inlineStr">
        <is>
          <t>E-Commerce - Platform - Utility</t>
        </is>
      </c>
      <c r="G82" s="31" t="inlineStr">
        <is>
          <t>smallcap</t>
        </is>
      </c>
      <c r="H82" s="32" t="n">
        <v>1212.98</v>
      </c>
      <c r="I82" s="32" t="n">
        <v>1171</v>
      </c>
      <c r="J82" s="32" t="n">
        <v>1.83</v>
      </c>
      <c r="K82" s="32" t="n">
        <v>0</v>
      </c>
      <c r="L82" s="31" t="n">
        <v>51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57.99</v>
      </c>
      <c r="P82" s="32" t="n">
        <v>66.51000000000001</v>
      </c>
      <c r="Q82" s="32" t="n">
        <v>881.1799999999999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-1.01</v>
      </c>
      <c r="U82" s="32" t="n">
        <v>53</v>
      </c>
      <c r="V82" s="32" t="n">
        <v>54.56</v>
      </c>
      <c r="W82" s="32" t="n">
        <v>11.57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23</t>
        </is>
      </c>
      <c r="CG82" s="31">
        <f>IF(CF82&gt;20,10,IF(CF82&gt;=10,5,2))</f>
        <v/>
      </c>
    </row>
    <row r="83">
      <c r="A83" s="31">
        <f>IF(B83=0,"",RANK(B83,$B$2:$B$95,0))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PTCIL</t>
        </is>
      </c>
      <c r="D83" s="34" t="inlineStr">
        <is>
          <t>PTC Industries Ltd</t>
        </is>
      </c>
      <c r="E83" s="31" t="inlineStr">
        <is>
          <t>Industrials</t>
        </is>
      </c>
      <c r="F83" s="31" t="inlineStr">
        <is>
          <t>Castings - Steel/Alloy</t>
        </is>
      </c>
      <c r="G83" s="31" t="inlineStr">
        <is>
          <t>largecap</t>
        </is>
      </c>
      <c r="H83" s="32" t="n">
        <v>29055.56</v>
      </c>
      <c r="I83" s="32" t="n">
        <v>19380</v>
      </c>
      <c r="J83" s="32" t="n">
        <v>4.82</v>
      </c>
      <c r="K83" s="32" t="n">
        <v>0</v>
      </c>
      <c r="L83" s="31" t="n">
        <v>29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54.44</v>
      </c>
      <c r="P83" s="32" t="n">
        <v>15.93</v>
      </c>
      <c r="Q83" s="32" t="n">
        <v>14859.37</v>
      </c>
      <c r="R83" s="31" t="inlineStr">
        <is>
          <t>Earnings / Momentum Support</t>
        </is>
      </c>
      <c r="S83" s="31" t="inlineStr">
        <is>
          <t>Nifty Metal</t>
        </is>
      </c>
      <c r="T83" s="32" t="n">
        <v>34.77</v>
      </c>
      <c r="U83" s="32" t="n">
        <v>21.64</v>
      </c>
      <c r="V83" s="32" t="n">
        <v>-9.74</v>
      </c>
      <c r="W83" s="32" t="n">
        <v>6.4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26</t>
        </is>
      </c>
      <c r="CG83" s="31">
        <f>IF(CF83&gt;20,10,IF(CF83&gt;=10,5,2))</f>
        <v/>
      </c>
    </row>
    <row r="84">
      <c r="A84" s="31">
        <f>IF(B84=0,"",RANK(B84,$B$2:$B$95,0))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3" t="inlineStr">
        <is>
          <t>LLOYDSME</t>
        </is>
      </c>
      <c r="D84" s="33" t="inlineStr">
        <is>
          <t>Lloyds Metals &amp; Energy Ltd</t>
        </is>
      </c>
      <c r="E84" s="31" t="inlineStr">
        <is>
          <t>metals &amp; mining</t>
        </is>
      </c>
      <c r="F84" s="31" t="inlineStr">
        <is>
          <t>Mining/Minerals - Iron Ore</t>
        </is>
      </c>
      <c r="G84" s="31" t="inlineStr">
        <is>
          <t>largecap</t>
        </is>
      </c>
      <c r="H84" s="32" t="n">
        <v>102522.56</v>
      </c>
      <c r="I84" s="32" t="n">
        <v>1821.7</v>
      </c>
      <c r="J84" s="32" t="n">
        <v>0.23</v>
      </c>
      <c r="K84" s="32" t="n">
        <v>0</v>
      </c>
      <c r="L84" s="31" t="n">
        <v>55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77.17</v>
      </c>
      <c r="P84" s="32" t="n">
        <v>44.84</v>
      </c>
      <c r="Q84" s="32" t="n">
        <v>1671.19</v>
      </c>
      <c r="R84" s="31" t="inlineStr">
        <is>
          <t>Near 52W High Breakout</t>
        </is>
      </c>
      <c r="S84" s="31" t="inlineStr">
        <is>
          <t>Nifty Metal</t>
        </is>
      </c>
      <c r="T84" s="32" t="n">
        <v>34.77</v>
      </c>
      <c r="U84" s="32" t="n">
        <v>34.04</v>
      </c>
      <c r="V84" s="32" t="n">
        <v>-0.54</v>
      </c>
      <c r="W84" s="32" t="n">
        <v>12.43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 and Borrowings are increasing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23</t>
        </is>
      </c>
      <c r="CG84" s="31">
        <f>IF(CF84&gt;20,10,IF(CF84&gt;=10,5,2))</f>
        <v/>
      </c>
    </row>
    <row r="85">
      <c r="A85" s="31">
        <f>IF(B85=0,"",RANK(B85,$B$2:$B$95,0))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SASKEN</t>
        </is>
      </c>
      <c r="D85" s="34" t="inlineStr">
        <is>
          <t>Sasken Technologies Ltd</t>
        </is>
      </c>
      <c r="E85" s="31" t="inlineStr">
        <is>
          <t>Technology</t>
        </is>
      </c>
      <c r="F85" s="31" t="inlineStr">
        <is>
          <t>IT - Software</t>
        </is>
      </c>
      <c r="G85" s="31" t="inlineStr">
        <is>
          <t>smallcap</t>
        </is>
      </c>
      <c r="H85" s="32" t="n">
        <v>3551.36</v>
      </c>
      <c r="I85" s="32" t="n">
        <v>2338.5</v>
      </c>
      <c r="J85" s="32" t="n">
        <v>3.01</v>
      </c>
      <c r="K85" s="32" t="n">
        <v>0</v>
      </c>
      <c r="L85" s="31" t="n">
        <v>52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50.98</v>
      </c>
      <c r="P85" s="32" t="n">
        <v>47.39</v>
      </c>
      <c r="Q85" s="32" t="n">
        <v>1863.2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-1.01</v>
      </c>
      <c r="U85" s="32" t="n">
        <v>21.7</v>
      </c>
      <c r="V85" s="32" t="n">
        <v>22.94</v>
      </c>
      <c r="W85" s="32" t="n">
        <v>11.84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No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23</t>
        </is>
      </c>
      <c r="CG85" s="31">
        <f>IF(CF85&gt;20,10,IF(CF85&gt;=10,5,2))</f>
        <v/>
      </c>
    </row>
    <row r="86">
      <c r="A86" s="31">
        <f>IF(B86=0,"",RANK(B86,$B$2:$B$95,0))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MTARTECH</t>
        </is>
      </c>
      <c r="D86" s="34" t="inlineStr">
        <is>
          <t>MTAR Technologies Ltd</t>
        </is>
      </c>
      <c r="E86" s="31" t="inlineStr">
        <is>
          <t>Industrials</t>
        </is>
      </c>
      <c r="F86" s="31" t="inlineStr">
        <is>
          <t>Aerospace &amp; Defence - Equipments</t>
        </is>
      </c>
      <c r="G86" s="31" t="inlineStr">
        <is>
          <t>largecap</t>
        </is>
      </c>
      <c r="H86" s="32" t="n">
        <v>22196.12</v>
      </c>
      <c r="I86" s="32" t="n">
        <v>7216</v>
      </c>
      <c r="J86" s="32" t="n">
        <v>2.07</v>
      </c>
      <c r="K86" s="32" t="n">
        <v>0</v>
      </c>
      <c r="L86" s="31" t="n">
        <v>93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48.53</v>
      </c>
      <c r="P86" s="32" t="n">
        <v>49.81</v>
      </c>
      <c r="Q86" s="32" t="n">
        <v>5982.42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-1.01</v>
      </c>
      <c r="U86" s="32" t="n">
        <v>281.92</v>
      </c>
      <c r="V86" s="32" t="n">
        <v>285.82</v>
      </c>
      <c r="W86" s="32" t="n">
        <v>35.54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Below 45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No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21</t>
        </is>
      </c>
      <c r="CG86" s="31">
        <f>IF(CF86&gt;20,10,IF(CF86&gt;=10,5,2))</f>
        <v/>
      </c>
    </row>
    <row r="87">
      <c r="A87" s="31">
        <f>IF(B87=0,"",RANK(B87,$B$2:$B$95,0))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KINGFA</t>
        </is>
      </c>
      <c r="D87" s="34" t="inlineStr">
        <is>
          <t>Kingfa Science &amp; Technology (India) Ltd</t>
        </is>
      </c>
      <c r="E87" s="31" t="inlineStr">
        <is>
          <t>Basic Materials</t>
        </is>
      </c>
      <c r="F87" s="31" t="inlineStr">
        <is>
          <t>Plastics - Plastic &amp; Plastic Products</t>
        </is>
      </c>
      <c r="G87" s="31" t="inlineStr">
        <is>
          <t>midcap</t>
        </is>
      </c>
      <c r="H87" s="32" t="n">
        <v>7236.44</v>
      </c>
      <c r="I87" s="32" t="n">
        <v>5340</v>
      </c>
      <c r="J87" s="32" t="n">
        <v>0.83</v>
      </c>
      <c r="K87" s="32" t="n">
        <v>0</v>
      </c>
      <c r="L87" s="31" t="n">
        <v>56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56.38</v>
      </c>
      <c r="P87" s="32" t="n">
        <v>28.9</v>
      </c>
      <c r="Q87" s="32" t="n">
        <v>4329.22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-1.01</v>
      </c>
      <c r="U87" s="32" t="n">
        <v>59.03</v>
      </c>
      <c r="V87" s="32" t="n">
        <v>60.66</v>
      </c>
      <c r="W87" s="32" t="n">
        <v>12.54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20</t>
        </is>
      </c>
      <c r="CG87" s="31">
        <f>IF(CF87&gt;20,10,IF(CF87&gt;=10,5,2))</f>
        <v/>
      </c>
    </row>
    <row r="88">
      <c r="A88" s="31">
        <f>IF(B88=0,"",RANK(B88,$B$2:$B$95,0))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KSHINTL</t>
        </is>
      </c>
      <c r="D88" s="34" t="inlineStr">
        <is>
          <t>KSH International Ltd</t>
        </is>
      </c>
      <c r="E88" s="31" t="inlineStr">
        <is>
          <t>Industrials</t>
        </is>
      </c>
      <c r="F88" s="31" t="inlineStr">
        <is>
          <t>Electrical Equipments/HVDC</t>
        </is>
      </c>
      <c r="G88" s="31" t="inlineStr">
        <is>
          <t>midcap</t>
        </is>
      </c>
      <c r="H88" s="32" t="n">
        <v>5520.4</v>
      </c>
      <c r="I88" s="32" t="n">
        <v>814.75</v>
      </c>
      <c r="J88" s="32" t="n">
        <v>0.2</v>
      </c>
      <c r="K88" s="32" t="n">
        <v>0</v>
      </c>
      <c r="L88" s="31" t="n">
        <v>82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74.40000000000001</v>
      </c>
      <c r="P88" s="32" t="n">
        <v>51.5</v>
      </c>
      <c r="Q88" s="32" t="n">
        <v>650.4400000000001</v>
      </c>
      <c r="R88" s="31" t="inlineStr">
        <is>
          <t>Earnings / Momentum Support</t>
        </is>
      </c>
      <c r="S88" s="31" t="inlineStr">
        <is>
          <t>Nifty Infra</t>
        </is>
      </c>
      <c r="T88" s="32" t="n">
        <v>-2.29</v>
      </c>
      <c r="U88" s="32" t="n">
        <v>141.98</v>
      </c>
      <c r="V88" s="32" t="n">
        <v>147.66</v>
      </c>
      <c r="W88" s="32" t="n">
        <v>24.3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1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18</t>
        </is>
      </c>
      <c r="CG88" s="31">
        <f>IF(CF88&gt;20,10,IF(CF88&gt;=10,5,2))</f>
        <v/>
      </c>
    </row>
    <row r="89">
      <c r="A89" s="31">
        <f>IF(B89=0,"",RANK(B89,$B$2:$B$95,0))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V2RETAIL</t>
        </is>
      </c>
      <c r="D89" s="34" t="inlineStr">
        <is>
          <t>V2 Retail Ltd</t>
        </is>
      </c>
      <c r="E89" s="31" t="inlineStr">
        <is>
          <t>Consumer Cyclical</t>
        </is>
      </c>
      <c r="F89" s="31" t="inlineStr">
        <is>
          <t>Textiles - Readymade Apparel</t>
        </is>
      </c>
      <c r="G89" s="31" t="inlineStr">
        <is>
          <t>midcap</t>
        </is>
      </c>
      <c r="H89" s="32" t="n">
        <v>8762.969999999999</v>
      </c>
      <c r="I89" s="32" t="n">
        <v>240.32</v>
      </c>
      <c r="J89" s="32" t="n">
        <v>-1.63</v>
      </c>
      <c r="K89" s="32" t="n">
        <v>0</v>
      </c>
      <c r="L89" s="31" t="n">
        <v>37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50.91</v>
      </c>
      <c r="P89" s="32" t="n">
        <v>37.67</v>
      </c>
      <c r="Q89" s="32" t="n">
        <v>187.28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-1.01</v>
      </c>
      <c r="U89" s="32" t="n">
        <v>23.9</v>
      </c>
      <c r="V89" s="32" t="n">
        <v>25.16</v>
      </c>
      <c r="W89" s="32" t="n">
        <v>7.94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20</t>
        </is>
      </c>
      <c r="CG89" s="31">
        <f>IF(CF89&gt;20,10,IF(CF89&gt;=10,5,2))</f>
        <v/>
      </c>
    </row>
    <row r="90">
      <c r="A90" s="31">
        <f>IF(B90=0,"",RANK(B90,$B$2:$B$95,0))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VALIANT</t>
        </is>
      </c>
      <c r="D90" s="34" t="inlineStr">
        <is>
          <t>Valiant Communications Ltd</t>
        </is>
      </c>
      <c r="E90" s="31" t="inlineStr">
        <is>
          <t>Technology</t>
        </is>
      </c>
      <c r="F90" s="31" t="inlineStr">
        <is>
          <t>Telecom Services</t>
        </is>
      </c>
      <c r="G90" s="31" t="inlineStr">
        <is>
          <t>smallcap</t>
        </is>
      </c>
      <c r="H90" s="32" t="n">
        <v>1441.63</v>
      </c>
      <c r="I90" s="32" t="n">
        <v>1233</v>
      </c>
      <c r="J90" s="32" t="n">
        <v>-2.5</v>
      </c>
      <c r="K90" s="32" t="n">
        <v>0</v>
      </c>
      <c r="L90" s="31" t="n">
        <v>44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44.67</v>
      </c>
      <c r="P90" s="32" t="n">
        <v>21.58</v>
      </c>
      <c r="Q90" s="32" t="n">
        <v>863.66</v>
      </c>
      <c r="R90" s="31" t="inlineStr">
        <is>
          <t>Earnings / Momentum Support</t>
        </is>
      </c>
      <c r="S90" s="31" t="inlineStr">
        <is>
          <t>Nifty 50</t>
        </is>
      </c>
      <c r="T90" s="32" t="n">
        <v>-1.01</v>
      </c>
      <c r="U90" s="32" t="n">
        <v>52</v>
      </c>
      <c r="V90" s="32" t="n">
        <v>53.55</v>
      </c>
      <c r="W90" s="32" t="n">
        <v>9.66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Below 45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IF(B91=0,"",RANK(B91,$B$2:$B$95,0))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PREMIERENE</t>
        </is>
      </c>
      <c r="D91" s="34" t="inlineStr">
        <is>
          <t>Premier Energies Ltd</t>
        </is>
      </c>
      <c r="E91" s="31" t="inlineStr">
        <is>
          <t>Technology</t>
        </is>
      </c>
      <c r="F91" s="31" t="inlineStr">
        <is>
          <t>Capital Goods - Solar</t>
        </is>
      </c>
      <c r="G91" s="31" t="inlineStr">
        <is>
          <t>largecap</t>
        </is>
      </c>
      <c r="H91" s="32" t="n">
        <v>48772.55</v>
      </c>
      <c r="I91" s="32" t="n">
        <v>1074.4</v>
      </c>
      <c r="J91" s="32" t="n">
        <v>2.06</v>
      </c>
      <c r="K91" s="32" t="n">
        <v>0</v>
      </c>
      <c r="L91" s="31" t="n">
        <v>11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49.38</v>
      </c>
      <c r="P91" s="32" t="n">
        <v>18.52</v>
      </c>
      <c r="Q91" s="32" t="n">
        <v>895.13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-1.01</v>
      </c>
      <c r="U91" s="32" t="n">
        <v>-2.61</v>
      </c>
      <c r="V91" s="32" t="n">
        <v>-1.62</v>
      </c>
      <c r="W91" s="32" t="n">
        <v>2.39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19</t>
        </is>
      </c>
      <c r="CG91" s="31">
        <f>IF(CF91&gt;20,10,IF(CF91&gt;=10,5,2))</f>
        <v/>
      </c>
    </row>
    <row r="92">
      <c r="A92" s="31">
        <f>IF(B92=0,"",RANK(B92,$B$2:$B$95,0))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NSLNISP</t>
        </is>
      </c>
      <c r="D92" s="34" t="inlineStr">
        <is>
          <t>NMDC Steel Ltd</t>
        </is>
      </c>
      <c r="E92" s="31" t="inlineStr">
        <is>
          <t>Basic Materials</t>
        </is>
      </c>
      <c r="F92" s="31" t="inlineStr">
        <is>
          <t>Steel</t>
        </is>
      </c>
      <c r="G92" s="31" t="inlineStr">
        <is>
          <t>midcap</t>
        </is>
      </c>
      <c r="H92" s="32" t="n">
        <v>15400.33</v>
      </c>
      <c r="I92" s="32" t="n">
        <v>52.55</v>
      </c>
      <c r="J92" s="32" t="n">
        <v>4.06</v>
      </c>
      <c r="K92" s="32" t="n">
        <v>0</v>
      </c>
      <c r="L92" s="31" t="n">
        <v>15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49.64</v>
      </c>
      <c r="P92" s="32" t="n">
        <v>29.61</v>
      </c>
      <c r="Q92" s="32" t="n">
        <v>40.2</v>
      </c>
      <c r="R92" s="31" t="inlineStr">
        <is>
          <t>Earnings / Momentum Support</t>
        </is>
      </c>
      <c r="S92" s="31" t="inlineStr">
        <is>
          <t>Nifty Metal</t>
        </is>
      </c>
      <c r="T92" s="32" t="n">
        <v>34.77</v>
      </c>
      <c r="U92" s="32" t="n">
        <v>11.27</v>
      </c>
      <c r="V92" s="32" t="n">
        <v>-17.43</v>
      </c>
      <c r="W92" s="32" t="n">
        <v>3.35</v>
      </c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Cyclical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Below 45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25</t>
        </is>
      </c>
      <c r="CG92" s="31">
        <f>IF(CF92&gt;20,10,IF(CF92&gt;=10,5,2))</f>
        <v/>
      </c>
    </row>
    <row r="93">
      <c r="A93" s="31">
        <f>IF(B93=0,"",RANK(B93,$B$2:$B$95,0))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VEDL</t>
        </is>
      </c>
      <c r="D93" s="34" t="inlineStr">
        <is>
          <t>Vedanta Ltd</t>
        </is>
      </c>
      <c r="E93" s="31" t="inlineStr">
        <is>
          <t>Basic Materials</t>
        </is>
      </c>
      <c r="F93" s="31" t="inlineStr">
        <is>
          <t>Mining/Minerals</t>
        </is>
      </c>
      <c r="G93" s="31" t="inlineStr">
        <is>
          <t>largecap</t>
        </is>
      </c>
      <c r="H93" s="32" t="n">
        <v>130430.99</v>
      </c>
      <c r="I93" s="32" t="n">
        <v>333.55</v>
      </c>
      <c r="J93" s="32" t="n">
        <v>-1.07</v>
      </c>
      <c r="K93" s="32" t="n">
        <v>0</v>
      </c>
      <c r="L93" s="31" t="n">
        <v>1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32.15</v>
      </c>
      <c r="P93" s="32" t="n">
        <v>37.61</v>
      </c>
      <c r="Q93" s="32" t="n">
        <v>213.85</v>
      </c>
      <c r="R93" s="31" t="inlineStr">
        <is>
          <t>Earnings / Momentum Support</t>
        </is>
      </c>
      <c r="S93" s="31" t="inlineStr">
        <is>
          <t>Nifty Metal</t>
        </is>
      </c>
      <c r="T93" s="32" t="n">
        <v>34.77</v>
      </c>
      <c r="U93" s="32" t="n">
        <v>-36.42</v>
      </c>
      <c r="V93" s="32" t="n">
        <v>-52.83</v>
      </c>
      <c r="W93" s="32" t="n">
        <v>-12.95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Below 45</t>
        </is>
      </c>
      <c r="BA93" s="31">
        <f>IF(AZ93="Between 50 to 75",10,IF(AZ93="Above 75",0,0))</f>
        <v/>
      </c>
      <c r="BB93" s="31" t="inlineStr">
        <is>
          <t>Stage 4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20</t>
        </is>
      </c>
      <c r="CG93" s="31">
        <f>IF(CF93&gt;20,10,IF(CF93&gt;=10,5,2))</f>
        <v/>
      </c>
    </row>
    <row r="94">
      <c r="A94" s="31">
        <f>IF(B94=0,"",RANK(B94,$B$2:$B$95,0))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ONIXSOLAR</t>
        </is>
      </c>
      <c r="D94" s="34" t="inlineStr">
        <is>
          <t>Onix Solar Energy Ltd</t>
        </is>
      </c>
      <c r="E94" s="31" t="inlineStr">
        <is>
          <t>Technology</t>
        </is>
      </c>
      <c r="F94" s="31" t="inlineStr">
        <is>
          <t>Trading</t>
        </is>
      </c>
      <c r="G94" s="31" t="inlineStr">
        <is>
          <t>smallcap</t>
        </is>
      </c>
      <c r="H94" s="32" t="n">
        <v>2670.34</v>
      </c>
      <c r="I94" s="32" t="n">
        <v>724.3</v>
      </c>
      <c r="J94" s="32" t="n">
        <v/>
      </c>
      <c r="K94" s="32" t="n">
        <v>0</v>
      </c>
      <c r="L94" s="31" t="n">
        <v>35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43</v>
      </c>
      <c r="P94" s="32" t="n">
        <v>16.71</v>
      </c>
      <c r="Q94" s="32" t="n">
        <v>944.13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-1.01</v>
      </c>
      <c r="U94" s="32" t="n">
        <v>16.54</v>
      </c>
      <c r="V94" s="32" t="n">
        <v>17.73</v>
      </c>
      <c r="W94" s="32" t="n">
        <v>7.48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Below 45</t>
        </is>
      </c>
      <c r="BA94" s="31">
        <f>IF(AZ94="Between 50 to 75",10,IF(AZ94="Above 75",0,0))</f>
        <v/>
      </c>
      <c r="BB94" s="31" t="inlineStr">
        <is>
          <t>Stage 4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No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  <c r="CF94" s="31" t="inlineStr">
        <is>
          <t>19</t>
        </is>
      </c>
      <c r="CG94" s="31">
        <f>IF(CF94&gt;20,10,IF(CF94&gt;=10,5,2))</f>
        <v/>
      </c>
    </row>
    <row r="95">
      <c r="A95" s="31">
        <f>IF(B95=0,"",RANK(B95,$B$2:$B$95,0))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4" t="inlineStr">
        <is>
          <t>OBSCP</t>
        </is>
      </c>
      <c r="D95" s="34" t="inlineStr">
        <is>
          <t>OBSC Perfection Ltd</t>
        </is>
      </c>
      <c r="E95" s="31" t="inlineStr">
        <is>
          <t>unknown</t>
        </is>
      </c>
      <c r="F95" s="31" t="inlineStr">
        <is>
          <t>Auto Ancillaries - Diversified</t>
        </is>
      </c>
      <c r="G95" s="31" t="inlineStr">
        <is>
          <t>smallcap</t>
        </is>
      </c>
      <c r="H95" s="32" t="n">
        <v>1246.92</v>
      </c>
      <c r="I95" s="32" t="n">
        <v>482.45</v>
      </c>
      <c r="J95" s="32" t="n">
        <v>-0.14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9">
      <c r="A99" s="25" t="inlineStr">
        <is>
          <t>❌ REMOVED SCAN MATCH STOCKS (THIS WEEK)</t>
        </is>
      </c>
    </row>
    <row r="100">
      <c r="A100" s="35" t="inlineStr">
        <is>
          <t>Symbol</t>
        </is>
      </c>
      <c r="B100" s="35" t="inlineStr">
        <is>
          <t>Company Name</t>
        </is>
      </c>
      <c r="C100" s="35" t="inlineStr">
        <is>
          <t>Sector</t>
        </is>
      </c>
      <c r="D100" s="35" t="inlineStr">
        <is>
          <t>Date of Removal</t>
        </is>
      </c>
    </row>
    <row r="101">
      <c r="A101" s="36" t="inlineStr">
        <is>
          <t>ACCENTMIC</t>
        </is>
      </c>
      <c r="B101" s="37" t="inlineStr">
        <is>
          <t>ACCENTMIC</t>
        </is>
      </c>
      <c r="C101" s="37" t="inlineStr">
        <is>
          <t>unknown</t>
        </is>
      </c>
      <c r="D101" s="38" t="inlineStr">
        <is>
          <t>2026-07-30</t>
        </is>
      </c>
    </row>
    <row r="102">
      <c r="A102" s="36" t="inlineStr">
        <is>
          <t>ACE</t>
        </is>
      </c>
      <c r="B102" s="37" t="inlineStr">
        <is>
          <t>Action Construction Equipment Limited</t>
        </is>
      </c>
      <c r="C102" s="37" t="inlineStr">
        <is>
          <t>Industrials</t>
        </is>
      </c>
      <c r="D102" s="38" t="inlineStr">
        <is>
          <t>2026-07-28</t>
        </is>
      </c>
    </row>
    <row r="103">
      <c r="A103" s="36" t="inlineStr">
        <is>
          <t>ADOR</t>
        </is>
      </c>
      <c r="B103" s="37" t="inlineStr">
        <is>
          <t>Ador Welding Limited</t>
        </is>
      </c>
      <c r="C103" s="37" t="inlineStr">
        <is>
          <t>Industrials</t>
        </is>
      </c>
      <c r="D103" s="38" t="inlineStr">
        <is>
          <t>2026-07-30</t>
        </is>
      </c>
    </row>
    <row r="104">
      <c r="A104" s="36" t="inlineStr">
        <is>
          <t>AEGISVOPAK</t>
        </is>
      </c>
      <c r="B104" s="37" t="inlineStr">
        <is>
          <t>AEGISVOPAK</t>
        </is>
      </c>
      <c r="C104" s="37" t="inlineStr">
        <is>
          <t>Energy</t>
        </is>
      </c>
      <c r="D104" s="38" t="inlineStr">
        <is>
          <t>2026-07-28</t>
        </is>
      </c>
    </row>
    <row r="105">
      <c r="A105" s="36" t="inlineStr">
        <is>
          <t>APCOTEXIND</t>
        </is>
      </c>
      <c r="B105" s="37" t="inlineStr">
        <is>
          <t>Apcotex Industries Limited</t>
        </is>
      </c>
      <c r="C105" s="37" t="inlineStr">
        <is>
          <t>Basic Materials</t>
        </is>
      </c>
      <c r="D105" s="38" t="inlineStr">
        <is>
          <t>2026-07-30</t>
        </is>
      </c>
    </row>
    <row r="106">
      <c r="A106" s="36" t="inlineStr">
        <is>
          <t>ASKAUTOLTD</t>
        </is>
      </c>
      <c r="B106" s="37" t="inlineStr">
        <is>
          <t>ASKAUTOLTD</t>
        </is>
      </c>
      <c r="C106" s="37" t="inlineStr">
        <is>
          <t>Consumer Cyclical</t>
        </is>
      </c>
      <c r="D106" s="38" t="inlineStr">
        <is>
          <t>2026-07-30</t>
        </is>
      </c>
    </row>
    <row r="107">
      <c r="A107" s="36" t="inlineStr">
        <is>
          <t>ASMTEC</t>
        </is>
      </c>
      <c r="B107" s="37" t="inlineStr">
        <is>
          <t>ASMTEC</t>
        </is>
      </c>
      <c r="C107" s="37" t="inlineStr">
        <is>
          <t>unknown</t>
        </is>
      </c>
      <c r="D107" s="38" t="inlineStr">
        <is>
          <t>2026-07-30</t>
        </is>
      </c>
    </row>
    <row r="108">
      <c r="A108" s="36" t="inlineStr">
        <is>
          <t>AURUM</t>
        </is>
      </c>
      <c r="B108" s="37" t="inlineStr">
        <is>
          <t>AURUM</t>
        </is>
      </c>
      <c r="C108" s="37" t="inlineStr">
        <is>
          <t>unknown</t>
        </is>
      </c>
      <c r="D108" s="38" t="inlineStr">
        <is>
          <t>2026-07-30</t>
        </is>
      </c>
    </row>
    <row r="109">
      <c r="A109" s="36" t="inlineStr">
        <is>
          <t>BAJAJ-AUTO</t>
        </is>
      </c>
      <c r="B109" s="37" t="inlineStr">
        <is>
          <t>Bajaj Auto Limited</t>
        </is>
      </c>
      <c r="C109" s="37" t="inlineStr">
        <is>
          <t>Consumer Cyclical</t>
        </is>
      </c>
      <c r="D109" s="38" t="inlineStr">
        <is>
          <t>2026-07-30</t>
        </is>
      </c>
    </row>
    <row r="110">
      <c r="A110" s="36" t="inlineStr">
        <is>
          <t>BHEL</t>
        </is>
      </c>
      <c r="B110" s="37" t="inlineStr">
        <is>
          <t>BHEL</t>
        </is>
      </c>
      <c r="C110" s="37" t="inlineStr">
        <is>
          <t>unknown</t>
        </is>
      </c>
      <c r="D110" s="38" t="inlineStr">
        <is>
          <t>2026-07-30</t>
        </is>
      </c>
    </row>
    <row r="111">
      <c r="A111" s="36" t="inlineStr">
        <is>
          <t>BLSE</t>
        </is>
      </c>
      <c r="B111" s="37" t="inlineStr">
        <is>
          <t>BLSE</t>
        </is>
      </c>
      <c r="C111" s="37" t="inlineStr">
        <is>
          <t>Industrials</t>
        </is>
      </c>
      <c r="D111" s="38" t="inlineStr">
        <is>
          <t>2026-07-30</t>
        </is>
      </c>
    </row>
    <row r="112">
      <c r="A112" s="36" t="inlineStr">
        <is>
          <t>BLUESTONE</t>
        </is>
      </c>
      <c r="B112" s="37" t="inlineStr">
        <is>
          <t>BLUESTONE</t>
        </is>
      </c>
      <c r="C112" s="37" t="inlineStr">
        <is>
          <t>unknown</t>
        </is>
      </c>
      <c r="D112" s="38" t="inlineStr">
        <is>
          <t>2026-07-30</t>
        </is>
      </c>
    </row>
    <row r="113">
      <c r="A113" s="36" t="inlineStr">
        <is>
          <t>CENTENKA</t>
        </is>
      </c>
      <c r="B113" s="37" t="inlineStr">
        <is>
          <t>Century Enka Limited</t>
        </is>
      </c>
      <c r="C113" s="37" t="inlineStr">
        <is>
          <t>Consumer Cyclical</t>
        </is>
      </c>
      <c r="D113" s="38" t="inlineStr">
        <is>
          <t>2026-07-30</t>
        </is>
      </c>
    </row>
    <row r="114">
      <c r="A114" s="36" t="inlineStr">
        <is>
          <t>CFF</t>
        </is>
      </c>
      <c r="B114" s="37" t="inlineStr">
        <is>
          <t>CFF</t>
        </is>
      </c>
      <c r="C114" s="37" t="inlineStr">
        <is>
          <t>unknown</t>
        </is>
      </c>
      <c r="D114" s="38" t="inlineStr">
        <is>
          <t>2026-07-30</t>
        </is>
      </c>
    </row>
    <row r="115">
      <c r="A115" s="36" t="inlineStr">
        <is>
          <t>CHENNPETRO</t>
        </is>
      </c>
      <c r="B115" s="37" t="inlineStr">
        <is>
          <t>Chennai Petroleum Corporation Limited</t>
        </is>
      </c>
      <c r="C115" s="37" t="inlineStr">
        <is>
          <t>Energy</t>
        </is>
      </c>
      <c r="D115" s="38" t="inlineStr">
        <is>
          <t>2026-07-30</t>
        </is>
      </c>
    </row>
    <row r="116">
      <c r="A116" s="36" t="inlineStr">
        <is>
          <t>CNL</t>
        </is>
      </c>
      <c r="B116" s="37" t="inlineStr">
        <is>
          <t>CNL</t>
        </is>
      </c>
      <c r="C116" s="37" t="inlineStr">
        <is>
          <t>unknown</t>
        </is>
      </c>
      <c r="D116" s="38" t="inlineStr">
        <is>
          <t>2026-07-30</t>
        </is>
      </c>
    </row>
    <row r="117">
      <c r="A117" s="36" t="inlineStr">
        <is>
          <t>COFORGE</t>
        </is>
      </c>
      <c r="B117" s="37" t="inlineStr">
        <is>
          <t>Coforge Limited</t>
        </is>
      </c>
      <c r="C117" s="37" t="inlineStr">
        <is>
          <t>Technology</t>
        </is>
      </c>
      <c r="D117" s="38" t="inlineStr">
        <is>
          <t>2026-07-30</t>
        </is>
      </c>
    </row>
    <row r="118">
      <c r="A118" s="36" t="inlineStr">
        <is>
          <t>CUB</t>
        </is>
      </c>
      <c r="B118" s="37" t="inlineStr">
        <is>
          <t>CUB</t>
        </is>
      </c>
      <c r="C118" s="37" t="inlineStr">
        <is>
          <t>unknown</t>
        </is>
      </c>
      <c r="D118" s="38" t="inlineStr">
        <is>
          <t>2026-07-30</t>
        </is>
      </c>
    </row>
    <row r="119">
      <c r="A119" s="36" t="inlineStr">
        <is>
          <t>CYIENTDLM</t>
        </is>
      </c>
      <c r="B119" s="37" t="inlineStr">
        <is>
          <t>Cyient DLM Limited</t>
        </is>
      </c>
      <c r="C119" s="37" t="inlineStr">
        <is>
          <t>Industrials</t>
        </is>
      </c>
      <c r="D119" s="38" t="inlineStr">
        <is>
          <t>2026-07-30</t>
        </is>
      </c>
    </row>
    <row r="120">
      <c r="A120" s="36" t="inlineStr">
        <is>
          <t>DPABHUSHAN</t>
        </is>
      </c>
      <c r="B120" s="37" t="inlineStr">
        <is>
          <t>D. P. Abhushan Limited</t>
        </is>
      </c>
      <c r="C120" s="37" t="inlineStr">
        <is>
          <t>Consumer Cyclical</t>
        </is>
      </c>
      <c r="D120" s="38" t="inlineStr">
        <is>
          <t>2026-07-30</t>
        </is>
      </c>
    </row>
    <row r="121">
      <c r="A121" s="36" t="inlineStr">
        <is>
          <t>DYCL</t>
        </is>
      </c>
      <c r="B121" s="37" t="inlineStr">
        <is>
          <t>DYCL</t>
        </is>
      </c>
      <c r="C121" s="37" t="inlineStr">
        <is>
          <t>unknown</t>
        </is>
      </c>
      <c r="D121" s="38" t="inlineStr">
        <is>
          <t>2026-07-28</t>
        </is>
      </c>
    </row>
    <row r="122">
      <c r="A122" s="36" t="inlineStr">
        <is>
          <t>E2E</t>
        </is>
      </c>
      <c r="B122" s="37" t="inlineStr">
        <is>
          <t>E2E Networks Limited</t>
        </is>
      </c>
      <c r="C122" s="37" t="inlineStr">
        <is>
          <t>Technology</t>
        </is>
      </c>
      <c r="D122" s="38" t="inlineStr">
        <is>
          <t>2026-07-30</t>
        </is>
      </c>
    </row>
    <row r="123">
      <c r="A123" s="36" t="inlineStr">
        <is>
          <t>FAIRCHEMOR</t>
        </is>
      </c>
      <c r="B123" s="37" t="inlineStr">
        <is>
          <t>Fairchem Organics Limited</t>
        </is>
      </c>
      <c r="C123" s="37" t="inlineStr">
        <is>
          <t>Basic Materials</t>
        </is>
      </c>
      <c r="D123" s="38" t="inlineStr">
        <is>
          <t>2026-07-30</t>
        </is>
      </c>
    </row>
    <row r="124">
      <c r="A124" s="36" t="inlineStr">
        <is>
          <t>FILATEX</t>
        </is>
      </c>
      <c r="B124" s="37" t="inlineStr">
        <is>
          <t>Filatex India Limited</t>
        </is>
      </c>
      <c r="C124" s="37" t="inlineStr">
        <is>
          <t>Consumer Cyclical</t>
        </is>
      </c>
      <c r="D124" s="38" t="inlineStr">
        <is>
          <t>2026-07-30</t>
        </is>
      </c>
    </row>
    <row r="125">
      <c r="A125" s="36" t="inlineStr">
        <is>
          <t>GANDHAR</t>
        </is>
      </c>
      <c r="B125" s="37" t="inlineStr">
        <is>
          <t>GANDHAR</t>
        </is>
      </c>
      <c r="C125" s="37" t="inlineStr">
        <is>
          <t>unknown</t>
        </is>
      </c>
      <c r="D125" s="38" t="inlineStr">
        <is>
          <t>2026-07-30</t>
        </is>
      </c>
    </row>
    <row r="126">
      <c r="A126" s="36" t="inlineStr">
        <is>
          <t>GNA</t>
        </is>
      </c>
      <c r="B126" s="37" t="inlineStr">
        <is>
          <t>G N A Axles Limited</t>
        </is>
      </c>
      <c r="C126" s="37" t="inlineStr">
        <is>
          <t>Consumer Cyclical</t>
        </is>
      </c>
      <c r="D126" s="38" t="inlineStr">
        <is>
          <t>2026-07-30</t>
        </is>
      </c>
    </row>
    <row r="127">
      <c r="A127" s="36" t="inlineStr">
        <is>
          <t>GRANULES</t>
        </is>
      </c>
      <c r="B127" s="37" t="inlineStr">
        <is>
          <t>GRANULES</t>
        </is>
      </c>
      <c r="C127" s="37" t="inlineStr">
        <is>
          <t>unknown</t>
        </is>
      </c>
      <c r="D127" s="38" t="inlineStr">
        <is>
          <t>2026-07-30</t>
        </is>
      </c>
    </row>
    <row r="128">
      <c r="A128" s="36" t="inlineStr">
        <is>
          <t>HSCL</t>
        </is>
      </c>
      <c r="B128" s="37" t="inlineStr">
        <is>
          <t>Himadri Speciality Chemical Limited</t>
        </is>
      </c>
      <c r="C128" s="37" t="inlineStr">
        <is>
          <t>Basic Materials</t>
        </is>
      </c>
      <c r="D128" s="38" t="inlineStr">
        <is>
          <t>2026-07-28</t>
        </is>
      </c>
    </row>
    <row r="129">
      <c r="A129" s="36" t="inlineStr">
        <is>
          <t>HUHTAMAKI</t>
        </is>
      </c>
      <c r="B129" s="37" t="inlineStr">
        <is>
          <t>Huhtamaki India Limited</t>
        </is>
      </c>
      <c r="C129" s="37" t="inlineStr">
        <is>
          <t>Consumer Cyclical</t>
        </is>
      </c>
      <c r="D129" s="38" t="inlineStr">
        <is>
          <t>2026-07-30</t>
        </is>
      </c>
    </row>
    <row r="130">
      <c r="A130" s="36" t="inlineStr">
        <is>
          <t>INDIAGLYCO</t>
        </is>
      </c>
      <c r="B130" s="37" t="inlineStr">
        <is>
          <t>India Glycols Limited</t>
        </is>
      </c>
      <c r="C130" s="37" t="inlineStr">
        <is>
          <t>Basic Materials</t>
        </is>
      </c>
      <c r="D130" s="38" t="inlineStr">
        <is>
          <t>2026-07-30</t>
        </is>
      </c>
    </row>
    <row r="131">
      <c r="A131" s="36" t="inlineStr">
        <is>
          <t>INDOTECH</t>
        </is>
      </c>
      <c r="B131" s="37" t="inlineStr">
        <is>
          <t>Indo Tech Transformers Limited</t>
        </is>
      </c>
      <c r="C131" s="37" t="inlineStr">
        <is>
          <t>Industrials</t>
        </is>
      </c>
      <c r="D131" s="38" t="inlineStr">
        <is>
          <t>2026-07-30</t>
        </is>
      </c>
    </row>
    <row r="132">
      <c r="A132" s="36" t="inlineStr">
        <is>
          <t>JKPAPER</t>
        </is>
      </c>
      <c r="B132" s="37" t="inlineStr">
        <is>
          <t>JKPAPER</t>
        </is>
      </c>
      <c r="C132" s="37" t="inlineStr">
        <is>
          <t>unknown</t>
        </is>
      </c>
      <c r="D132" s="38" t="inlineStr">
        <is>
          <t>2026-07-28</t>
        </is>
      </c>
    </row>
    <row r="133">
      <c r="A133" s="36" t="inlineStr">
        <is>
          <t>JLHL</t>
        </is>
      </c>
      <c r="B133" s="37" t="inlineStr">
        <is>
          <t>JLHL</t>
        </is>
      </c>
      <c r="C133" s="37" t="inlineStr">
        <is>
          <t>unknown</t>
        </is>
      </c>
      <c r="D133" s="38" t="inlineStr">
        <is>
          <t>2026-07-30</t>
        </is>
      </c>
    </row>
    <row r="134">
      <c r="A134" s="36" t="inlineStr">
        <is>
          <t>JUBLINGREA</t>
        </is>
      </c>
      <c r="B134" s="37" t="inlineStr">
        <is>
          <t>JUBLINGREA</t>
        </is>
      </c>
      <c r="C134" s="37" t="inlineStr">
        <is>
          <t>unknown</t>
        </is>
      </c>
      <c r="D134" s="38" t="inlineStr">
        <is>
          <t>2026-07-28</t>
        </is>
      </c>
    </row>
    <row r="135">
      <c r="A135" s="36" t="inlineStr">
        <is>
          <t>KABRAEXTRU</t>
        </is>
      </c>
      <c r="B135" s="37" t="inlineStr">
        <is>
          <t>Kabra Extrusiontechnik Limited</t>
        </is>
      </c>
      <c r="C135" s="37" t="inlineStr">
        <is>
          <t>Industrials</t>
        </is>
      </c>
      <c r="D135" s="38" t="inlineStr">
        <is>
          <t>2026-07-30</t>
        </is>
      </c>
    </row>
    <row r="136">
      <c r="A136" s="36" t="inlineStr">
        <is>
          <t>KALYANKJIL</t>
        </is>
      </c>
      <c r="B136" s="37" t="inlineStr">
        <is>
          <t>Kalyan Jewellers India Limited</t>
        </is>
      </c>
      <c r="C136" s="37" t="inlineStr">
        <is>
          <t>Consumer Cyclical</t>
        </is>
      </c>
      <c r="D136" s="38" t="inlineStr">
        <is>
          <t>2026-07-30</t>
        </is>
      </c>
    </row>
    <row r="137">
      <c r="A137" s="36" t="inlineStr">
        <is>
          <t>KMEW</t>
        </is>
      </c>
      <c r="B137" s="37" t="inlineStr">
        <is>
          <t>Knowledge Marine &amp; Engineering Works Limited</t>
        </is>
      </c>
      <c r="C137" s="37" t="inlineStr">
        <is>
          <t>Industrials</t>
        </is>
      </c>
      <c r="D137" s="38" t="inlineStr">
        <is>
          <t>2026-07-30</t>
        </is>
      </c>
    </row>
    <row r="138">
      <c r="A138" s="36" t="inlineStr">
        <is>
          <t>LAURUSLABS</t>
        </is>
      </c>
      <c r="B138" s="37" t="inlineStr">
        <is>
          <t>Laurus Labs Limited</t>
        </is>
      </c>
      <c r="C138" s="37" t="inlineStr">
        <is>
          <t>Healthcare</t>
        </is>
      </c>
      <c r="D138" s="38" t="inlineStr">
        <is>
          <t>2026-07-30</t>
        </is>
      </c>
    </row>
    <row r="139">
      <c r="A139" s="36" t="inlineStr">
        <is>
          <t>LLOYDSENT</t>
        </is>
      </c>
      <c r="B139" s="37" t="inlineStr">
        <is>
          <t>LLOYDSENT</t>
        </is>
      </c>
      <c r="C139" s="37" t="inlineStr">
        <is>
          <t>unknown</t>
        </is>
      </c>
      <c r="D139" s="38" t="inlineStr">
        <is>
          <t>2026-07-30</t>
        </is>
      </c>
    </row>
    <row r="140">
      <c r="A140" s="36" t="inlineStr">
        <is>
          <t>LODHA</t>
        </is>
      </c>
      <c r="B140" s="37" t="inlineStr">
        <is>
          <t>Lodha Developers Limited</t>
        </is>
      </c>
      <c r="C140" s="37" t="inlineStr">
        <is>
          <t>Real Estate</t>
        </is>
      </c>
      <c r="D140" s="38" t="inlineStr">
        <is>
          <t>2026-07-30</t>
        </is>
      </c>
    </row>
    <row r="141">
      <c r="A141" s="36" t="inlineStr">
        <is>
          <t>LOTUSDEV</t>
        </is>
      </c>
      <c r="B141" s="37" t="inlineStr">
        <is>
          <t>LOTUSDEV</t>
        </is>
      </c>
      <c r="C141" s="37" t="inlineStr">
        <is>
          <t>unknown</t>
        </is>
      </c>
      <c r="D141" s="38" t="inlineStr">
        <is>
          <t>2026-07-28</t>
        </is>
      </c>
    </row>
    <row r="142">
      <c r="A142" s="36" t="inlineStr">
        <is>
          <t>LXCHEM</t>
        </is>
      </c>
      <c r="B142" s="37" t="inlineStr">
        <is>
          <t>LXCHEM</t>
        </is>
      </c>
      <c r="C142" s="37" t="inlineStr">
        <is>
          <t>unknown</t>
        </is>
      </c>
      <c r="D142" s="38" t="inlineStr">
        <is>
          <t>2026-07-30</t>
        </is>
      </c>
    </row>
    <row r="143">
      <c r="A143" s="36" t="inlineStr">
        <is>
          <t>MAHLIFE</t>
        </is>
      </c>
      <c r="B143" s="37" t="inlineStr">
        <is>
          <t>Mahindra Lifespace Developers Limited</t>
        </is>
      </c>
      <c r="C143" s="37" t="inlineStr">
        <is>
          <t>Real Estate</t>
        </is>
      </c>
      <c r="D143" s="38" t="inlineStr">
        <is>
          <t>2026-07-30</t>
        </is>
      </c>
    </row>
    <row r="144">
      <c r="A144" s="36" t="inlineStr">
        <is>
          <t>MAHLOG</t>
        </is>
      </c>
      <c r="B144" s="37" t="inlineStr">
        <is>
          <t>Mahindra Logistics Limited</t>
        </is>
      </c>
      <c r="C144" s="37" t="inlineStr">
        <is>
          <t>Industrials</t>
        </is>
      </c>
      <c r="D144" s="38" t="inlineStr">
        <is>
          <t>2026-07-30</t>
        </is>
      </c>
    </row>
    <row r="145">
      <c r="A145" s="36" t="inlineStr">
        <is>
          <t>MBAPL</t>
        </is>
      </c>
      <c r="B145" s="37" t="inlineStr">
        <is>
          <t>Madhya Bharat Agro Products Limited</t>
        </is>
      </c>
      <c r="C145" s="37" t="inlineStr">
        <is>
          <t>Basic Materials</t>
        </is>
      </c>
      <c r="D145" s="38" t="inlineStr">
        <is>
          <t>2026-07-30</t>
        </is>
      </c>
    </row>
    <row r="146">
      <c r="A146" s="36" t="inlineStr">
        <is>
          <t>MENONBE</t>
        </is>
      </c>
      <c r="B146" s="37" t="inlineStr">
        <is>
          <t>Menon Bearings Limited</t>
        </is>
      </c>
      <c r="C146" s="37" t="inlineStr">
        <is>
          <t>Consumer Cyclical</t>
        </is>
      </c>
      <c r="D146" s="38" t="inlineStr">
        <is>
          <t>2026-07-30</t>
        </is>
      </c>
    </row>
    <row r="147">
      <c r="A147" s="36" t="inlineStr">
        <is>
          <t>MONOLITH</t>
        </is>
      </c>
      <c r="B147" s="37" t="inlineStr">
        <is>
          <t>MONOLITH</t>
        </is>
      </c>
      <c r="C147" s="37" t="inlineStr">
        <is>
          <t>unknown</t>
        </is>
      </c>
      <c r="D147" s="38" t="inlineStr">
        <is>
          <t>2026-07-30</t>
        </is>
      </c>
    </row>
    <row r="148">
      <c r="A148" s="36" t="inlineStr">
        <is>
          <t>MPSLTD</t>
        </is>
      </c>
      <c r="B148" s="37" t="inlineStr">
        <is>
          <t>MPS Limited</t>
        </is>
      </c>
      <c r="C148" s="37" t="inlineStr">
        <is>
          <t>Communication Services</t>
        </is>
      </c>
      <c r="D148" s="38" t="inlineStr">
        <is>
          <t>2026-07-30</t>
        </is>
      </c>
    </row>
    <row r="149">
      <c r="A149" s="36" t="inlineStr">
        <is>
          <t>NEOGEN</t>
        </is>
      </c>
      <c r="B149" s="37" t="inlineStr">
        <is>
          <t>NEOGEN</t>
        </is>
      </c>
      <c r="C149" s="37" t="inlineStr">
        <is>
          <t>unknown</t>
        </is>
      </c>
      <c r="D149" s="38" t="inlineStr">
        <is>
          <t>2026-07-30</t>
        </is>
      </c>
    </row>
    <row r="150">
      <c r="A150" s="36" t="inlineStr">
        <is>
          <t>NILKAMAL</t>
        </is>
      </c>
      <c r="B150" s="37" t="inlineStr">
        <is>
          <t>Nilkamal Limited</t>
        </is>
      </c>
      <c r="C150" s="37" t="inlineStr">
        <is>
          <t>Consumer Cyclical</t>
        </is>
      </c>
      <c r="D150" s="38" t="inlineStr">
        <is>
          <t>2026-07-30</t>
        </is>
      </c>
    </row>
    <row r="151">
      <c r="A151" s="36" t="inlineStr">
        <is>
          <t>NOVARTIND</t>
        </is>
      </c>
      <c r="B151" s="37" t="inlineStr">
        <is>
          <t>NOVARTIND</t>
        </is>
      </c>
      <c r="C151" s="37" t="inlineStr">
        <is>
          <t>unknown</t>
        </is>
      </c>
      <c r="D151" s="38" t="inlineStr">
        <is>
          <t>2026-07-28</t>
        </is>
      </c>
    </row>
    <row r="152">
      <c r="A152" s="36" t="inlineStr">
        <is>
          <t>OFSS</t>
        </is>
      </c>
      <c r="B152" s="37" t="inlineStr">
        <is>
          <t>OFSS</t>
        </is>
      </c>
      <c r="C152" s="37" t="inlineStr">
        <is>
          <t>unknown</t>
        </is>
      </c>
      <c r="D152" s="38" t="inlineStr">
        <is>
          <t>2026-07-30</t>
        </is>
      </c>
    </row>
    <row r="153">
      <c r="A153" s="36" t="inlineStr">
        <is>
          <t>PNGJL</t>
        </is>
      </c>
      <c r="B153" s="37" t="inlineStr">
        <is>
          <t>PNGJL</t>
        </is>
      </c>
      <c r="C153" s="37" t="inlineStr">
        <is>
          <t>Consumer Cyclical</t>
        </is>
      </c>
      <c r="D153" s="38" t="inlineStr">
        <is>
          <t>2026-07-30</t>
        </is>
      </c>
    </row>
    <row r="154">
      <c r="A154" s="36" t="inlineStr">
        <is>
          <t>QUESS</t>
        </is>
      </c>
      <c r="B154" s="37" t="inlineStr">
        <is>
          <t>Quess Corp Limited</t>
        </is>
      </c>
      <c r="C154" s="37" t="inlineStr">
        <is>
          <t>Industrials</t>
        </is>
      </c>
      <c r="D154" s="38" t="inlineStr">
        <is>
          <t>2026-07-30</t>
        </is>
      </c>
    </row>
    <row r="155">
      <c r="A155" s="36" t="inlineStr">
        <is>
          <t>RADICO</t>
        </is>
      </c>
      <c r="B155" s="37" t="inlineStr">
        <is>
          <t>Radico Khaitan Limited</t>
        </is>
      </c>
      <c r="C155" s="37" t="inlineStr">
        <is>
          <t>Consumer Defensive</t>
        </is>
      </c>
      <c r="D155" s="38" t="inlineStr">
        <is>
          <t>2026-07-30</t>
        </is>
      </c>
    </row>
    <row r="156">
      <c r="A156" s="36" t="inlineStr">
        <is>
          <t>RAJRATAN</t>
        </is>
      </c>
      <c r="B156" s="37" t="inlineStr">
        <is>
          <t>RAJRATAN</t>
        </is>
      </c>
      <c r="C156" s="37" t="inlineStr">
        <is>
          <t>unknown</t>
        </is>
      </c>
      <c r="D156" s="38" t="inlineStr">
        <is>
          <t>2026-07-30</t>
        </is>
      </c>
    </row>
    <row r="157">
      <c r="A157" s="36" t="inlineStr">
        <is>
          <t>RATNAVEER</t>
        </is>
      </c>
      <c r="B157" s="37" t="inlineStr">
        <is>
          <t>RATNAVEER</t>
        </is>
      </c>
      <c r="C157" s="37" t="inlineStr">
        <is>
          <t>unknown</t>
        </is>
      </c>
      <c r="D157" s="38" t="inlineStr">
        <is>
          <t>2026-07-28</t>
        </is>
      </c>
    </row>
    <row r="158">
      <c r="A158" s="36" t="inlineStr">
        <is>
          <t>RKFORGE</t>
        </is>
      </c>
      <c r="B158" s="37" t="inlineStr">
        <is>
          <t>Ramkrishna Forgings Limited</t>
        </is>
      </c>
      <c r="C158" s="37" t="inlineStr">
        <is>
          <t>Industrials</t>
        </is>
      </c>
      <c r="D158" s="38" t="inlineStr">
        <is>
          <t>2026-07-30</t>
        </is>
      </c>
    </row>
    <row r="159">
      <c r="A159" s="36" t="inlineStr">
        <is>
          <t>RPEL</t>
        </is>
      </c>
      <c r="B159" s="37" t="inlineStr">
        <is>
          <t>RPEL</t>
        </is>
      </c>
      <c r="C159" s="37" t="inlineStr">
        <is>
          <t>unknown</t>
        </is>
      </c>
      <c r="D159" s="38" t="inlineStr">
        <is>
          <t>2026-07-30</t>
        </is>
      </c>
    </row>
    <row r="160">
      <c r="A160" s="36" t="inlineStr">
        <is>
          <t>SAREGAMA</t>
        </is>
      </c>
      <c r="B160" s="37" t="inlineStr">
        <is>
          <t>Saregama India Limited</t>
        </is>
      </c>
      <c r="C160" s="37" t="inlineStr">
        <is>
          <t>Communication Services</t>
        </is>
      </c>
      <c r="D160" s="38" t="inlineStr">
        <is>
          <t>2026-07-28</t>
        </is>
      </c>
    </row>
    <row r="161">
      <c r="A161" s="36" t="inlineStr">
        <is>
          <t>SENCO</t>
        </is>
      </c>
      <c r="B161" s="37" t="inlineStr">
        <is>
          <t>Senco Gold Limited</t>
        </is>
      </c>
      <c r="C161" s="37" t="inlineStr">
        <is>
          <t>Consumer Cyclical</t>
        </is>
      </c>
      <c r="D161" s="38" t="inlineStr">
        <is>
          <t>2026-07-30</t>
        </is>
      </c>
    </row>
    <row r="162">
      <c r="A162" s="36" t="inlineStr">
        <is>
          <t>SGMART</t>
        </is>
      </c>
      <c r="B162" s="37" t="inlineStr">
        <is>
          <t>SGMART</t>
        </is>
      </c>
      <c r="C162" s="37" t="inlineStr">
        <is>
          <t>unknown</t>
        </is>
      </c>
      <c r="D162" s="38" t="inlineStr">
        <is>
          <t>2026-07-28</t>
        </is>
      </c>
    </row>
    <row r="163">
      <c r="A163" s="36" t="inlineStr">
        <is>
          <t>SJS</t>
        </is>
      </c>
      <c r="B163" s="37" t="inlineStr">
        <is>
          <t>S.J.S. Enterprises Limited</t>
        </is>
      </c>
      <c r="C163" s="37" t="inlineStr">
        <is>
          <t>Consumer Cyclical</t>
        </is>
      </c>
      <c r="D163" s="38" t="inlineStr">
        <is>
          <t>2026-07-30</t>
        </is>
      </c>
    </row>
    <row r="164">
      <c r="A164" s="36" t="inlineStr">
        <is>
          <t>SOTL</t>
        </is>
      </c>
      <c r="B164" s="37" t="inlineStr">
        <is>
          <t>SOTL</t>
        </is>
      </c>
      <c r="C164" s="37" t="inlineStr">
        <is>
          <t>unknown</t>
        </is>
      </c>
      <c r="D164" s="38" t="inlineStr">
        <is>
          <t>2026-07-30</t>
        </is>
      </c>
    </row>
    <row r="165">
      <c r="A165" s="36" t="inlineStr">
        <is>
          <t>SPECTRUM</t>
        </is>
      </c>
      <c r="B165" s="37" t="inlineStr">
        <is>
          <t>SPECTRUM</t>
        </is>
      </c>
      <c r="C165" s="37" t="inlineStr">
        <is>
          <t>Industrials</t>
        </is>
      </c>
      <c r="D165" s="38" t="inlineStr">
        <is>
          <t>2026-07-30</t>
        </is>
      </c>
    </row>
    <row r="166">
      <c r="A166" s="36" t="inlineStr">
        <is>
          <t>SPORTKING</t>
        </is>
      </c>
      <c r="B166" s="37" t="inlineStr">
        <is>
          <t>SPORTKING</t>
        </is>
      </c>
      <c r="C166" s="37" t="inlineStr">
        <is>
          <t>unknown</t>
        </is>
      </c>
      <c r="D166" s="38" t="inlineStr">
        <is>
          <t>2026-07-28</t>
        </is>
      </c>
    </row>
    <row r="167">
      <c r="A167" s="36" t="inlineStr">
        <is>
          <t>SSWL</t>
        </is>
      </c>
      <c r="B167" s="37" t="inlineStr">
        <is>
          <t>Steel Strips Wheels Limited</t>
        </is>
      </c>
      <c r="C167" s="37" t="inlineStr">
        <is>
          <t>Consumer Cyclical</t>
        </is>
      </c>
      <c r="D167" s="38" t="inlineStr">
        <is>
          <t>2026-07-30</t>
        </is>
      </c>
    </row>
    <row r="168">
      <c r="A168" s="36" t="inlineStr">
        <is>
          <t>STALLION</t>
        </is>
      </c>
      <c r="B168" s="37" t="inlineStr">
        <is>
          <t>STALLION</t>
        </is>
      </c>
      <c r="C168" s="37" t="inlineStr">
        <is>
          <t>unknown</t>
        </is>
      </c>
      <c r="D168" s="38" t="inlineStr">
        <is>
          <t>2026-07-28</t>
        </is>
      </c>
    </row>
    <row r="169">
      <c r="A169" s="36" t="inlineStr">
        <is>
          <t>TATVA</t>
        </is>
      </c>
      <c r="B169" s="37" t="inlineStr">
        <is>
          <t>Tatva Chintan Pharma Chem Limited</t>
        </is>
      </c>
      <c r="C169" s="37" t="inlineStr">
        <is>
          <t>Basic Materials</t>
        </is>
      </c>
      <c r="D169" s="38" t="inlineStr">
        <is>
          <t>2026-07-30</t>
        </is>
      </c>
    </row>
    <row r="170">
      <c r="A170" s="36" t="inlineStr">
        <is>
          <t>TBZ</t>
        </is>
      </c>
      <c r="B170" s="37" t="inlineStr">
        <is>
          <t>Tribhovandas Bhimji Zaveri Limited</t>
        </is>
      </c>
      <c r="C170" s="37" t="inlineStr">
        <is>
          <t>Consumer Cyclical</t>
        </is>
      </c>
      <c r="D170" s="38" t="inlineStr">
        <is>
          <t>2026-07-30</t>
        </is>
      </c>
    </row>
    <row r="171">
      <c r="A171" s="36" t="inlineStr">
        <is>
          <t>THYROCARE</t>
        </is>
      </c>
      <c r="B171" s="37" t="inlineStr">
        <is>
          <t>Thyrocare Technologies Limited</t>
        </is>
      </c>
      <c r="C171" s="37" t="inlineStr">
        <is>
          <t>Healthcare</t>
        </is>
      </c>
      <c r="D171" s="38" t="inlineStr">
        <is>
          <t>2026-07-30</t>
        </is>
      </c>
    </row>
    <row r="172">
      <c r="A172" s="36" t="inlineStr">
        <is>
          <t>TINNARUBR</t>
        </is>
      </c>
      <c r="B172" s="37" t="inlineStr">
        <is>
          <t>TINNARUBR</t>
        </is>
      </c>
      <c r="C172" s="37" t="inlineStr">
        <is>
          <t>unknown</t>
        </is>
      </c>
      <c r="D172" s="38" t="inlineStr">
        <is>
          <t>2026-07-28</t>
        </is>
      </c>
    </row>
    <row r="173">
      <c r="A173" s="36" t="inlineStr">
        <is>
          <t>TTKPRESTIG</t>
        </is>
      </c>
      <c r="B173" s="37" t="inlineStr">
        <is>
          <t>TTK Prestige Limited</t>
        </is>
      </c>
      <c r="C173" s="37" t="inlineStr">
        <is>
          <t>Consumer Cyclical</t>
        </is>
      </c>
      <c r="D173" s="38" t="inlineStr">
        <is>
          <t>2026-07-30</t>
        </is>
      </c>
    </row>
    <row r="174">
      <c r="A174" s="36" t="inlineStr">
        <is>
          <t>TVSHLTD</t>
        </is>
      </c>
      <c r="B174" s="37" t="inlineStr">
        <is>
          <t>TVS Holdings Limited</t>
        </is>
      </c>
      <c r="C174" s="37" t="inlineStr">
        <is>
          <t>Consumer Cyclical</t>
        </is>
      </c>
      <c r="D174" s="38" t="inlineStr">
        <is>
          <t>2026-07-30</t>
        </is>
      </c>
    </row>
    <row r="175">
      <c r="A175" s="36" t="inlineStr">
        <is>
          <t>TVSMOTOR</t>
        </is>
      </c>
      <c r="B175" s="37" t="inlineStr">
        <is>
          <t>TVS Motor Company Limited</t>
        </is>
      </c>
      <c r="C175" s="37" t="inlineStr">
        <is>
          <t>Consumer Cyclical</t>
        </is>
      </c>
      <c r="D175" s="38" t="inlineStr">
        <is>
          <t>2026-07-30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 Services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2553.2</v>
      </c>
      <c r="I2" s="32" t="n">
        <v>231.12</v>
      </c>
      <c r="J2" s="32" t="n">
        <v>4.34</v>
      </c>
      <c r="K2" s="32" t="n">
        <v>0</v>
      </c>
      <c r="L2" s="31" t="n">
        <v>79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69.34</v>
      </c>
      <c r="P2" s="32" t="n">
        <v>71.08</v>
      </c>
      <c r="Q2" s="32" t="n">
        <v>210.94</v>
      </c>
      <c r="R2" s="31" t="inlineStr">
        <is>
          <t>Near 52W High Breakout</t>
        </is>
      </c>
      <c r="S2" s="31" t="inlineStr">
        <is>
          <t>Nifty Bank</t>
        </is>
      </c>
      <c r="T2" s="32" t="n">
        <v>2.75</v>
      </c>
      <c r="U2" s="32" t="n">
        <v>77.45999999999999</v>
      </c>
      <c r="V2" s="32" t="n">
        <v>72.70999999999999</v>
      </c>
      <c r="W2" s="32" t="n">
        <v>22.59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23</t>
        </is>
      </c>
      <c r="CC2" s="31">
        <f>IF(CB2&gt;20,10,IF(CB2&gt;=10,5,2))</f>
        <v/>
      </c>
    </row>
    <row r="3">
      <c r="A3" s="31">
        <f>IF(B3=0,"",RANK(B3,$B$2:$B$7,0))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DHANBANK</t>
        </is>
      </c>
      <c r="D3" s="34" t="inlineStr">
        <is>
          <t>Dhanlaxmi Bank Ltd</t>
        </is>
      </c>
      <c r="E3" s="31" t="inlineStr">
        <is>
          <t>Financial Services</t>
        </is>
      </c>
      <c r="F3" s="31" t="inlineStr">
        <is>
          <t>Banks - Private</t>
        </is>
      </c>
      <c r="G3" s="31" t="inlineStr">
        <is>
          <t>smallcap</t>
        </is>
      </c>
      <c r="H3" s="32" t="n">
        <v>1330.92</v>
      </c>
      <c r="I3" s="32" t="n">
        <v>33.72</v>
      </c>
      <c r="J3" s="32" t="n">
        <v>0.6</v>
      </c>
      <c r="K3" s="32" t="n">
        <v>0</v>
      </c>
      <c r="L3" s="31" t="n">
        <v>28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56.76</v>
      </c>
      <c r="P3" s="32" t="n">
        <v>40.67</v>
      </c>
      <c r="Q3" s="32" t="n">
        <v>25.71</v>
      </c>
      <c r="R3" s="31" t="inlineStr">
        <is>
          <t>Volume Spike / Accumulation</t>
        </is>
      </c>
      <c r="S3" s="31" t="inlineStr">
        <is>
          <t>Nifty Bank</t>
        </is>
      </c>
      <c r="T3" s="32" t="n">
        <v>2.75</v>
      </c>
      <c r="U3" s="32" t="n">
        <v>22.45</v>
      </c>
      <c r="V3" s="32" t="n">
        <v>19.18</v>
      </c>
      <c r="W3" s="32" t="n">
        <v>6.04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24</t>
        </is>
      </c>
      <c r="CC3" s="31">
        <f>IF(CB3&gt;20,10,IF(CB3&gt;=10,5,2))</f>
        <v/>
      </c>
    </row>
    <row r="4">
      <c r="A4" s="31">
        <f>IF(B4=0,"",RANK(B4,$B$2:$B$7,0))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PAISALO</t>
        </is>
      </c>
      <c r="D4" s="31" t="inlineStr">
        <is>
          <t>Paisalo Digital Ltd</t>
        </is>
      </c>
      <c r="E4" s="31" t="inlineStr">
        <is>
          <t>financials</t>
        </is>
      </c>
      <c r="F4" s="31" t="inlineStr">
        <is>
          <t>Finance - Capital Markets - Brokers</t>
        </is>
      </c>
      <c r="G4" s="31" t="inlineStr">
        <is>
          <t>smallcap</t>
        </is>
      </c>
      <c r="H4" s="32" t="n">
        <v>4792.27</v>
      </c>
      <c r="I4" s="32" t="n">
        <v>52.69</v>
      </c>
      <c r="J4" s="32" t="n">
        <v>-0.32</v>
      </c>
      <c r="K4" s="32" t="n">
        <v>0</v>
      </c>
      <c r="L4" s="31" t="n">
        <v>88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78.15000000000001</v>
      </c>
      <c r="P4" s="32" t="n">
        <v>56.9</v>
      </c>
      <c r="Q4" s="32" t="n">
        <v>57.41</v>
      </c>
      <c r="R4" s="31" t="inlineStr">
        <is>
          <t>Near 52W High Breakout</t>
        </is>
      </c>
      <c r="S4" s="31" t="inlineStr">
        <is>
          <t>Nifty Bank</t>
        </is>
      </c>
      <c r="T4" s="32" t="n">
        <v>2.75</v>
      </c>
      <c r="U4" s="32" t="n">
        <v>133.66</v>
      </c>
      <c r="V4" s="32" t="n">
        <v>127.4</v>
      </c>
      <c r="W4" s="32" t="n">
        <v>29.07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23</t>
        </is>
      </c>
      <c r="CC4" s="31">
        <f>IF(CB4&gt;20,10,IF(CB4&gt;=10,5,2))</f>
        <v/>
      </c>
    </row>
    <row r="5">
      <c r="A5" s="31">
        <f>IF(B5=0,"",RANK(B5,$B$2:$B$7,0))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3746.79</v>
      </c>
      <c r="I5" s="32" t="n">
        <v>568.6</v>
      </c>
      <c r="J5" s="32" t="n">
        <v>1.55</v>
      </c>
      <c r="K5" s="32" t="n">
        <v>0</v>
      </c>
      <c r="L5" s="31" t="n">
        <v>61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65.37</v>
      </c>
      <c r="P5" s="32" t="n">
        <v>58.67</v>
      </c>
      <c r="Q5" s="32" t="n">
        <v>521.76</v>
      </c>
      <c r="R5" s="31" t="inlineStr">
        <is>
          <t>Earnings / Momentum Support</t>
        </is>
      </c>
      <c r="S5" s="31" t="inlineStr">
        <is>
          <t>Nifty Bank</t>
        </is>
      </c>
      <c r="T5" s="32" t="n">
        <v>3.9</v>
      </c>
      <c r="U5" s="32" t="n">
        <v>68.19</v>
      </c>
      <c r="V5" s="32" t="n">
        <v>61.88</v>
      </c>
      <c r="W5" s="32" t="n">
        <v>15.16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18</t>
        </is>
      </c>
      <c r="CC5" s="31">
        <f>IF(CB5&gt;20,10,IF(CB5&gt;=10,5,2))</f>
        <v/>
      </c>
    </row>
    <row r="6">
      <c r="A6" s="31">
        <f>IF(B6=0,"",RANK(B6,$B$2:$B$7,0))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CGCL</t>
        </is>
      </c>
      <c r="D6" s="31" t="inlineStr">
        <is>
          <t>Capri Global Capital Ltd</t>
        </is>
      </c>
      <c r="E6" s="31" t="inlineStr">
        <is>
          <t>Financial Services</t>
        </is>
      </c>
      <c r="F6" s="31" t="inlineStr">
        <is>
          <t>Finance &amp; Investments - Gold Loan</t>
        </is>
      </c>
      <c r="G6" s="31" t="inlineStr">
        <is>
          <t>midcap</t>
        </is>
      </c>
      <c r="H6" s="32" t="n">
        <v>19124.73</v>
      </c>
      <c r="I6" s="32" t="n">
        <v>198.77</v>
      </c>
      <c r="J6" s="32" t="n">
        <v>0.37</v>
      </c>
      <c r="K6" s="32" t="n">
        <v>0</v>
      </c>
      <c r="L6" s="31" t="n">
        <v>43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56.81</v>
      </c>
      <c r="P6" s="32" t="n">
        <v>36.13</v>
      </c>
      <c r="Q6" s="32" t="n">
        <v>205.37</v>
      </c>
      <c r="R6" s="31" t="inlineStr">
        <is>
          <t>Earnings / Momentum Support</t>
        </is>
      </c>
      <c r="S6" s="31" t="inlineStr">
        <is>
          <t>Nifty Bank</t>
        </is>
      </c>
      <c r="T6" s="32" t="n">
        <v>2.75</v>
      </c>
      <c r="U6" s="32" t="n">
        <v>26.05</v>
      </c>
      <c r="V6" s="32" t="n">
        <v>22.67</v>
      </c>
      <c r="W6" s="32" t="n">
        <v>9.390000000000001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21</t>
        </is>
      </c>
      <c r="CC6" s="31">
        <f>IF(CB6&gt;20,10,IF(CB6&gt;=10,5,2))</f>
        <v/>
      </c>
    </row>
    <row r="7">
      <c r="A7" s="31">
        <f>IF(B7=0,"",RANK(B7,$B$2:$B$7,0))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ANGELONE</t>
        </is>
      </c>
      <c r="D7" s="34" t="inlineStr">
        <is>
          <t>Angel One Ltd</t>
        </is>
      </c>
      <c r="E7" s="31" t="inlineStr">
        <is>
          <t>Financial Services</t>
        </is>
      </c>
      <c r="F7" s="31" t="inlineStr">
        <is>
          <t>Finance - Capital Markets - Brokers</t>
        </is>
      </c>
      <c r="G7" s="31" t="inlineStr">
        <is>
          <t>largecap</t>
        </is>
      </c>
      <c r="H7" s="32" t="n">
        <v>31249.64</v>
      </c>
      <c r="I7" s="32" t="n">
        <v>342.65</v>
      </c>
      <c r="J7" s="32" t="n">
        <v>2.1</v>
      </c>
      <c r="K7" s="32" t="n">
        <v>0</v>
      </c>
      <c r="L7" s="31" t="n">
        <v>13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47.41</v>
      </c>
      <c r="P7" s="32" t="n">
        <v>22.33</v>
      </c>
      <c r="Q7" s="32" t="n">
        <v>273.88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2.75</v>
      </c>
      <c r="U7" s="32" t="n">
        <v>15.68</v>
      </c>
      <c r="V7" s="32" t="n">
        <v>12.59</v>
      </c>
      <c r="W7" s="32" t="n">
        <v>2.92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Below 45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20</t>
        </is>
      </c>
      <c r="CC7" s="31">
        <f>IF(CB7&gt;20,10,IF(CB7&gt;=10,5,2))</f>
        <v/>
      </c>
    </row>
    <row r="11">
      <c r="A11" s="25" t="inlineStr">
        <is>
          <t>❌ REMOVED SCAN MATCH STOCKS (THIS WEEK)</t>
        </is>
      </c>
    </row>
    <row r="12">
      <c r="A12" s="35" t="inlineStr">
        <is>
          <t>Symbol</t>
        </is>
      </c>
      <c r="B12" s="35" t="inlineStr">
        <is>
          <t>Company Name</t>
        </is>
      </c>
      <c r="C12" s="35" t="inlineStr">
        <is>
          <t>Sector</t>
        </is>
      </c>
      <c r="D12" s="35" t="inlineStr">
        <is>
          <t>Date of Removal</t>
        </is>
      </c>
    </row>
    <row r="13">
      <c r="A13" s="36" t="inlineStr">
        <is>
          <t>CREDITACC</t>
        </is>
      </c>
      <c r="B13" s="37" t="inlineStr">
        <is>
          <t>CreditAccess Grameen Limited</t>
        </is>
      </c>
      <c r="C13" s="37" t="inlineStr">
        <is>
          <t>Financial Services</t>
        </is>
      </c>
      <c r="D13" s="38" t="inlineStr">
        <is>
          <t>2026-07-30</t>
        </is>
      </c>
    </row>
    <row r="14">
      <c r="A14" s="36" t="inlineStr">
        <is>
          <t>IIFL</t>
        </is>
      </c>
      <c r="B14" s="37" t="inlineStr">
        <is>
          <t>IIFL Finance Limited</t>
        </is>
      </c>
      <c r="C14" s="37" t="inlineStr">
        <is>
          <t>Financial Services</t>
        </is>
      </c>
      <c r="D14" s="38" t="inlineStr">
        <is>
          <t>2026-07-30</t>
        </is>
      </c>
    </row>
    <row r="15">
      <c r="A15" s="36" t="inlineStr">
        <is>
          <t>JSFB</t>
        </is>
      </c>
      <c r="B15" s="37" t="inlineStr">
        <is>
          <t>Jana Small Finance Bank Limited</t>
        </is>
      </c>
      <c r="C15" s="37" t="inlineStr">
        <is>
          <t>Financial Services</t>
        </is>
      </c>
      <c r="D15" s="38" t="inlineStr">
        <is>
          <t>2026-07-30</t>
        </is>
      </c>
    </row>
    <row r="16">
      <c r="A16" s="36" t="inlineStr">
        <is>
          <t>KARURVYSYA</t>
        </is>
      </c>
      <c r="B16" s="37" t="inlineStr">
        <is>
          <t>The Karur Vysya Bank Limited</t>
        </is>
      </c>
      <c r="C16" s="37" t="inlineStr">
        <is>
          <t>Financial Services</t>
        </is>
      </c>
      <c r="D16" s="38" t="inlineStr">
        <is>
          <t>2026-07-30</t>
        </is>
      </c>
    </row>
    <row r="17">
      <c r="A17" s="36" t="inlineStr">
        <is>
          <t>MONARCH</t>
        </is>
      </c>
      <c r="B17" s="37" t="inlineStr">
        <is>
          <t>Monarch Networth Capital Limited</t>
        </is>
      </c>
      <c r="C17" s="37" t="inlineStr">
        <is>
          <t>Financial Services</t>
        </is>
      </c>
      <c r="D17" s="38" t="inlineStr">
        <is>
          <t>2026-07-30</t>
        </is>
      </c>
    </row>
    <row r="18">
      <c r="A18" s="36" t="inlineStr">
        <is>
          <t>POONAWALLA</t>
        </is>
      </c>
      <c r="B18" s="37" t="inlineStr">
        <is>
          <t>Poonawalla Fincorp Limited</t>
        </is>
      </c>
      <c r="C18" s="37" t="inlineStr">
        <is>
          <t>Financial Services</t>
        </is>
      </c>
      <c r="D18" s="38" t="inlineStr">
        <is>
          <t>2026-07-30</t>
        </is>
      </c>
    </row>
    <row r="19">
      <c r="A19" s="36" t="inlineStr">
        <is>
          <t>PRUDENT</t>
        </is>
      </c>
      <c r="B19" s="37" t="inlineStr">
        <is>
          <t>Prudent Corporate Advisory Services Limited</t>
        </is>
      </c>
      <c r="C19" s="37" t="inlineStr">
        <is>
          <t>Financial Services</t>
        </is>
      </c>
      <c r="D19" s="38" t="inlineStr">
        <is>
          <t>2026-07-30</t>
        </is>
      </c>
    </row>
    <row r="20">
      <c r="A20" s="36" t="inlineStr">
        <is>
          <t>SHAREINDIA</t>
        </is>
      </c>
      <c r="B20" s="37" t="inlineStr">
        <is>
          <t>Share India Securities Limited</t>
        </is>
      </c>
      <c r="C20" s="37" t="inlineStr">
        <is>
          <t>Financial Services</t>
        </is>
      </c>
      <c r="D20" s="38" t="inlineStr">
        <is>
          <t>2026-07-28</t>
        </is>
      </c>
    </row>
    <row r="21">
      <c r="A21" s="36" t="inlineStr">
        <is>
          <t>TFCILTD</t>
        </is>
      </c>
      <c r="B21" s="37" t="inlineStr">
        <is>
          <t>Tourism Finance Corporation of India Limited</t>
        </is>
      </c>
      <c r="C21" s="37" t="inlineStr">
        <is>
          <t>Financial Services</t>
        </is>
      </c>
      <c r="D21" s="38" t="inlineStr">
        <is>
          <t>2026-07-30</t>
        </is>
      </c>
    </row>
    <row r="22">
      <c r="A22" s="36" t="inlineStr">
        <is>
          <t>TMB</t>
        </is>
      </c>
      <c r="B22" s="37" t="inlineStr">
        <is>
          <t>Tamilnad Mercantile Bank Limited</t>
        </is>
      </c>
      <c r="C22" s="37" t="inlineStr">
        <is>
          <t>Financial Services</t>
        </is>
      </c>
      <c r="D22" s="38" t="inlineStr">
        <is>
          <t>2026-07-30</t>
        </is>
      </c>
    </row>
    <row r="23">
      <c r="A23" s="36" t="inlineStr">
        <is>
          <t>UJJIVANSFB</t>
        </is>
      </c>
      <c r="B23" s="37" t="inlineStr">
        <is>
          <t>Ujjivan Small Finance Bank Limited</t>
        </is>
      </c>
      <c r="C23" s="37" t="inlineStr">
        <is>
          <t>Financial Services</t>
        </is>
      </c>
      <c r="D23" s="38" t="inlineStr">
        <is>
          <t>2026-07-30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2026-07-30T20:02:33Z</dcterms:created>
  <dcterms:modified xmlns:dcterms="http://purl.org/dc/terms/" xmlns:xsi="http://www.w3.org/2001/XMLSchema-instance" xsi:type="dcterms:W3CDTF">2026-07-30T20:04:16Z</dcterms:modified>
</cp:coreProperties>
</file>